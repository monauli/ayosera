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 Mei" state="visible" r:id="rId4"/>
    <sheet sheetId="2" name="02 Mei" state="visible" r:id="rId5"/>
    <sheet sheetId="3" name="03 Mei" state="visible" r:id="rId6"/>
    <sheet sheetId="4" name="04 Mei" state="visible" r:id="rId7"/>
    <sheet sheetId="5" name="05 Mei" state="visible" r:id="rId8"/>
    <sheet sheetId="6" name="06 Mei" state="visible" r:id="rId9"/>
    <sheet sheetId="7" name="07 Mei" state="visible" r:id="rId10"/>
    <sheet sheetId="8" name="08 Mei" state="visible" r:id="rId11"/>
    <sheet sheetId="9" name="09 Mei" state="visible" r:id="rId12"/>
  </sheets>
  <definedNames>
    <definedName name="_xlnm.Print_Area" localSheetId="0">'01 Mei'!$A1:$S79</definedName>
    <definedName name="_xlnm.Print_Area" localSheetId="1">'02 Mei'!$A1:$S95</definedName>
    <definedName name="_xlnm.Print_Area" localSheetId="2">'03 Mei'!$A1:$S103</definedName>
    <definedName name="_xlnm.Print_Area" localSheetId="3">'04 Mei'!$A1:$S54</definedName>
    <definedName name="_xlnm.Print_Area" localSheetId="4">'05 Mei'!$A1:$S72</definedName>
    <definedName name="_xlnm.Print_Area" localSheetId="5">'06 Mei'!$A1:$S74</definedName>
    <definedName name="_xlnm.Print_Area" localSheetId="6">'07 Mei'!$A1:$S51</definedName>
    <definedName name="_xlnm.Print_Area" localSheetId="7">'08 Mei'!$A1:$S75</definedName>
    <definedName name="_xlnm.Print_Area" localSheetId="8">'09 Mei'!$A1:$S105</definedName>
  </definedNames>
  <calcPr calcId="171027" fullCalcOnLoad="1"/>
</workbook>
</file>

<file path=xl/sharedStrings.xml><?xml version="1.0" encoding="utf-8"?>
<sst xmlns="http://schemas.openxmlformats.org/spreadsheetml/2006/main" count="4230" uniqueCount="1397">
  <si>
    <r>
      <rPr>
        <color rgb="FF000000"/>
        <sz val="11"/>
        <rFont val="Calibri"/>
      </rPr>
      <t>Rincian Penjualan</t>
    </r>
    <r>
      <rPr>
        <b/>
        <color rgb="FF000000"/>
        <sz val="15"/>
        <rFont val="Calibri"/>
      </rPr>
      <t xml:space="preserve">                                                        BC PADEL CLUB</t>
    </r>
    <r>
      <rPr>
        <color rgb="FF000000"/>
        <sz val="11"/>
        <rFont val="Calibri"/>
      </rPr>
      <t xml:space="preserve">
Periode 01 May 2026 - 01 May 2026
Dibuat pada 13-Jul-2026</t>
    </r>
  </si>
  <si>
    <t xml:space="preserve">Total Penjualan
IDR 6.734.000</t>
  </si>
  <si>
    <t xml:space="preserve">Pengiriman Pajak
IDR 0</t>
  </si>
  <si>
    <t xml:space="preserve">Total Modal
IDR 907.223</t>
  </si>
  <si>
    <t xml:space="preserve">Total Laba
IDR 5.826.777</t>
  </si>
  <si>
    <t xml:space="preserve">Biaya Layanan
IDR 0</t>
  </si>
  <si>
    <t xml:space="preserve">Tambahan Pembayaran
IDR 0</t>
  </si>
  <si>
    <t xml:space="preserve">Diskon
IDR 0</t>
  </si>
  <si>
    <t xml:space="preserve">Total Tebus Deposit
IDR 0</t>
  </si>
  <si>
    <t xml:space="preserve">Total Pengunjung
74</t>
  </si>
  <si>
    <t xml:space="preserve">Total Pembulatan
IDR 0</t>
  </si>
  <si>
    <t/>
  </si>
  <si>
    <t>No. Pesanan</t>
  </si>
  <si>
    <t>Tanggal Jual</t>
  </si>
  <si>
    <t>Penjualan Oleh</t>
  </si>
  <si>
    <t>Pelanggan ID</t>
  </si>
  <si>
    <t>Pelanggan</t>
  </si>
  <si>
    <t>Nomor Meja</t>
  </si>
  <si>
    <t>Qty</t>
  </si>
  <si>
    <t>Total Penjualan</t>
  </si>
  <si>
    <t xml:space="preserve">Pengiriman
+ Pajak</t>
  </si>
  <si>
    <t>Modal Produk</t>
  </si>
  <si>
    <t>Laba</t>
  </si>
  <si>
    <t>Biaya Layanan</t>
  </si>
  <si>
    <t>Tambahan Pembayaran</t>
  </si>
  <si>
    <t>Diskon</t>
  </si>
  <si>
    <t>Jumlah Ditebus</t>
  </si>
  <si>
    <t>DF0226050100004062</t>
  </si>
  <si>
    <t xml:space="preserve">01-May-2026
06:57:24</t>
  </si>
  <si>
    <t>AMEL (DINE IN)</t>
  </si>
  <si>
    <t>DF0226050100004063</t>
  </si>
  <si>
    <t xml:space="preserve">01-May-2026
07:00:11</t>
  </si>
  <si>
    <t>DF0226050100004064</t>
  </si>
  <si>
    <t xml:space="preserve">01-May-2026
07:04:59</t>
  </si>
  <si>
    <t>DF0226050100004065</t>
  </si>
  <si>
    <t xml:space="preserve">01-May-2026
07:47:37</t>
  </si>
  <si>
    <t>DF0226050100004066</t>
  </si>
  <si>
    <t xml:space="preserve">01-May-2026
07:53:48</t>
  </si>
  <si>
    <t>DF0226050100004067</t>
  </si>
  <si>
    <t xml:space="preserve">01-May-2026
08:07:42</t>
  </si>
  <si>
    <t>DF0226050100004068</t>
  </si>
  <si>
    <t xml:space="preserve">01-May-2026
08:11:42</t>
  </si>
  <si>
    <t>DF0226050100004069</t>
  </si>
  <si>
    <t xml:space="preserve">01-May-2026
08:20:09</t>
  </si>
  <si>
    <t>DF0226050100004070</t>
  </si>
  <si>
    <t xml:space="preserve">01-May-2026
08:35:32</t>
  </si>
  <si>
    <t>DF0226050100004071</t>
  </si>
  <si>
    <t xml:space="preserve">01-May-2026
08:42:18</t>
  </si>
  <si>
    <t>DF0226050100004072</t>
  </si>
  <si>
    <t xml:space="preserve">01-May-2026
08:43:44</t>
  </si>
  <si>
    <t>DF0226050100004073</t>
  </si>
  <si>
    <t xml:space="preserve">01-May-2026
08:59:09</t>
  </si>
  <si>
    <t>DF0226050100004074</t>
  </si>
  <si>
    <t xml:space="preserve">01-May-2026
09:07:37</t>
  </si>
  <si>
    <t>DF0226050100004075</t>
  </si>
  <si>
    <t xml:space="preserve">01-May-2026
09:38:23</t>
  </si>
  <si>
    <t>DF0226050100004076</t>
  </si>
  <si>
    <t xml:space="preserve">01-May-2026
09:41:49</t>
  </si>
  <si>
    <t>DF0226050100004077</t>
  </si>
  <si>
    <t xml:space="preserve">01-May-2026
09:42:58</t>
  </si>
  <si>
    <t>DF0226050100004078</t>
  </si>
  <si>
    <t xml:space="preserve">01-May-2026
09:54:00</t>
  </si>
  <si>
    <t>DF0226050100004079</t>
  </si>
  <si>
    <t xml:space="preserve">01-May-2026
09:57:52</t>
  </si>
  <si>
    <t>DF0226050100004080</t>
  </si>
  <si>
    <t xml:space="preserve">01-May-2026
10:01:49</t>
  </si>
  <si>
    <t>DF0226050100004081</t>
  </si>
  <si>
    <t xml:space="preserve">01-May-2026
10:12:04</t>
  </si>
  <si>
    <t>DF0226050100004082</t>
  </si>
  <si>
    <t xml:space="preserve">01-May-2026
10:15:31</t>
  </si>
  <si>
    <t>DF0226050100004083</t>
  </si>
  <si>
    <t xml:space="preserve">01-May-2026
11:01:41</t>
  </si>
  <si>
    <t>DF0226050100004084</t>
  </si>
  <si>
    <t xml:space="preserve">01-May-2026
11:07:41</t>
  </si>
  <si>
    <t>DF0226050100004085</t>
  </si>
  <si>
    <t xml:space="preserve">01-May-2026
11:07:50</t>
  </si>
  <si>
    <t>DF0226050100004086</t>
  </si>
  <si>
    <t xml:space="preserve">01-May-2026
11:16:45</t>
  </si>
  <si>
    <t>DF0226050100004087</t>
  </si>
  <si>
    <t xml:space="preserve">01-May-2026
11:25:12</t>
  </si>
  <si>
    <t>DF0226050100004088</t>
  </si>
  <si>
    <t xml:space="preserve">01-May-2026
11:28:02</t>
  </si>
  <si>
    <t>DF0226050100004089</t>
  </si>
  <si>
    <t xml:space="preserve">01-May-2026
11:34:32</t>
  </si>
  <si>
    <t>DF0226050100004090</t>
  </si>
  <si>
    <t xml:space="preserve">01-May-2026
11:50:49</t>
  </si>
  <si>
    <t>DF0226050100004091</t>
  </si>
  <si>
    <t xml:space="preserve">01-May-2026
12:36:54</t>
  </si>
  <si>
    <t>DF0226050100004092</t>
  </si>
  <si>
    <t xml:space="preserve">01-May-2026
12:46:05</t>
  </si>
  <si>
    <t>DF0226050100004093</t>
  </si>
  <si>
    <t xml:space="preserve">01-May-2026
12:57:20</t>
  </si>
  <si>
    <t>DF0226050100004094</t>
  </si>
  <si>
    <t xml:space="preserve">01-May-2026
13:02:05</t>
  </si>
  <si>
    <t>DF0226050100004095</t>
  </si>
  <si>
    <t xml:space="preserve">01-May-2026
13:13:16</t>
  </si>
  <si>
    <t>DF0226050100004096</t>
  </si>
  <si>
    <t xml:space="preserve">01-May-2026
13:14:28</t>
  </si>
  <si>
    <t>DF0226050100004097</t>
  </si>
  <si>
    <t xml:space="preserve">01-May-2026
13:15:24</t>
  </si>
  <si>
    <t>DF0226050100004098</t>
  </si>
  <si>
    <t xml:space="preserve">01-May-2026
13:23:57</t>
  </si>
  <si>
    <t>DF0226050100004099</t>
  </si>
  <si>
    <t xml:space="preserve">01-May-2026
13:26:06</t>
  </si>
  <si>
    <t>DF0226050100004100</t>
  </si>
  <si>
    <t xml:space="preserve">01-May-2026
13:37:35</t>
  </si>
  <si>
    <t>DF0226050100004101</t>
  </si>
  <si>
    <t xml:space="preserve">01-May-2026
13:38:27</t>
  </si>
  <si>
    <t>DF0226050100004102</t>
  </si>
  <si>
    <t xml:space="preserve">01-May-2026
13:45:44</t>
  </si>
  <si>
    <t>DF0226050100004103</t>
  </si>
  <si>
    <t xml:space="preserve">01-May-2026
13:52:32</t>
  </si>
  <si>
    <t>DF0226050100004104</t>
  </si>
  <si>
    <t xml:space="preserve">01-May-2026
13:55:03</t>
  </si>
  <si>
    <t>DF0226050100004105</t>
  </si>
  <si>
    <t xml:space="preserve">01-May-2026
14:06:08</t>
  </si>
  <si>
    <t>DF0226050100004106</t>
  </si>
  <si>
    <t xml:space="preserve">01-May-2026
14:12:42</t>
  </si>
  <si>
    <t>DF0226050100004107</t>
  </si>
  <si>
    <t xml:space="preserve">01-May-2026
14:13:28</t>
  </si>
  <si>
    <t>DF0226050100004108</t>
  </si>
  <si>
    <t xml:space="preserve">01-May-2026
14:24:05</t>
  </si>
  <si>
    <t>DF0226050100004109</t>
  </si>
  <si>
    <t xml:space="preserve">01-May-2026
15:19:56</t>
  </si>
  <si>
    <t>DF0226050100004110</t>
  </si>
  <si>
    <t xml:space="preserve">01-May-2026
15:22:06</t>
  </si>
  <si>
    <t>DF0226050100004111</t>
  </si>
  <si>
    <t xml:space="preserve">01-May-2026
15:22:38</t>
  </si>
  <si>
    <t>DF0226050100004112</t>
  </si>
  <si>
    <t xml:space="preserve">01-May-2026
16:06:22</t>
  </si>
  <si>
    <t>DF0226050100004113</t>
  </si>
  <si>
    <t xml:space="preserve">01-May-2026
16:09:00</t>
  </si>
  <si>
    <t>DF0226050100004114</t>
  </si>
  <si>
    <t xml:space="preserve">01-May-2026
16:10:14</t>
  </si>
  <si>
    <t>DF0226050100004115</t>
  </si>
  <si>
    <t xml:space="preserve">01-May-2026
16:31:02</t>
  </si>
  <si>
    <t>DF0226050100004116</t>
  </si>
  <si>
    <t xml:space="preserve">01-May-2026
16:33:29</t>
  </si>
  <si>
    <t>NISA (DINE IN)</t>
  </si>
  <si>
    <t>DF0226050100004117</t>
  </si>
  <si>
    <t xml:space="preserve">01-May-2026
16:46:31</t>
  </si>
  <si>
    <t>DF0226050100004118</t>
  </si>
  <si>
    <t xml:space="preserve">01-May-2026
16:48:57</t>
  </si>
  <si>
    <t>DF0226050100004119</t>
  </si>
  <si>
    <t xml:space="preserve">01-May-2026
17:03:38</t>
  </si>
  <si>
    <t>DF0226050100004120</t>
  </si>
  <si>
    <t xml:space="preserve">01-May-2026
17:33:44</t>
  </si>
  <si>
    <t>DF0226050100004121</t>
  </si>
  <si>
    <t xml:space="preserve">01-May-2026
18:11:24</t>
  </si>
  <si>
    <t>DF0226050100004122</t>
  </si>
  <si>
    <t xml:space="preserve">01-May-2026
18:18:39</t>
  </si>
  <si>
    <t>DF0226050100004123</t>
  </si>
  <si>
    <t xml:space="preserve">01-May-2026
18:37:59</t>
  </si>
  <si>
    <t>DF0226050100004124</t>
  </si>
  <si>
    <t xml:space="preserve">01-May-2026
19:12:11</t>
  </si>
  <si>
    <t>DF0226050100004125</t>
  </si>
  <si>
    <t xml:space="preserve">01-May-2026
19:35:27</t>
  </si>
  <si>
    <t>DF0226050100004126</t>
  </si>
  <si>
    <t xml:space="preserve">01-May-2026
19:36:20</t>
  </si>
  <si>
    <t>DF0226050100004127</t>
  </si>
  <si>
    <t xml:space="preserve">01-May-2026
20:06:30</t>
  </si>
  <si>
    <t>DF0226050100004128</t>
  </si>
  <si>
    <t xml:space="preserve">01-May-2026
20:07:49</t>
  </si>
  <si>
    <t>DF0226050100004129</t>
  </si>
  <si>
    <t xml:space="preserve">01-May-2026
20:11:26</t>
  </si>
  <si>
    <t>DF0226050100004130</t>
  </si>
  <si>
    <t xml:space="preserve">01-May-2026
20:24:24</t>
  </si>
  <si>
    <t>DF0226050100004131</t>
  </si>
  <si>
    <t xml:space="preserve">01-May-2026
20:25:00</t>
  </si>
  <si>
    <t>DF0226050100004132</t>
  </si>
  <si>
    <t xml:space="preserve">01-May-2026
20:25:59</t>
  </si>
  <si>
    <t>DF0226050100004133</t>
  </si>
  <si>
    <t xml:space="preserve">01-May-2026
20:56:03</t>
  </si>
  <si>
    <t>DF0226050100004134</t>
  </si>
  <si>
    <t xml:space="preserve">01-May-2026
21:27:03</t>
  </si>
  <si>
    <t>DF0226050100004135</t>
  </si>
  <si>
    <t xml:space="preserve">01-May-2026
21:31:17</t>
  </si>
  <si>
    <t>Total - IDR</t>
  </si>
  <si>
    <r>
      <rPr>
        <color rgb="FF000000"/>
        <sz val="11"/>
        <rFont val="Calibri"/>
      </rPr>
      <t>Rincian Penjualan</t>
    </r>
    <r>
      <rPr>
        <b/>
        <color rgb="FF000000"/>
        <sz val="15"/>
        <rFont val="Calibri"/>
      </rPr>
      <t xml:space="preserve">                                                        BC PADEL CLUB</t>
    </r>
    <r>
      <rPr>
        <color rgb="FF000000"/>
        <sz val="11"/>
        <rFont val="Calibri"/>
      </rPr>
      <t xml:space="preserve">
Periode 02 May 2026 - 02 May 2026
Dibuat pada 13-Jul-2026</t>
    </r>
  </si>
  <si>
    <t xml:space="preserve">Total Penjualan
IDR 6.163.000</t>
  </si>
  <si>
    <t xml:space="preserve">Total Modal
IDR 585.373</t>
  </si>
  <si>
    <t xml:space="preserve">Total Laba
IDR 5.577.627</t>
  </si>
  <si>
    <t xml:space="preserve">Total Pengunjung
90</t>
  </si>
  <si>
    <t>DF0226050200004136</t>
  </si>
  <si>
    <t xml:space="preserve">02-May-2026
06:57:57</t>
  </si>
  <si>
    <t>DF0226050200004137</t>
  </si>
  <si>
    <t xml:space="preserve">02-May-2026
07:02:00</t>
  </si>
  <si>
    <t>DF0226050200004138</t>
  </si>
  <si>
    <t xml:space="preserve">02-May-2026
07:16:43</t>
  </si>
  <si>
    <t>DF0226050200004139</t>
  </si>
  <si>
    <t xml:space="preserve">02-May-2026
07:20:14</t>
  </si>
  <si>
    <t>DF0226050200004140</t>
  </si>
  <si>
    <t xml:space="preserve">02-May-2026
07:42:40</t>
  </si>
  <si>
    <t>DF0226050200004141</t>
  </si>
  <si>
    <t xml:space="preserve">02-May-2026
07:58:44</t>
  </si>
  <si>
    <t>DF0226050200004142</t>
  </si>
  <si>
    <t xml:space="preserve">02-May-2026
08:14:48</t>
  </si>
  <si>
    <t>DF0226050200004143</t>
  </si>
  <si>
    <t xml:space="preserve">02-May-2026
08:45:41</t>
  </si>
  <si>
    <t>DF0226050200004144</t>
  </si>
  <si>
    <t xml:space="preserve">02-May-2026
08:48:10</t>
  </si>
  <si>
    <t>DF0226050200004145</t>
  </si>
  <si>
    <t xml:space="preserve">02-May-2026
08:51:44</t>
  </si>
  <si>
    <t>DF0226050200004146</t>
  </si>
  <si>
    <t xml:space="preserve">02-May-2026
08:56:19</t>
  </si>
  <si>
    <t>DF0226050200004147</t>
  </si>
  <si>
    <t xml:space="preserve">02-May-2026
09:02:06</t>
  </si>
  <si>
    <t>DF0226050200004148</t>
  </si>
  <si>
    <t xml:space="preserve">02-May-2026
09:03:41</t>
  </si>
  <si>
    <t>DF0226050200004149</t>
  </si>
  <si>
    <t xml:space="preserve">02-May-2026
09:09:17</t>
  </si>
  <si>
    <t>DF0226050200004150</t>
  </si>
  <si>
    <t xml:space="preserve">02-May-2026
09:21:06</t>
  </si>
  <si>
    <t>DF0226050200004151</t>
  </si>
  <si>
    <t xml:space="preserve">02-May-2026
09:22:30</t>
  </si>
  <si>
    <t>DF0226050200004152</t>
  </si>
  <si>
    <t xml:space="preserve">02-May-2026
09:42:52</t>
  </si>
  <si>
    <t>DF0226050200004153</t>
  </si>
  <si>
    <t xml:space="preserve">02-May-2026
09:51:52</t>
  </si>
  <si>
    <t>DF0226050200004154</t>
  </si>
  <si>
    <t xml:space="preserve">02-May-2026
09:58:59</t>
  </si>
  <si>
    <t>DF0226050200004155</t>
  </si>
  <si>
    <t xml:space="preserve">02-May-2026
10:01:21</t>
  </si>
  <si>
    <t>DF0226050200004156</t>
  </si>
  <si>
    <t xml:space="preserve">02-May-2026
10:02:21</t>
  </si>
  <si>
    <t>DF0226050200004157</t>
  </si>
  <si>
    <t xml:space="preserve">02-May-2026
10:03:32</t>
  </si>
  <si>
    <t>DF0226050200004158</t>
  </si>
  <si>
    <t xml:space="preserve">02-May-2026
10:15:07</t>
  </si>
  <si>
    <t>DF0226050200004159</t>
  </si>
  <si>
    <t xml:space="preserve">02-May-2026
10:25:53</t>
  </si>
  <si>
    <t>DF0226050200004160</t>
  </si>
  <si>
    <t xml:space="preserve">02-May-2026
10:44:43</t>
  </si>
  <si>
    <t>DF0226050200004161</t>
  </si>
  <si>
    <t xml:space="preserve">02-May-2026
10:56:21</t>
  </si>
  <si>
    <t>DF0226050200004162</t>
  </si>
  <si>
    <t xml:space="preserve">02-May-2026
11:05:25</t>
  </si>
  <si>
    <t>DF0226050200004163</t>
  </si>
  <si>
    <t xml:space="preserve">02-May-2026
11:08:36</t>
  </si>
  <si>
    <t>DF0226050200004164</t>
  </si>
  <si>
    <t xml:space="preserve">02-May-2026
11:23:09</t>
  </si>
  <si>
    <t>DF0226050200004165</t>
  </si>
  <si>
    <t xml:space="preserve">02-May-2026
11:53:45</t>
  </si>
  <si>
    <t>DF0226050200004166</t>
  </si>
  <si>
    <t xml:space="preserve">02-May-2026
12:30:21</t>
  </si>
  <si>
    <t>DF0226050200004167</t>
  </si>
  <si>
    <t xml:space="preserve">02-May-2026
12:32:29</t>
  </si>
  <si>
    <t>DF0226050200004168</t>
  </si>
  <si>
    <t xml:space="preserve">02-May-2026
12:39:11</t>
  </si>
  <si>
    <t>DF0226050200004169</t>
  </si>
  <si>
    <t xml:space="preserve">02-May-2026
12:50:35</t>
  </si>
  <si>
    <t>DF0226050200004170</t>
  </si>
  <si>
    <t xml:space="preserve">02-May-2026
12:52:02</t>
  </si>
  <si>
    <t>DF0226050200004171</t>
  </si>
  <si>
    <t xml:space="preserve">02-May-2026
13:12:14</t>
  </si>
  <si>
    <t>DF0226050200004172</t>
  </si>
  <si>
    <t xml:space="preserve">02-May-2026
13:20:02</t>
  </si>
  <si>
    <t>DF0226050200004173</t>
  </si>
  <si>
    <t xml:space="preserve">02-May-2026
13:40:46</t>
  </si>
  <si>
    <t>DF0226050200004174</t>
  </si>
  <si>
    <t xml:space="preserve">02-May-2026
13:47:10</t>
  </si>
  <si>
    <t>DF0226050200004175</t>
  </si>
  <si>
    <t xml:space="preserve">02-May-2026
13:56:47</t>
  </si>
  <si>
    <t>DF0226050200004176</t>
  </si>
  <si>
    <t xml:space="preserve">02-May-2026
14:37:08</t>
  </si>
  <si>
    <t>DF0226050200004177</t>
  </si>
  <si>
    <t xml:space="preserve">02-May-2026
14:50:30</t>
  </si>
  <si>
    <t>DF0226050200004178</t>
  </si>
  <si>
    <t xml:space="preserve">02-May-2026
14:51:10</t>
  </si>
  <si>
    <t>DF0226050200004179</t>
  </si>
  <si>
    <t xml:space="preserve">02-May-2026
15:02:09</t>
  </si>
  <si>
    <t>DF0226050200004180</t>
  </si>
  <si>
    <t xml:space="preserve">02-May-2026
15:09:22</t>
  </si>
  <si>
    <t>DF0226050200004181</t>
  </si>
  <si>
    <t xml:space="preserve">02-May-2026
15:10:29</t>
  </si>
  <si>
    <t>DF0226050200004182</t>
  </si>
  <si>
    <t xml:space="preserve">02-May-2026
15:13:39</t>
  </si>
  <si>
    <t>DF0226050200004183</t>
  </si>
  <si>
    <t xml:space="preserve">02-May-2026
15:19:19</t>
  </si>
  <si>
    <t>DF0226050200004184</t>
  </si>
  <si>
    <t xml:space="preserve">02-May-2026
15:20:05</t>
  </si>
  <si>
    <t>DF0226050200004185</t>
  </si>
  <si>
    <t xml:space="preserve">02-May-2026
15:29:49</t>
  </si>
  <si>
    <t>DF0226050200004186</t>
  </si>
  <si>
    <t xml:space="preserve">02-May-2026
15:34:46</t>
  </si>
  <si>
    <t>DF0226050200004187</t>
  </si>
  <si>
    <t xml:space="preserve">02-May-2026
15:42:33</t>
  </si>
  <si>
    <t>DF0226050200004188</t>
  </si>
  <si>
    <t xml:space="preserve">02-May-2026
15:52:21</t>
  </si>
  <si>
    <t>DF0226050200004189</t>
  </si>
  <si>
    <t xml:space="preserve">02-May-2026
15:59:46</t>
  </si>
  <si>
    <t>DF0226050200004190</t>
  </si>
  <si>
    <t xml:space="preserve">02-May-2026
16:06:58</t>
  </si>
  <si>
    <t>DF0226050200004191</t>
  </si>
  <si>
    <t xml:space="preserve">02-May-2026
16:18:23</t>
  </si>
  <si>
    <t>DF0226050200004192</t>
  </si>
  <si>
    <t xml:space="preserve">02-May-2026
16:23:08</t>
  </si>
  <si>
    <t>DF0226050200004193</t>
  </si>
  <si>
    <t xml:space="preserve">02-May-2026
16:26:25</t>
  </si>
  <si>
    <t>DF0226050200004194</t>
  </si>
  <si>
    <t xml:space="preserve">02-May-2026
16:55:10</t>
  </si>
  <si>
    <t>DF0226050200004195</t>
  </si>
  <si>
    <t xml:space="preserve">02-May-2026
17:08:47</t>
  </si>
  <si>
    <t>DF0226050200004196</t>
  </si>
  <si>
    <t xml:space="preserve">02-May-2026
17:12:54</t>
  </si>
  <si>
    <t>DF0226050200004197</t>
  </si>
  <si>
    <t xml:space="preserve">02-May-2026
17:13:33</t>
  </si>
  <si>
    <t>DF0226050200004198</t>
  </si>
  <si>
    <t xml:space="preserve">02-May-2026
17:35:47</t>
  </si>
  <si>
    <t>DF0226050200004199</t>
  </si>
  <si>
    <t xml:space="preserve">02-May-2026
17:42:46</t>
  </si>
  <si>
    <t>DF0226050200004200</t>
  </si>
  <si>
    <t xml:space="preserve">02-May-2026
17:51:43</t>
  </si>
  <si>
    <t>DF0226050200004201</t>
  </si>
  <si>
    <t xml:space="preserve">02-May-2026
17:58:58</t>
  </si>
  <si>
    <t>DF0226050200004202</t>
  </si>
  <si>
    <t xml:space="preserve">02-May-2026
18:06:10</t>
  </si>
  <si>
    <t>DF0226050200004203</t>
  </si>
  <si>
    <t xml:space="preserve">02-May-2026
18:15:12</t>
  </si>
  <si>
    <t>DF0226050200004204</t>
  </si>
  <si>
    <t xml:space="preserve">02-May-2026
18:31:17</t>
  </si>
  <si>
    <t>DF0226050200004205</t>
  </si>
  <si>
    <t xml:space="preserve">02-May-2026
18:45:52</t>
  </si>
  <si>
    <t>DF0226050200004206</t>
  </si>
  <si>
    <t xml:space="preserve">02-May-2026
18:48:14</t>
  </si>
  <si>
    <t>DF0226050200004207</t>
  </si>
  <si>
    <t xml:space="preserve">02-May-2026
19:00:27</t>
  </si>
  <si>
    <t>DF0226050200004208</t>
  </si>
  <si>
    <t xml:space="preserve">02-May-2026
19:02:15</t>
  </si>
  <si>
    <t>DF0226050200004209</t>
  </si>
  <si>
    <t xml:space="preserve">02-May-2026
19:03:40</t>
  </si>
  <si>
    <t>DF0226050200004210</t>
  </si>
  <si>
    <t xml:space="preserve">02-May-2026
19:16:12</t>
  </si>
  <si>
    <t>DF0226050200004211</t>
  </si>
  <si>
    <t xml:space="preserve">02-May-2026
19:17:35</t>
  </si>
  <si>
    <t>DF0226050200004212</t>
  </si>
  <si>
    <t xml:space="preserve">02-May-2026
19:32:41</t>
  </si>
  <si>
    <t>DF0226050200004213</t>
  </si>
  <si>
    <t xml:space="preserve">02-May-2026
19:32:53</t>
  </si>
  <si>
    <t>DF0226050200004214</t>
  </si>
  <si>
    <t xml:space="preserve">02-May-2026
19:43:07</t>
  </si>
  <si>
    <t>DF0226050200004215</t>
  </si>
  <si>
    <t xml:space="preserve">02-May-2026
19:44:56</t>
  </si>
  <si>
    <t>DF0226050200004216</t>
  </si>
  <si>
    <t xml:space="preserve">02-May-2026
19:50:34</t>
  </si>
  <si>
    <t>DF0226050200004217</t>
  </si>
  <si>
    <t xml:space="preserve">02-May-2026
19:52:12</t>
  </si>
  <si>
    <t>DF0226050200004218</t>
  </si>
  <si>
    <t xml:space="preserve">02-May-2026
20:03:44</t>
  </si>
  <si>
    <t>DF0226050200004219</t>
  </si>
  <si>
    <t xml:space="preserve">02-May-2026
20:16:51</t>
  </si>
  <si>
    <t>DF0226050200004220</t>
  </si>
  <si>
    <t xml:space="preserve">02-May-2026
20:36:31</t>
  </si>
  <si>
    <t>DF0226050200004221</t>
  </si>
  <si>
    <t xml:space="preserve">02-May-2026
20:39:16</t>
  </si>
  <si>
    <t>DF0226050200004222</t>
  </si>
  <si>
    <t xml:space="preserve">02-May-2026
20:41:03</t>
  </si>
  <si>
    <t>DF0226050200004223</t>
  </si>
  <si>
    <t xml:space="preserve">02-May-2026
20:54:44</t>
  </si>
  <si>
    <t>DF0226050200004224</t>
  </si>
  <si>
    <t xml:space="preserve">02-May-2026
21:10:02</t>
  </si>
  <si>
    <t>DF0226050200004225</t>
  </si>
  <si>
    <t xml:space="preserve">02-May-2026
21:50:04</t>
  </si>
  <si>
    <t>ASYFA (DINE IN)</t>
  </si>
  <si>
    <r>
      <rPr>
        <color rgb="FF000000"/>
        <sz val="11"/>
        <rFont val="Calibri"/>
      </rPr>
      <t>Rincian Penjualan</t>
    </r>
    <r>
      <rPr>
        <b/>
        <color rgb="FF000000"/>
        <sz val="15"/>
        <rFont val="Calibri"/>
      </rPr>
      <t xml:space="preserve">                                                        BC PADEL CLUB</t>
    </r>
    <r>
      <rPr>
        <color rgb="FF000000"/>
        <sz val="11"/>
        <rFont val="Calibri"/>
      </rPr>
      <t xml:space="preserve">
Periode 03 May 2026 - 03 May 2026
Dibuat pada 13-Jul-2026</t>
    </r>
  </si>
  <si>
    <t xml:space="preserve">Total Penjualan
IDR 5.298.000</t>
  </si>
  <si>
    <t xml:space="preserve">Total Modal
IDR 605.228</t>
  </si>
  <si>
    <t xml:space="preserve">Total Laba
IDR 4.692.772</t>
  </si>
  <si>
    <t xml:space="preserve">Total Pengunjung
98</t>
  </si>
  <si>
    <t>DF0226050300004226</t>
  </si>
  <si>
    <t xml:space="preserve">03-May-2026
06:43:22</t>
  </si>
  <si>
    <t>DF0226050300004227</t>
  </si>
  <si>
    <t xml:space="preserve">03-May-2026
06:55:06</t>
  </si>
  <si>
    <t>DF0226050300004228</t>
  </si>
  <si>
    <t xml:space="preserve">03-May-2026
06:56:49</t>
  </si>
  <si>
    <t>DF0226050300004229</t>
  </si>
  <si>
    <t xml:space="preserve">03-May-2026
07:00:50</t>
  </si>
  <si>
    <t>DF0226050300004230</t>
  </si>
  <si>
    <t xml:space="preserve">03-May-2026
07:20:29</t>
  </si>
  <si>
    <t>DF0226050300004231</t>
  </si>
  <si>
    <t xml:space="preserve">03-May-2026
08:01:46</t>
  </si>
  <si>
    <t>DF0226050300004232</t>
  </si>
  <si>
    <t xml:space="preserve">03-May-2026
08:06:10</t>
  </si>
  <si>
    <t>DF0226050300004233</t>
  </si>
  <si>
    <t xml:space="preserve">03-May-2026
08:33:01</t>
  </si>
  <si>
    <t>DF0226050300004234</t>
  </si>
  <si>
    <t xml:space="preserve">03-May-2026
08:40:23</t>
  </si>
  <si>
    <t>DF0226050300004235</t>
  </si>
  <si>
    <t xml:space="preserve">03-May-2026
08:42:15</t>
  </si>
  <si>
    <t>DF0226050300004236</t>
  </si>
  <si>
    <t xml:space="preserve">03-May-2026
08:47:18</t>
  </si>
  <si>
    <t>DF0226050300004237</t>
  </si>
  <si>
    <t xml:space="preserve">03-May-2026
09:00:01</t>
  </si>
  <si>
    <t>DF0226050300004238</t>
  </si>
  <si>
    <t xml:space="preserve">03-May-2026
09:16:52</t>
  </si>
  <si>
    <t>DF0226050300004239</t>
  </si>
  <si>
    <t xml:space="preserve">03-May-2026
09:19:54</t>
  </si>
  <si>
    <t>DF0226050300004240</t>
  </si>
  <si>
    <t xml:space="preserve">03-May-2026
09:23:33</t>
  </si>
  <si>
    <t>DF0226050300004241</t>
  </si>
  <si>
    <t xml:space="preserve">03-May-2026
09:33:57</t>
  </si>
  <si>
    <t>DF0226050300004242</t>
  </si>
  <si>
    <t xml:space="preserve">03-May-2026
09:41:07</t>
  </si>
  <si>
    <t>DF0226050300004243</t>
  </si>
  <si>
    <t xml:space="preserve">03-May-2026
09:57:38</t>
  </si>
  <si>
    <t>DF0226050300004244</t>
  </si>
  <si>
    <t xml:space="preserve">03-May-2026
10:04:01</t>
  </si>
  <si>
    <t>DF0226050300004245</t>
  </si>
  <si>
    <t xml:space="preserve">03-May-2026
10:06:04</t>
  </si>
  <si>
    <t>DF0226050300004246</t>
  </si>
  <si>
    <t xml:space="preserve">03-May-2026
10:18:12</t>
  </si>
  <si>
    <t>DF0226050300004247</t>
  </si>
  <si>
    <t xml:space="preserve">03-May-2026
10:42:26</t>
  </si>
  <si>
    <t>DF0226050300004248</t>
  </si>
  <si>
    <t xml:space="preserve">03-May-2026
10:53:45</t>
  </si>
  <si>
    <t>DF0226050300004249</t>
  </si>
  <si>
    <t xml:space="preserve">03-May-2026
10:55:31</t>
  </si>
  <si>
    <t>DF0226050300004250</t>
  </si>
  <si>
    <t xml:space="preserve">03-May-2026
10:55:54</t>
  </si>
  <si>
    <t>DF0226050300004251</t>
  </si>
  <si>
    <t xml:space="preserve">03-May-2026
10:56:54</t>
  </si>
  <si>
    <t>DF0226050300004252</t>
  </si>
  <si>
    <t xml:space="preserve">03-May-2026
11:15:42</t>
  </si>
  <si>
    <t>DF0226050300004253</t>
  </si>
  <si>
    <t xml:space="preserve">03-May-2026
11:53:03</t>
  </si>
  <si>
    <t>DF0226050300004254</t>
  </si>
  <si>
    <t xml:space="preserve">03-May-2026
11:58:12</t>
  </si>
  <si>
    <t>DF0226050300004255</t>
  </si>
  <si>
    <t xml:space="preserve">03-May-2026
12:13:07</t>
  </si>
  <si>
    <t>DF0226050300004256</t>
  </si>
  <si>
    <t xml:space="preserve">03-May-2026
12:16:47</t>
  </si>
  <si>
    <t>DF0226050300004257</t>
  </si>
  <si>
    <t xml:space="preserve">03-May-2026
12:27:40</t>
  </si>
  <si>
    <t>DF0226050300004258</t>
  </si>
  <si>
    <t xml:space="preserve">03-May-2026
12:35:39</t>
  </si>
  <si>
    <t>DF0226050300004259</t>
  </si>
  <si>
    <t xml:space="preserve">03-May-2026
12:42:44</t>
  </si>
  <si>
    <t>DF0226050300004260</t>
  </si>
  <si>
    <t xml:space="preserve">03-May-2026
12:43:08</t>
  </si>
  <si>
    <t>DF0226050300004261</t>
  </si>
  <si>
    <t xml:space="preserve">03-May-2026
12:48:24</t>
  </si>
  <si>
    <t>DF0226050300004262</t>
  </si>
  <si>
    <t xml:space="preserve">03-May-2026
12:57:34</t>
  </si>
  <si>
    <t>DF0226050300004263</t>
  </si>
  <si>
    <t xml:space="preserve">03-May-2026
13:02:55</t>
  </si>
  <si>
    <t>DF0226050300004264</t>
  </si>
  <si>
    <t xml:space="preserve">03-May-2026
13:07:42</t>
  </si>
  <si>
    <t>DF0226050300004265</t>
  </si>
  <si>
    <t xml:space="preserve">03-May-2026
13:15:32</t>
  </si>
  <si>
    <t>DF0226050300004266</t>
  </si>
  <si>
    <t xml:space="preserve">03-May-2026
13:22:59</t>
  </si>
  <si>
    <t>DF0226050300004267</t>
  </si>
  <si>
    <t xml:space="preserve">03-May-2026
13:24:22</t>
  </si>
  <si>
    <t>DF0226050300004268</t>
  </si>
  <si>
    <t xml:space="preserve">03-May-2026
13:27:31</t>
  </si>
  <si>
    <t>DF0226050300004269</t>
  </si>
  <si>
    <t xml:space="preserve">03-May-2026
13:38:05</t>
  </si>
  <si>
    <t>DF0226050300004270</t>
  </si>
  <si>
    <t xml:space="preserve">03-May-2026
14:46:07</t>
  </si>
  <si>
    <t>DF0226050300004271</t>
  </si>
  <si>
    <t xml:space="preserve">03-May-2026
14:47:07</t>
  </si>
  <si>
    <t>DF0226050300004272</t>
  </si>
  <si>
    <t xml:space="preserve">03-May-2026
14:47:41</t>
  </si>
  <si>
    <t>DF0226050300004273</t>
  </si>
  <si>
    <t xml:space="preserve">03-May-2026
14:49:41</t>
  </si>
  <si>
    <t>DF0226050300004274</t>
  </si>
  <si>
    <t xml:space="preserve">03-May-2026
14:50:43</t>
  </si>
  <si>
    <t>DF0226050300004275</t>
  </si>
  <si>
    <t xml:space="preserve">03-May-2026
14:51:59</t>
  </si>
  <si>
    <t>DF0226050300004276</t>
  </si>
  <si>
    <t xml:space="preserve">03-May-2026
14:54:27</t>
  </si>
  <si>
    <t>DF0226050300004277</t>
  </si>
  <si>
    <t xml:space="preserve">03-May-2026
14:56:19</t>
  </si>
  <si>
    <t>DF0226050300004278</t>
  </si>
  <si>
    <t xml:space="preserve">03-May-2026
14:58:11</t>
  </si>
  <si>
    <t>DF0226050300004279</t>
  </si>
  <si>
    <t xml:space="preserve">03-May-2026
14:59:37</t>
  </si>
  <si>
    <t>DF0226050300004280</t>
  </si>
  <si>
    <t xml:space="preserve">03-May-2026
15:01:17</t>
  </si>
  <si>
    <t>DF0226050300004281</t>
  </si>
  <si>
    <t xml:space="preserve">03-May-2026
15:03:05</t>
  </si>
  <si>
    <t>DF0226050300004282</t>
  </si>
  <si>
    <t xml:space="preserve">03-May-2026
15:09:17</t>
  </si>
  <si>
    <t>DF0226050300004283</t>
  </si>
  <si>
    <t xml:space="preserve">03-May-2026
15:13:22</t>
  </si>
  <si>
    <t>DF0226050300004284</t>
  </si>
  <si>
    <t xml:space="preserve">03-May-2026
15:17:58</t>
  </si>
  <si>
    <t>DF0226050300004285</t>
  </si>
  <si>
    <t xml:space="preserve">03-May-2026
15:20:51</t>
  </si>
  <si>
    <t>DF0226050300004286</t>
  </si>
  <si>
    <t xml:space="preserve">03-May-2026
15:28:55</t>
  </si>
  <si>
    <t>DF0226050300004287</t>
  </si>
  <si>
    <t xml:space="preserve">03-May-2026
16:18:56</t>
  </si>
  <si>
    <t>DF0226050300004288</t>
  </si>
  <si>
    <t xml:space="preserve">03-May-2026
16:19:15</t>
  </si>
  <si>
    <t>DF0226050300004289</t>
  </si>
  <si>
    <t xml:space="preserve">03-May-2026
16:19:34</t>
  </si>
  <si>
    <t>DF0226050300004290</t>
  </si>
  <si>
    <t xml:space="preserve">03-May-2026
16:31:50</t>
  </si>
  <si>
    <t>DF0226050300004291</t>
  </si>
  <si>
    <t xml:space="preserve">03-May-2026
16:39:26</t>
  </si>
  <si>
    <t>DF0226050300004292</t>
  </si>
  <si>
    <t xml:space="preserve">03-May-2026
16:51:43</t>
  </si>
  <si>
    <t>DF0226050300004293</t>
  </si>
  <si>
    <t xml:space="preserve">03-May-2026
17:01:03</t>
  </si>
  <si>
    <t>DF0226050300004294</t>
  </si>
  <si>
    <t xml:space="preserve">03-May-2026
17:05:59</t>
  </si>
  <si>
    <t>DF0226050300004295</t>
  </si>
  <si>
    <t xml:space="preserve">03-May-2026
17:09:44</t>
  </si>
  <si>
    <t>DF0226050300004296</t>
  </si>
  <si>
    <t xml:space="preserve">03-May-2026
17:11:46</t>
  </si>
  <si>
    <t>DF0226050300004297</t>
  </si>
  <si>
    <t xml:space="preserve">03-May-2026
17:22:39</t>
  </si>
  <si>
    <t>DF0226050300004298</t>
  </si>
  <si>
    <t xml:space="preserve">03-May-2026
17:40:40</t>
  </si>
  <si>
    <t>DF0226050300004299</t>
  </si>
  <si>
    <t xml:space="preserve">03-May-2026
17:44:16</t>
  </si>
  <si>
    <t>DF0226050300004300</t>
  </si>
  <si>
    <t xml:space="preserve">03-May-2026
17:44:33</t>
  </si>
  <si>
    <t>DF0226050300004301</t>
  </si>
  <si>
    <t xml:space="preserve">03-May-2026
17:58:30</t>
  </si>
  <si>
    <t>DF0226050300004302</t>
  </si>
  <si>
    <t xml:space="preserve">03-May-2026
19:00:19</t>
  </si>
  <si>
    <t>DF0226050300004303</t>
  </si>
  <si>
    <t xml:space="preserve">03-May-2026
19:04:01</t>
  </si>
  <si>
    <t>DF0226050300004304</t>
  </si>
  <si>
    <t xml:space="preserve">03-May-2026
19:16:24</t>
  </si>
  <si>
    <t>DF0226050300004305</t>
  </si>
  <si>
    <t xml:space="preserve">03-May-2026
19:23:01</t>
  </si>
  <si>
    <t>DF0226050300004306</t>
  </si>
  <si>
    <t xml:space="preserve">03-May-2026
19:31:45</t>
  </si>
  <si>
    <t>DF0226050300004307</t>
  </si>
  <si>
    <t xml:space="preserve">03-May-2026
19:34:18</t>
  </si>
  <si>
    <t>DF0226050300004308</t>
  </si>
  <si>
    <t xml:space="preserve">03-May-2026
19:51:35</t>
  </si>
  <si>
    <t>DF0226050300004309</t>
  </si>
  <si>
    <t xml:space="preserve">03-May-2026
20:45:11</t>
  </si>
  <si>
    <t>DF0226050300004310</t>
  </si>
  <si>
    <t xml:space="preserve">03-May-2026
21:10:30</t>
  </si>
  <si>
    <t>DF0226050300004311</t>
  </si>
  <si>
    <t xml:space="preserve">03-May-2026
21:24:46</t>
  </si>
  <si>
    <t>DF0226050300004312</t>
  </si>
  <si>
    <t xml:space="preserve">03-May-2026
21:30:14</t>
  </si>
  <si>
    <t>DF0226050300004313</t>
  </si>
  <si>
    <t xml:space="preserve">03-May-2026
21:33:17</t>
  </si>
  <si>
    <t>DF0226050300004314</t>
  </si>
  <si>
    <t xml:space="preserve">03-May-2026
21:45:33</t>
  </si>
  <si>
    <t>DF0226050300004315</t>
  </si>
  <si>
    <t xml:space="preserve">03-May-2026
22:08:20</t>
  </si>
  <si>
    <t>DF0226050300004316</t>
  </si>
  <si>
    <t xml:space="preserve">03-May-2026
22:08:29</t>
  </si>
  <si>
    <t>DF0226050300004317</t>
  </si>
  <si>
    <t xml:space="preserve">03-May-2026
22:08:38</t>
  </si>
  <si>
    <t>DF0226050300004318</t>
  </si>
  <si>
    <t xml:space="preserve">03-May-2026
22:46:37</t>
  </si>
  <si>
    <t>DF0226050300004319</t>
  </si>
  <si>
    <t xml:space="preserve">03-May-2026
22:49:47</t>
  </si>
  <si>
    <t>DF0226050300004320</t>
  </si>
  <si>
    <t xml:space="preserve">03-May-2026
22:50:40</t>
  </si>
  <si>
    <t>DF0226050300004321</t>
  </si>
  <si>
    <t xml:space="preserve">03-May-2026
22:55:44</t>
  </si>
  <si>
    <t>DF0226050300004322</t>
  </si>
  <si>
    <t xml:space="preserve">03-May-2026
23:22:24</t>
  </si>
  <si>
    <t>DF0226050300004323</t>
  </si>
  <si>
    <t xml:space="preserve">03-May-2026
23:28:38</t>
  </si>
  <si>
    <r>
      <rPr>
        <color rgb="FF000000"/>
        <sz val="11"/>
        <rFont val="Calibri"/>
      </rPr>
      <t>Rincian Penjualan</t>
    </r>
    <r>
      <rPr>
        <b/>
        <color rgb="FF000000"/>
        <sz val="15"/>
        <rFont val="Calibri"/>
      </rPr>
      <t xml:space="preserve">                                                        BC PADEL CLUB</t>
    </r>
    <r>
      <rPr>
        <color rgb="FF000000"/>
        <sz val="11"/>
        <rFont val="Calibri"/>
      </rPr>
      <t xml:space="preserve">
Periode 04 May 2026 - 04 May 2026
Dibuat pada 13-Jul-2026</t>
    </r>
  </si>
  <si>
    <t xml:space="preserve">Total Penjualan
IDR 2.638.000</t>
  </si>
  <si>
    <t xml:space="preserve">Total Modal
IDR 327.254</t>
  </si>
  <si>
    <t xml:space="preserve">Total Laba
IDR 2.310.746</t>
  </si>
  <si>
    <t xml:space="preserve">Total Pengunjung
49</t>
  </si>
  <si>
    <t>DF0226050400004324</t>
  </si>
  <si>
    <t xml:space="preserve">04-May-2026
08:42:25</t>
  </si>
  <si>
    <t>DF0226050400004325</t>
  </si>
  <si>
    <t xml:space="preserve">04-May-2026
08:46:38</t>
  </si>
  <si>
    <t>DF0226050400004326</t>
  </si>
  <si>
    <t xml:space="preserve">04-May-2026
08:55:58</t>
  </si>
  <si>
    <t>DF0226050400004327</t>
  </si>
  <si>
    <t xml:space="preserve">04-May-2026
09:08:40</t>
  </si>
  <si>
    <t>DF0226050400004328</t>
  </si>
  <si>
    <t xml:space="preserve">04-May-2026
09:27:13</t>
  </si>
  <si>
    <t>DF0226050400004329</t>
  </si>
  <si>
    <t xml:space="preserve">04-May-2026
09:34:41</t>
  </si>
  <si>
    <t>DF0226050400004330</t>
  </si>
  <si>
    <t xml:space="preserve">04-May-2026
09:36:22</t>
  </si>
  <si>
    <t>DF0226050400004331</t>
  </si>
  <si>
    <t xml:space="preserve">04-May-2026
10:10:21</t>
  </si>
  <si>
    <t>DF0226050400004332</t>
  </si>
  <si>
    <t xml:space="preserve">04-May-2026
10:42:50</t>
  </si>
  <si>
    <t>DF0226050400004333</t>
  </si>
  <si>
    <t xml:space="preserve">04-May-2026
10:44:53</t>
  </si>
  <si>
    <t>DF0226050400004334</t>
  </si>
  <si>
    <t xml:space="preserve">04-May-2026
10:45:43</t>
  </si>
  <si>
    <t>DF0226050400004335</t>
  </si>
  <si>
    <t xml:space="preserve">04-May-2026
11:05:07</t>
  </si>
  <si>
    <t>DF0226050400004336</t>
  </si>
  <si>
    <t xml:space="preserve">04-May-2026
11:39:14</t>
  </si>
  <si>
    <t>DF0226050400004337</t>
  </si>
  <si>
    <t xml:space="preserve">04-May-2026
11:40:11</t>
  </si>
  <si>
    <t>DF0226050400004338</t>
  </si>
  <si>
    <t xml:space="preserve">04-May-2026
11:47:21</t>
  </si>
  <si>
    <t>DF0226050400004339</t>
  </si>
  <si>
    <t xml:space="preserve">04-May-2026
12:17:16</t>
  </si>
  <si>
    <t>DF0226050400004340</t>
  </si>
  <si>
    <t xml:space="preserve">04-May-2026
13:21:30</t>
  </si>
  <si>
    <t>DF0226050400004341</t>
  </si>
  <si>
    <t xml:space="preserve">04-May-2026
13:43:55</t>
  </si>
  <si>
    <t>DF0226050400004342</t>
  </si>
  <si>
    <t xml:space="preserve">04-May-2026
13:56:01</t>
  </si>
  <si>
    <t>DF0226050400004343</t>
  </si>
  <si>
    <t xml:space="preserve">04-May-2026
14:00:10</t>
  </si>
  <si>
    <t>DF0226050400004344</t>
  </si>
  <si>
    <t xml:space="preserve">04-May-2026
14:01:04</t>
  </si>
  <si>
    <t>DF0226050400004345</t>
  </si>
  <si>
    <t xml:space="preserve">04-May-2026
14:03:08</t>
  </si>
  <si>
    <t>DF0226050400004346</t>
  </si>
  <si>
    <t xml:space="preserve">04-May-2026
14:06:15</t>
  </si>
  <si>
    <t>DF0226050400004347</t>
  </si>
  <si>
    <t xml:space="preserve">04-May-2026
14:17:56</t>
  </si>
  <si>
    <t>DF0226050400004348</t>
  </si>
  <si>
    <t xml:space="preserve">04-May-2026
14:57:14</t>
  </si>
  <si>
    <t>DF0226050400004349</t>
  </si>
  <si>
    <t xml:space="preserve">04-May-2026
15:33:20</t>
  </si>
  <si>
    <t>DF0226050400004350</t>
  </si>
  <si>
    <t xml:space="preserve">04-May-2026
15:39:47</t>
  </si>
  <si>
    <t>DF0226050400004351</t>
  </si>
  <si>
    <t xml:space="preserve">04-May-2026
15:53:31</t>
  </si>
  <si>
    <t>DF0226050400004352</t>
  </si>
  <si>
    <t xml:space="preserve">04-May-2026
15:56:03</t>
  </si>
  <si>
    <t>DF0226050400004353</t>
  </si>
  <si>
    <t xml:space="preserve">04-May-2026
16:15:05</t>
  </si>
  <si>
    <t>DF0226050400004354</t>
  </si>
  <si>
    <t xml:space="preserve">04-May-2026
16:46:38</t>
  </si>
  <si>
    <t>DF0226050400004355</t>
  </si>
  <si>
    <t xml:space="preserve">04-May-2026
16:48:36</t>
  </si>
  <si>
    <t>DF0226050400004356</t>
  </si>
  <si>
    <t xml:space="preserve">04-May-2026
17:33:39</t>
  </si>
  <si>
    <t>DF0226050400004357</t>
  </si>
  <si>
    <t xml:space="preserve">04-May-2026
17:34:09</t>
  </si>
  <si>
    <t>DF0226050400004358</t>
  </si>
  <si>
    <t xml:space="preserve">04-May-2026
18:17:08</t>
  </si>
  <si>
    <t>DF0226050400004359</t>
  </si>
  <si>
    <t xml:space="preserve">04-May-2026
18:46:08</t>
  </si>
  <si>
    <t>DF0226050400004360</t>
  </si>
  <si>
    <t xml:space="preserve">04-May-2026
18:53:19</t>
  </si>
  <si>
    <t>DF0226050400004361</t>
  </si>
  <si>
    <t xml:space="preserve">04-May-2026
19:41:59</t>
  </si>
  <si>
    <t>DF0226050400004362</t>
  </si>
  <si>
    <t xml:space="preserve">04-May-2026
20:10:45</t>
  </si>
  <si>
    <t>DF0226050400004363</t>
  </si>
  <si>
    <t xml:space="preserve">04-May-2026
20:11:29</t>
  </si>
  <si>
    <t>DF0226050400004364</t>
  </si>
  <si>
    <t xml:space="preserve">04-May-2026
20:20:18</t>
  </si>
  <si>
    <t>DF0226050400004365</t>
  </si>
  <si>
    <t xml:space="preserve">04-May-2026
20:41:58</t>
  </si>
  <si>
    <t>DF0226050400004366</t>
  </si>
  <si>
    <t xml:space="preserve">04-May-2026
20:45:39</t>
  </si>
  <si>
    <t>DF0226050400004367</t>
  </si>
  <si>
    <t xml:space="preserve">04-May-2026
21:44:40</t>
  </si>
  <si>
    <t>DF0226050400004368</t>
  </si>
  <si>
    <t xml:space="preserve">04-May-2026
22:12:40</t>
  </si>
  <si>
    <t>DF0226050400004369</t>
  </si>
  <si>
    <t xml:space="preserve">04-May-2026
22:19:43</t>
  </si>
  <si>
    <t>DF0226050400004370</t>
  </si>
  <si>
    <t xml:space="preserve">04-May-2026
22:29:23</t>
  </si>
  <si>
    <t>DF0226050400004371</t>
  </si>
  <si>
    <t xml:space="preserve">04-May-2026
22:39:33</t>
  </si>
  <si>
    <t>DF0226050400004372</t>
  </si>
  <si>
    <t xml:space="preserve">04-May-2026
23:11:47</t>
  </si>
  <si>
    <r>
      <rPr>
        <color rgb="FF000000"/>
        <sz val="11"/>
        <rFont val="Calibri"/>
      </rPr>
      <t>Rincian Penjualan</t>
    </r>
    <r>
      <rPr>
        <b/>
        <color rgb="FF000000"/>
        <sz val="15"/>
        <rFont val="Calibri"/>
      </rPr>
      <t xml:space="preserve">                                                        BC PADEL CLUB</t>
    </r>
    <r>
      <rPr>
        <color rgb="FF000000"/>
        <sz val="11"/>
        <rFont val="Calibri"/>
      </rPr>
      <t xml:space="preserve">
Periode 05 May 2026 - 05 May 2026
Dibuat pada 13-Jul-2026</t>
    </r>
  </si>
  <si>
    <t xml:space="preserve">Total Penjualan
IDR 4.757.000</t>
  </si>
  <si>
    <t xml:space="preserve">Total Modal
IDR 578.607</t>
  </si>
  <si>
    <t xml:space="preserve">Total Laba
IDR 4.178.393</t>
  </si>
  <si>
    <t xml:space="preserve">Total Pengunjung
67</t>
  </si>
  <si>
    <t>DF0226050500004373</t>
  </si>
  <si>
    <t xml:space="preserve">05-May-2026
07:13:31</t>
  </si>
  <si>
    <t>DF0226050500004374</t>
  </si>
  <si>
    <t xml:space="preserve">05-May-2026
07:54:26</t>
  </si>
  <si>
    <t>DF0226050500004375</t>
  </si>
  <si>
    <t xml:space="preserve">05-May-2026
08:19:17</t>
  </si>
  <si>
    <t>DF0226050500004376</t>
  </si>
  <si>
    <t xml:space="preserve">05-May-2026
08:20:53</t>
  </si>
  <si>
    <t>DF0226050500004377</t>
  </si>
  <si>
    <t xml:space="preserve">05-May-2026
08:25:41</t>
  </si>
  <si>
    <t>DF0226050500004378</t>
  </si>
  <si>
    <t xml:space="preserve">05-May-2026
08:32:18</t>
  </si>
  <si>
    <t>DF0226050500004379</t>
  </si>
  <si>
    <t xml:space="preserve">05-May-2026
08:50:09</t>
  </si>
  <si>
    <t>DF0226050500004380</t>
  </si>
  <si>
    <t xml:space="preserve">05-May-2026
08:59:56</t>
  </si>
  <si>
    <t>DF0226050500004381</t>
  </si>
  <si>
    <t xml:space="preserve">05-May-2026
09:10:58</t>
  </si>
  <si>
    <t>DF0226050500004382</t>
  </si>
  <si>
    <t xml:space="preserve">05-May-2026
09:13:34</t>
  </si>
  <si>
    <t>DF0226050500004383</t>
  </si>
  <si>
    <t xml:space="preserve">05-May-2026
09:28:20</t>
  </si>
  <si>
    <t>DF0226050500004384</t>
  </si>
  <si>
    <t xml:space="preserve">05-May-2026
09:35:54</t>
  </si>
  <si>
    <t>DF0226050500004385</t>
  </si>
  <si>
    <t xml:space="preserve">05-May-2026
09:41:17</t>
  </si>
  <si>
    <t>DF0226050500004386</t>
  </si>
  <si>
    <t xml:space="preserve">05-May-2026
09:46:45</t>
  </si>
  <si>
    <t>DF0226050500004387</t>
  </si>
  <si>
    <t xml:space="preserve">05-May-2026
10:28:47</t>
  </si>
  <si>
    <t>DF0226050500004388</t>
  </si>
  <si>
    <t xml:space="preserve">05-May-2026
10:30:43</t>
  </si>
  <si>
    <t>DF0226050500004389</t>
  </si>
  <si>
    <t xml:space="preserve">05-May-2026
11:00:46</t>
  </si>
  <si>
    <t>DF0226050500004390</t>
  </si>
  <si>
    <t xml:space="preserve">05-May-2026
11:01:01</t>
  </si>
  <si>
    <t>DF0226050500004391</t>
  </si>
  <si>
    <t xml:space="preserve">05-May-2026
11:16:37</t>
  </si>
  <si>
    <t>DF0226050500004392</t>
  </si>
  <si>
    <t xml:space="preserve">05-May-2026
11:17:27</t>
  </si>
  <si>
    <t>DF0226050500004393</t>
  </si>
  <si>
    <t xml:space="preserve">05-May-2026
11:22:03</t>
  </si>
  <si>
    <t>DF0226050500004394</t>
  </si>
  <si>
    <t xml:space="preserve">05-May-2026
11:23:22</t>
  </si>
  <si>
    <t>DF0226050500004395</t>
  </si>
  <si>
    <t xml:space="preserve">05-May-2026
11:45:50</t>
  </si>
  <si>
    <t>DF0226050500004396</t>
  </si>
  <si>
    <t xml:space="preserve">05-May-2026
12:05:50</t>
  </si>
  <si>
    <t>DF0226050500004397</t>
  </si>
  <si>
    <t xml:space="preserve">05-May-2026
12:29:42</t>
  </si>
  <si>
    <t>DF0226050500004398</t>
  </si>
  <si>
    <t xml:space="preserve">05-May-2026
12:39:54</t>
  </si>
  <si>
    <t>DF0226050500004399</t>
  </si>
  <si>
    <t xml:space="preserve">05-May-2026
12:49:18</t>
  </si>
  <si>
    <t>DF0226050500004400</t>
  </si>
  <si>
    <t xml:space="preserve">05-May-2026
12:59:16</t>
  </si>
  <si>
    <t>DF0226050500004401</t>
  </si>
  <si>
    <t xml:space="preserve">05-May-2026
13:24:41</t>
  </si>
  <si>
    <t>DF0226050500004402</t>
  </si>
  <si>
    <t xml:space="preserve">05-May-2026
13:25:01</t>
  </si>
  <si>
    <t>DF0226050500004403</t>
  </si>
  <si>
    <t xml:space="preserve">05-May-2026
13:27:03</t>
  </si>
  <si>
    <t>DF0226050500004404</t>
  </si>
  <si>
    <t xml:space="preserve">05-May-2026
14:38:47</t>
  </si>
  <si>
    <t>DF0226050500004405</t>
  </si>
  <si>
    <t xml:space="preserve">05-May-2026
14:56:46</t>
  </si>
  <si>
    <t>DF0226050500004406</t>
  </si>
  <si>
    <t xml:space="preserve">05-May-2026
15:05:28</t>
  </si>
  <si>
    <t>DF0226050500004407</t>
  </si>
  <si>
    <t xml:space="preserve">05-May-2026
15:08:52</t>
  </si>
  <si>
    <t>DF0226050500004408</t>
  </si>
  <si>
    <t xml:space="preserve">05-May-2026
15:20:34</t>
  </si>
  <si>
    <t>DF0226050500004409</t>
  </si>
  <si>
    <t xml:space="preserve">05-May-2026
15:24:36</t>
  </si>
  <si>
    <t>DF0226050500004410</t>
  </si>
  <si>
    <t xml:space="preserve">05-May-2026
15:29:29</t>
  </si>
  <si>
    <t>DF0226050500004411</t>
  </si>
  <si>
    <t xml:space="preserve">05-May-2026
15:37:39</t>
  </si>
  <si>
    <t>DF0226050500004412</t>
  </si>
  <si>
    <t xml:space="preserve">05-May-2026
16:11:45</t>
  </si>
  <si>
    <t>DF0226050500004413</t>
  </si>
  <si>
    <t xml:space="preserve">05-May-2026
16:12:56</t>
  </si>
  <si>
    <t>DF0226050500004414</t>
  </si>
  <si>
    <t xml:space="preserve">05-May-2026
16:16:49</t>
  </si>
  <si>
    <t>DF0226050500004415</t>
  </si>
  <si>
    <t xml:space="preserve">05-May-2026
16:22:54</t>
  </si>
  <si>
    <t>DF0226050500004416</t>
  </si>
  <si>
    <t xml:space="preserve">05-May-2026
16:43:58</t>
  </si>
  <si>
    <t>DF0226050500004417</t>
  </si>
  <si>
    <t xml:space="preserve">05-May-2026
16:48:34</t>
  </si>
  <si>
    <t>DF0226050500004418</t>
  </si>
  <si>
    <t xml:space="preserve">05-May-2026
16:59:38</t>
  </si>
  <si>
    <t>DF0226050500004419</t>
  </si>
  <si>
    <t xml:space="preserve">05-May-2026
17:01:26</t>
  </si>
  <si>
    <t>DF0226050500004420</t>
  </si>
  <si>
    <t xml:space="preserve">05-May-2026
18:23:01</t>
  </si>
  <si>
    <t>DF0226050500004421</t>
  </si>
  <si>
    <t xml:space="preserve">05-May-2026
19:10:38</t>
  </si>
  <si>
    <t>DF0226050500004422</t>
  </si>
  <si>
    <t xml:space="preserve">05-May-2026
19:15:16</t>
  </si>
  <si>
    <t>DF0226050500004423</t>
  </si>
  <si>
    <t xml:space="preserve">05-May-2026
19:31:51</t>
  </si>
  <si>
    <t>DF0226050500004424</t>
  </si>
  <si>
    <t xml:space="preserve">05-May-2026
19:35:22</t>
  </si>
  <si>
    <t>DF0226050500004425</t>
  </si>
  <si>
    <t xml:space="preserve">05-May-2026
19:45:00</t>
  </si>
  <si>
    <t>DF0226050500004426</t>
  </si>
  <si>
    <t xml:space="preserve">05-May-2026
19:46:33</t>
  </si>
  <si>
    <t>DF0226050500004427</t>
  </si>
  <si>
    <t xml:space="preserve">05-May-2026
19:48:53</t>
  </si>
  <si>
    <t>DF0226050500004428</t>
  </si>
  <si>
    <t xml:space="preserve">05-May-2026
19:50:44</t>
  </si>
  <si>
    <t>DF0226050500004429</t>
  </si>
  <si>
    <t xml:space="preserve">05-May-2026
20:05:08</t>
  </si>
  <si>
    <t>DF0226050500004430</t>
  </si>
  <si>
    <t xml:space="preserve">05-May-2026
20:40:08</t>
  </si>
  <si>
    <t>DF0226050500004431</t>
  </si>
  <si>
    <t xml:space="preserve">05-May-2026
20:42:22</t>
  </si>
  <si>
    <t>DF0226050500004432</t>
  </si>
  <si>
    <t xml:space="preserve">05-May-2026
21:05:15</t>
  </si>
  <si>
    <t>DF0226050500004433</t>
  </si>
  <si>
    <t xml:space="preserve">05-May-2026
21:13:58</t>
  </si>
  <si>
    <t>DF0226050500004434</t>
  </si>
  <si>
    <t xml:space="preserve">05-May-2026
21:14:47</t>
  </si>
  <si>
    <t>DF0226050500004435</t>
  </si>
  <si>
    <t xml:space="preserve">05-May-2026
21:16:13</t>
  </si>
  <si>
    <t>DF0226050500004436</t>
  </si>
  <si>
    <t xml:space="preserve">05-May-2026
21:23:03</t>
  </si>
  <si>
    <t>DF0226050500004437</t>
  </si>
  <si>
    <t xml:space="preserve">05-May-2026
21:23:56</t>
  </si>
  <si>
    <t>DF0226050500004438</t>
  </si>
  <si>
    <t xml:space="preserve">05-May-2026
21:54:58</t>
  </si>
  <si>
    <t>DF0226050500004439</t>
  </si>
  <si>
    <t xml:space="preserve">05-May-2026
22:11:13</t>
  </si>
  <si>
    <r>
      <rPr>
        <color rgb="FF000000"/>
        <sz val="11"/>
        <rFont val="Calibri"/>
      </rPr>
      <t>Rincian Penjualan</t>
    </r>
    <r>
      <rPr>
        <b/>
        <color rgb="FF000000"/>
        <sz val="15"/>
        <rFont val="Calibri"/>
      </rPr>
      <t xml:space="preserve">                                                        BC PADEL CLUB</t>
    </r>
    <r>
      <rPr>
        <color rgb="FF000000"/>
        <sz val="11"/>
        <rFont val="Calibri"/>
      </rPr>
      <t xml:space="preserve">
Periode 06 May 2026 - 06 May 2026
Dibuat pada 13-Jul-2026</t>
    </r>
  </si>
  <si>
    <t xml:space="preserve">Total Penjualan
IDR 6.530.000</t>
  </si>
  <si>
    <t xml:space="preserve">Total Modal
IDR 501.988</t>
  </si>
  <si>
    <t xml:space="preserve">Total Laba
IDR 6.028.012</t>
  </si>
  <si>
    <t xml:space="preserve">Total Pengunjung
69</t>
  </si>
  <si>
    <t>DF0226050600004440</t>
  </si>
  <si>
    <t xml:space="preserve">06-May-2026
07:32:51</t>
  </si>
  <si>
    <t>DF0226050600004441</t>
  </si>
  <si>
    <t xml:space="preserve">06-May-2026
07:49:51</t>
  </si>
  <si>
    <t>DF0226050600004442</t>
  </si>
  <si>
    <t xml:space="preserve">06-May-2026
07:52:00</t>
  </si>
  <si>
    <t>DF0226050600004443</t>
  </si>
  <si>
    <t xml:space="preserve">06-May-2026
07:52:43</t>
  </si>
  <si>
    <t>DF0226050600004444</t>
  </si>
  <si>
    <t xml:space="preserve">06-May-2026
07:58:35</t>
  </si>
  <si>
    <t>DF0226050600004445</t>
  </si>
  <si>
    <t xml:space="preserve">06-May-2026
08:04:38</t>
  </si>
  <si>
    <t>DF0226050600004446</t>
  </si>
  <si>
    <t xml:space="preserve">06-May-2026
08:21:42</t>
  </si>
  <si>
    <t>DF0226050600004447</t>
  </si>
  <si>
    <t xml:space="preserve">06-May-2026
08:36:47</t>
  </si>
  <si>
    <t>DF0226050600004448</t>
  </si>
  <si>
    <t xml:space="preserve">06-May-2026
08:44:14</t>
  </si>
  <si>
    <t>DF0226050600004449</t>
  </si>
  <si>
    <t xml:space="preserve">06-May-2026
08:58:52</t>
  </si>
  <si>
    <t>DF0226050600004450</t>
  </si>
  <si>
    <t xml:space="preserve">06-May-2026
08:59:50</t>
  </si>
  <si>
    <t>DF0226050600004451</t>
  </si>
  <si>
    <t xml:space="preserve">06-May-2026
09:02:27</t>
  </si>
  <si>
    <t>DF0226050600004452</t>
  </si>
  <si>
    <t xml:space="preserve">06-May-2026
09:02:48</t>
  </si>
  <si>
    <t>DF0226050600004453</t>
  </si>
  <si>
    <t xml:space="preserve">06-May-2026
09:14:57</t>
  </si>
  <si>
    <t>DF0226050600004454</t>
  </si>
  <si>
    <t xml:space="preserve">06-May-2026
09:40:29</t>
  </si>
  <si>
    <t>DF0226050600004455</t>
  </si>
  <si>
    <t xml:space="preserve">06-May-2026
09:42:14</t>
  </si>
  <si>
    <t>DF0226050600004456</t>
  </si>
  <si>
    <t xml:space="preserve">06-May-2026
10:01:41</t>
  </si>
  <si>
    <t>DF0226050600004457</t>
  </si>
  <si>
    <t xml:space="preserve">06-May-2026
10:08:36</t>
  </si>
  <si>
    <t>DF0226050600004458</t>
  </si>
  <si>
    <t xml:space="preserve">06-May-2026
10:18:49</t>
  </si>
  <si>
    <t>DF0226050600004459</t>
  </si>
  <si>
    <t xml:space="preserve">06-May-2026
10:48:09</t>
  </si>
  <si>
    <t>DF0226050600004460</t>
  </si>
  <si>
    <t xml:space="preserve">06-May-2026
11:25:41</t>
  </si>
  <si>
    <t>DF0226050600004461</t>
  </si>
  <si>
    <t xml:space="preserve">06-May-2026
11:38:32</t>
  </si>
  <si>
    <t>DF0226050600004462</t>
  </si>
  <si>
    <t xml:space="preserve">06-May-2026
11:42:04</t>
  </si>
  <si>
    <t>DF0226050600004463</t>
  </si>
  <si>
    <t xml:space="preserve">06-May-2026
11:44:59</t>
  </si>
  <si>
    <t>DF0226050600004464</t>
  </si>
  <si>
    <t xml:space="preserve">06-May-2026
12:01:00</t>
  </si>
  <si>
    <t>DF0226050600004465</t>
  </si>
  <si>
    <t xml:space="preserve">06-May-2026
12:09:23</t>
  </si>
  <si>
    <t>DF0226050600004466</t>
  </si>
  <si>
    <t xml:space="preserve">06-May-2026
12:12:32</t>
  </si>
  <si>
    <t>DF0226050600004467</t>
  </si>
  <si>
    <t xml:space="preserve">06-May-2026
12:15:27</t>
  </si>
  <si>
    <t>DF0226050600004468</t>
  </si>
  <si>
    <t xml:space="preserve">06-May-2026
12:55:55</t>
  </si>
  <si>
    <t>DF0226050600004469</t>
  </si>
  <si>
    <t xml:space="preserve">06-May-2026
13:42:04</t>
  </si>
  <si>
    <t>DF0226050600004470</t>
  </si>
  <si>
    <t xml:space="preserve">06-May-2026
13:59:29</t>
  </si>
  <si>
    <t>DF0226050600004471</t>
  </si>
  <si>
    <t xml:space="preserve">06-May-2026
14:10:34</t>
  </si>
  <si>
    <t>DF0226050600004472</t>
  </si>
  <si>
    <t xml:space="preserve">06-May-2026
14:29:49</t>
  </si>
  <si>
    <t>DF0226050600004473</t>
  </si>
  <si>
    <t xml:space="preserve">06-May-2026
14:46:10</t>
  </si>
  <si>
    <t>DF0226050600004474</t>
  </si>
  <si>
    <t xml:space="preserve">06-May-2026
16:16:31</t>
  </si>
  <si>
    <t>DF0226050600004475</t>
  </si>
  <si>
    <t xml:space="preserve">06-May-2026
17:12:00</t>
  </si>
  <si>
    <t>DF0226050600004476</t>
  </si>
  <si>
    <t xml:space="preserve">06-May-2026
17:17:35</t>
  </si>
  <si>
    <t>DF0226050600004477</t>
  </si>
  <si>
    <t xml:space="preserve">06-May-2026
17:25:30</t>
  </si>
  <si>
    <t>DF0226050600004478</t>
  </si>
  <si>
    <t xml:space="preserve">06-May-2026
17:28:15</t>
  </si>
  <si>
    <t>DF0226050600004479</t>
  </si>
  <si>
    <t xml:space="preserve">06-May-2026
17:36:00</t>
  </si>
  <si>
    <t>DF0226050600004480</t>
  </si>
  <si>
    <t xml:space="preserve">06-May-2026
17:37:11</t>
  </si>
  <si>
    <t>DF0226050600004481</t>
  </si>
  <si>
    <t xml:space="preserve">06-May-2026
17:38:20</t>
  </si>
  <si>
    <t>DF0226050600004482</t>
  </si>
  <si>
    <t xml:space="preserve">06-May-2026
17:44:44</t>
  </si>
  <si>
    <t>DF0226050600004483</t>
  </si>
  <si>
    <t xml:space="preserve">06-May-2026
17:48:50</t>
  </si>
  <si>
    <t>DF0226050600004484</t>
  </si>
  <si>
    <t xml:space="preserve">06-May-2026
18:00:28</t>
  </si>
  <si>
    <t>DF0226050600004485</t>
  </si>
  <si>
    <t xml:space="preserve">06-May-2026
18:04:04</t>
  </si>
  <si>
    <t>DF0226050600004486</t>
  </si>
  <si>
    <t xml:space="preserve">06-May-2026
18:06:01</t>
  </si>
  <si>
    <t>DF0226050600004487</t>
  </si>
  <si>
    <t xml:space="preserve">06-May-2026
19:00:16</t>
  </si>
  <si>
    <t>DF0226050600004488</t>
  </si>
  <si>
    <t xml:space="preserve">06-May-2026
19:03:23</t>
  </si>
  <si>
    <t>DF0226050600004489</t>
  </si>
  <si>
    <t xml:space="preserve">06-May-2026
19:05:55</t>
  </si>
  <si>
    <t>DF0226050600004490</t>
  </si>
  <si>
    <t xml:space="preserve">06-May-2026
19:22:51</t>
  </si>
  <si>
    <t>DF0226050600004491</t>
  </si>
  <si>
    <t xml:space="preserve">06-May-2026
19:41:18</t>
  </si>
  <si>
    <t>DF0226050600004492</t>
  </si>
  <si>
    <t xml:space="preserve">06-May-2026
19:45:31</t>
  </si>
  <si>
    <t>DF0226050600004493</t>
  </si>
  <si>
    <t xml:space="preserve">06-May-2026
19:53:43</t>
  </si>
  <si>
    <t>DF0226050600004494</t>
  </si>
  <si>
    <t xml:space="preserve">06-May-2026
19:58:34</t>
  </si>
  <si>
    <t>DF0226050600004495</t>
  </si>
  <si>
    <t xml:space="preserve">06-May-2026
20:08:53</t>
  </si>
  <si>
    <t>DF0226050600004496</t>
  </si>
  <si>
    <t xml:space="preserve">06-May-2026
20:11:52</t>
  </si>
  <si>
    <t>DF0226050600004497</t>
  </si>
  <si>
    <t xml:space="preserve">06-May-2026
20:31:35</t>
  </si>
  <si>
    <t>DF0226050600004498</t>
  </si>
  <si>
    <t xml:space="preserve">06-May-2026
20:32:27</t>
  </si>
  <si>
    <t>DF0226050600004499</t>
  </si>
  <si>
    <t xml:space="preserve">06-May-2026
20:46:48</t>
  </si>
  <si>
    <t>DF0226050600004500</t>
  </si>
  <si>
    <t xml:space="preserve">06-May-2026
21:00:33</t>
  </si>
  <si>
    <t>DF0226050600004501</t>
  </si>
  <si>
    <t xml:space="preserve">06-May-2026
21:03:19</t>
  </si>
  <si>
    <t>DF0226050600004502</t>
  </si>
  <si>
    <t xml:space="preserve">06-May-2026
21:06:50</t>
  </si>
  <si>
    <t>DF0226050600004503</t>
  </si>
  <si>
    <t xml:space="preserve">06-May-2026
21:46:30</t>
  </si>
  <si>
    <t>DF0226050600004504</t>
  </si>
  <si>
    <t xml:space="preserve">06-May-2026
21:46:56</t>
  </si>
  <si>
    <t>DF0226050600004505</t>
  </si>
  <si>
    <t xml:space="preserve">06-May-2026
22:12:47</t>
  </si>
  <si>
    <t>DF0226050600004506</t>
  </si>
  <si>
    <t xml:space="preserve">06-May-2026
22:19:26</t>
  </si>
  <si>
    <t>DF0226050600004507</t>
  </si>
  <si>
    <t xml:space="preserve">06-May-2026
23:03:42</t>
  </si>
  <si>
    <t>DF0226050600004508</t>
  </si>
  <si>
    <t xml:space="preserve">06-May-2026
23:27:10</t>
  </si>
  <si>
    <r>
      <rPr>
        <color rgb="FF000000"/>
        <sz val="11"/>
        <rFont val="Calibri"/>
      </rPr>
      <t>Rincian Penjualan</t>
    </r>
    <r>
      <rPr>
        <b/>
        <color rgb="FF000000"/>
        <sz val="15"/>
        <rFont val="Calibri"/>
      </rPr>
      <t xml:space="preserve">                                                        BC PADEL CLUB</t>
    </r>
    <r>
      <rPr>
        <color rgb="FF000000"/>
        <sz val="11"/>
        <rFont val="Calibri"/>
      </rPr>
      <t xml:space="preserve">
Periode 07 May 2026 - 07 May 2026
Dibuat pada 13-Jul-2026</t>
    </r>
  </si>
  <si>
    <t xml:space="preserve">Total Penjualan
IDR 4.305.000</t>
  </si>
  <si>
    <t xml:space="preserve">Total Modal
IDR 381.897</t>
  </si>
  <si>
    <t xml:space="preserve">Total Laba
IDR 3.923.103</t>
  </si>
  <si>
    <t xml:space="preserve">Total Pengunjung
46</t>
  </si>
  <si>
    <t>DF0226050700004509</t>
  </si>
  <si>
    <t xml:space="preserve">07-May-2026
00:12:39</t>
  </si>
  <si>
    <t>DF0226050700004510</t>
  </si>
  <si>
    <t xml:space="preserve">07-May-2026
08:19:02</t>
  </si>
  <si>
    <t>DF0226050700004511</t>
  </si>
  <si>
    <t xml:space="preserve">07-May-2026
08:33:31</t>
  </si>
  <si>
    <t>DF0226050700004512</t>
  </si>
  <si>
    <t xml:space="preserve">07-May-2026
08:45:38</t>
  </si>
  <si>
    <t>DF0226050700004513</t>
  </si>
  <si>
    <t xml:space="preserve">07-May-2026
08:57:51</t>
  </si>
  <si>
    <t>DF0226050700004514</t>
  </si>
  <si>
    <t xml:space="preserve">07-May-2026
10:59:35</t>
  </si>
  <si>
    <t>DF0226050700004515</t>
  </si>
  <si>
    <t xml:space="preserve">07-May-2026
11:08:10</t>
  </si>
  <si>
    <t>DF0226050700004516</t>
  </si>
  <si>
    <t xml:space="preserve">07-May-2026
11:16:32</t>
  </si>
  <si>
    <t>DF0226050700004517</t>
  </si>
  <si>
    <t xml:space="preserve">07-May-2026
11:29:59</t>
  </si>
  <si>
    <t>DF0226050700004518</t>
  </si>
  <si>
    <t xml:space="preserve">07-May-2026
11:42:28</t>
  </si>
  <si>
    <t>DF0226050700004519</t>
  </si>
  <si>
    <t xml:space="preserve">07-May-2026
11:48:32</t>
  </si>
  <si>
    <t>DF0226050700004520</t>
  </si>
  <si>
    <t xml:space="preserve">07-May-2026
12:00:42</t>
  </si>
  <si>
    <t>DF0226050700004521</t>
  </si>
  <si>
    <t xml:space="preserve">07-May-2026
12:22:07</t>
  </si>
  <si>
    <t>DF0226050700004522</t>
  </si>
  <si>
    <t xml:space="preserve">07-May-2026
12:27:54</t>
  </si>
  <si>
    <t>DF0226050700004523</t>
  </si>
  <si>
    <t xml:space="preserve">07-May-2026
12:43:07</t>
  </si>
  <si>
    <t>DF0226050700004524</t>
  </si>
  <si>
    <t xml:space="preserve">07-May-2026
12:49:05</t>
  </si>
  <si>
    <t>DF0226050700004525</t>
  </si>
  <si>
    <t xml:space="preserve">07-May-2026
13:18:43</t>
  </si>
  <si>
    <t>DF0226050700004526</t>
  </si>
  <si>
    <t xml:space="preserve">07-May-2026
13:26:17</t>
  </si>
  <si>
    <t>DF0226050700004527</t>
  </si>
  <si>
    <t xml:space="preserve">07-May-2026
13:40:09</t>
  </si>
  <si>
    <t>DF0226050700004528</t>
  </si>
  <si>
    <t xml:space="preserve">07-May-2026
13:40:54</t>
  </si>
  <si>
    <t>DF0226050700004529</t>
  </si>
  <si>
    <t xml:space="preserve">07-May-2026
13:46:00</t>
  </si>
  <si>
    <t>DF0226050700004530</t>
  </si>
  <si>
    <t xml:space="preserve">07-May-2026
13:48:05</t>
  </si>
  <si>
    <t>DF0226050700004531</t>
  </si>
  <si>
    <t xml:space="preserve">07-May-2026
13:58:11</t>
  </si>
  <si>
    <t>DF0226050700004532</t>
  </si>
  <si>
    <t xml:space="preserve">07-May-2026
14:13:40</t>
  </si>
  <si>
    <t>DF0226050700004533</t>
  </si>
  <si>
    <t xml:space="preserve">07-May-2026
15:01:16</t>
  </si>
  <si>
    <t>DF0226050700004534</t>
  </si>
  <si>
    <t xml:space="preserve">07-May-2026
15:04:26</t>
  </si>
  <si>
    <t>DF0226050700004535</t>
  </si>
  <si>
    <t xml:space="preserve">07-May-2026
15:08:32</t>
  </si>
  <si>
    <t>DF0226050700004536</t>
  </si>
  <si>
    <t xml:space="preserve">07-May-2026
15:22:42</t>
  </si>
  <si>
    <t>DF0226050700004537</t>
  </si>
  <si>
    <t xml:space="preserve">07-May-2026
16:02:43</t>
  </si>
  <si>
    <t>DF0226050700004538</t>
  </si>
  <si>
    <t xml:space="preserve">07-May-2026
16:28:28</t>
  </si>
  <si>
    <t>DF0226050700004539</t>
  </si>
  <si>
    <t xml:space="preserve">07-May-2026
16:28:52</t>
  </si>
  <si>
    <t>DF0226050700004540</t>
  </si>
  <si>
    <t xml:space="preserve">07-May-2026
17:30:26</t>
  </si>
  <si>
    <t>DF0226050700004541</t>
  </si>
  <si>
    <t xml:space="preserve">07-May-2026
17:33:39</t>
  </si>
  <si>
    <t>DF0226050700004542</t>
  </si>
  <si>
    <t xml:space="preserve">07-May-2026
18:31:24</t>
  </si>
  <si>
    <t>DF0226050700004543</t>
  </si>
  <si>
    <t xml:space="preserve">07-May-2026
18:37:33</t>
  </si>
  <si>
    <t>DF0226050700004544</t>
  </si>
  <si>
    <t xml:space="preserve">07-May-2026
18:55:28</t>
  </si>
  <si>
    <t>DF0226050700004545</t>
  </si>
  <si>
    <t xml:space="preserve">07-May-2026
19:41:27</t>
  </si>
  <si>
    <t>DF0226050700004546</t>
  </si>
  <si>
    <t xml:space="preserve">07-May-2026
19:48:18</t>
  </si>
  <si>
    <t>DF0226050700004547</t>
  </si>
  <si>
    <t xml:space="preserve">07-May-2026
19:57:46</t>
  </si>
  <si>
    <t>DF0226050700004548</t>
  </si>
  <si>
    <t xml:space="preserve">07-May-2026
20:38:29</t>
  </si>
  <si>
    <t>DF0226050700004549</t>
  </si>
  <si>
    <t xml:space="preserve">07-May-2026
21:20:23</t>
  </si>
  <si>
    <t>DF0226050700004550</t>
  </si>
  <si>
    <t xml:space="preserve">07-May-2026
21:55:06</t>
  </si>
  <si>
    <t>DF0226050700004551</t>
  </si>
  <si>
    <t xml:space="preserve">07-May-2026
22:12:59</t>
  </si>
  <si>
    <t>DF0226050700004552</t>
  </si>
  <si>
    <t xml:space="preserve">07-May-2026
22:28:00</t>
  </si>
  <si>
    <t>DF0226050700004553</t>
  </si>
  <si>
    <t xml:space="preserve">07-May-2026
22:48:41</t>
  </si>
  <si>
    <t>DF0226050700004554</t>
  </si>
  <si>
    <t xml:space="preserve">07-May-2026
22:55:36</t>
  </si>
  <si>
    <r>
      <rPr>
        <color rgb="FF000000"/>
        <sz val="11"/>
        <rFont val="Calibri"/>
      </rPr>
      <t>Rincian Penjualan</t>
    </r>
    <r>
      <rPr>
        <b/>
        <color rgb="FF000000"/>
        <sz val="15"/>
        <rFont val="Calibri"/>
      </rPr>
      <t xml:space="preserve">                                                        BC PADEL CLUB</t>
    </r>
    <r>
      <rPr>
        <color rgb="FF000000"/>
        <sz val="11"/>
        <rFont val="Calibri"/>
      </rPr>
      <t xml:space="preserve">
Periode 08 May 2026 - 08 May 2026
Dibuat pada 13-Jul-2026</t>
    </r>
  </si>
  <si>
    <t xml:space="preserve">Total Penjualan
IDR 4.724.000</t>
  </si>
  <si>
    <t xml:space="preserve">Total Modal
IDR 445.486</t>
  </si>
  <si>
    <t xml:space="preserve">Total Laba
IDR 4.278.514</t>
  </si>
  <si>
    <t xml:space="preserve">Total Pengunjung
70</t>
  </si>
  <si>
    <t>DF0226050800004555</t>
  </si>
  <si>
    <t xml:space="preserve">08-May-2026
07:37:46</t>
  </si>
  <si>
    <t>DF0226050800004556</t>
  </si>
  <si>
    <t xml:space="preserve">08-May-2026
07:53:08</t>
  </si>
  <si>
    <t>DF0226050800004557</t>
  </si>
  <si>
    <t xml:space="preserve">08-May-2026
07:57:26</t>
  </si>
  <si>
    <t>DF0226050800004558</t>
  </si>
  <si>
    <t xml:space="preserve">08-May-2026
08:04:51</t>
  </si>
  <si>
    <t>DF0226050800004559</t>
  </si>
  <si>
    <t xml:space="preserve">08-May-2026
08:05:53</t>
  </si>
  <si>
    <t>DF0226050800004560</t>
  </si>
  <si>
    <t xml:space="preserve">08-May-2026
08:12:54</t>
  </si>
  <si>
    <t>DF0226050800004561</t>
  </si>
  <si>
    <t xml:space="preserve">08-May-2026
09:05:44</t>
  </si>
  <si>
    <t>DF0226050800004562</t>
  </si>
  <si>
    <t xml:space="preserve">08-May-2026
09:10:34</t>
  </si>
  <si>
    <t>DF0226050800004563</t>
  </si>
  <si>
    <t xml:space="preserve">08-May-2026
09:13:08</t>
  </si>
  <si>
    <t>DF0226050800004564</t>
  </si>
  <si>
    <t xml:space="preserve">08-May-2026
09:36:08</t>
  </si>
  <si>
    <t>DF0226050800004565</t>
  </si>
  <si>
    <t xml:space="preserve">08-May-2026
09:46:06</t>
  </si>
  <si>
    <t>DF0226050800004566</t>
  </si>
  <si>
    <t xml:space="preserve">08-May-2026
09:53:20</t>
  </si>
  <si>
    <t>DF0226050800004567</t>
  </si>
  <si>
    <t xml:space="preserve">08-May-2026
10:34:11</t>
  </si>
  <si>
    <t>DF0226050800004568</t>
  </si>
  <si>
    <t xml:space="preserve">08-May-2026
11:28:45</t>
  </si>
  <si>
    <t>DF0226050800004569</t>
  </si>
  <si>
    <t xml:space="preserve">08-May-2026
11:59:44</t>
  </si>
  <si>
    <t>DF0226050800004570</t>
  </si>
  <si>
    <t xml:space="preserve">08-May-2026
12:27:27</t>
  </si>
  <si>
    <t>DF0226050800004571</t>
  </si>
  <si>
    <t xml:space="preserve">08-May-2026
12:31:12</t>
  </si>
  <si>
    <t>DF0226050800004572</t>
  </si>
  <si>
    <t xml:space="preserve">08-May-2026
12:37:07</t>
  </si>
  <si>
    <t>DF0226050800004573</t>
  </si>
  <si>
    <t xml:space="preserve">08-May-2026
12:39:35</t>
  </si>
  <si>
    <t>DF0226050800004574</t>
  </si>
  <si>
    <t xml:space="preserve">08-May-2026
12:40:12</t>
  </si>
  <si>
    <t>DF0226050800004575</t>
  </si>
  <si>
    <t xml:space="preserve">08-May-2026
12:50:28</t>
  </si>
  <si>
    <t>DF0226050800004576</t>
  </si>
  <si>
    <t xml:space="preserve">08-May-2026
12:59:27</t>
  </si>
  <si>
    <t>DF0226050800004577</t>
  </si>
  <si>
    <t xml:space="preserve">08-May-2026
13:01:27</t>
  </si>
  <si>
    <t>DF0226050800004578</t>
  </si>
  <si>
    <t xml:space="preserve">08-May-2026
13:15:42</t>
  </si>
  <si>
    <t>DF0226050800004579</t>
  </si>
  <si>
    <t xml:space="preserve">08-May-2026
13:18:26</t>
  </si>
  <si>
    <t>DF0226050800004580</t>
  </si>
  <si>
    <t xml:space="preserve">08-May-2026
13:20:10</t>
  </si>
  <si>
    <t>DF0226050800004581</t>
  </si>
  <si>
    <t xml:space="preserve">08-May-2026
13:30:34</t>
  </si>
  <si>
    <t>DF0226050800004582</t>
  </si>
  <si>
    <t xml:space="preserve">08-May-2026
13:57:07</t>
  </si>
  <si>
    <t>DF0226050800004583</t>
  </si>
  <si>
    <t xml:space="preserve">08-May-2026
14:03:02</t>
  </si>
  <si>
    <t>DF0226050800004584</t>
  </si>
  <si>
    <t xml:space="preserve">08-May-2026
14:06:13</t>
  </si>
  <si>
    <t>DF0226050800004585</t>
  </si>
  <si>
    <t xml:space="preserve">08-May-2026
14:28:40</t>
  </si>
  <si>
    <t>DF0226050800004586</t>
  </si>
  <si>
    <t xml:space="preserve">08-May-2026
14:45:09</t>
  </si>
  <si>
    <t>DF0226050800004587</t>
  </si>
  <si>
    <t xml:space="preserve">08-May-2026
15:28:20</t>
  </si>
  <si>
    <t>DF0226050800004588</t>
  </si>
  <si>
    <t xml:space="preserve">08-May-2026
15:38:14</t>
  </si>
  <si>
    <t>DF0226050800004589</t>
  </si>
  <si>
    <t xml:space="preserve">08-May-2026
15:45:23</t>
  </si>
  <si>
    <t>DF0226050800004590</t>
  </si>
  <si>
    <t xml:space="preserve">08-May-2026
16:01:10</t>
  </si>
  <si>
    <t>DF0226050800004591</t>
  </si>
  <si>
    <t xml:space="preserve">08-May-2026
16:16:36</t>
  </si>
  <si>
    <t>DF0226050800004592</t>
  </si>
  <si>
    <t xml:space="preserve">08-May-2026
16:37:44</t>
  </si>
  <si>
    <t>DF0226050800004593</t>
  </si>
  <si>
    <t xml:space="preserve">08-May-2026
16:53:47</t>
  </si>
  <si>
    <t>DF0226050800004594</t>
  </si>
  <si>
    <t xml:space="preserve">08-May-2026
17:04:27</t>
  </si>
  <si>
    <t>DF0226050800004595</t>
  </si>
  <si>
    <t xml:space="preserve">08-May-2026
17:14:34</t>
  </si>
  <si>
    <t>DF0226050800004596</t>
  </si>
  <si>
    <t xml:space="preserve">08-May-2026
17:17:28</t>
  </si>
  <si>
    <t>DF0226050800004597</t>
  </si>
  <si>
    <t xml:space="preserve">08-May-2026
17:20:11</t>
  </si>
  <si>
    <t>DF0226050800004598</t>
  </si>
  <si>
    <t xml:space="preserve">08-May-2026
17:28:48</t>
  </si>
  <si>
    <t>DF0226050800004599</t>
  </si>
  <si>
    <t xml:space="preserve">08-May-2026
17:33:17</t>
  </si>
  <si>
    <t>DF0226050800004600</t>
  </si>
  <si>
    <t xml:space="preserve">08-May-2026
18:34:18</t>
  </si>
  <si>
    <t>DF0226050800004601</t>
  </si>
  <si>
    <t xml:space="preserve">08-May-2026
18:54:34</t>
  </si>
  <si>
    <t>DF0226050800004602</t>
  </si>
  <si>
    <t xml:space="preserve">08-May-2026
19:02:09</t>
  </si>
  <si>
    <t>DF0226050800004603</t>
  </si>
  <si>
    <t xml:space="preserve">08-May-2026
19:20:57</t>
  </si>
  <si>
    <t>DF0226050800004604</t>
  </si>
  <si>
    <t xml:space="preserve">08-May-2026
19:26:39</t>
  </si>
  <si>
    <t>DF0226050800004605</t>
  </si>
  <si>
    <t xml:space="preserve">08-May-2026
19:28:06</t>
  </si>
  <si>
    <t>DF0226050800004606</t>
  </si>
  <si>
    <t xml:space="preserve">08-May-2026
19:49:17</t>
  </si>
  <si>
    <t>DF0226050800004607</t>
  </si>
  <si>
    <t xml:space="preserve">08-May-2026
19:56:51</t>
  </si>
  <si>
    <t>DF0226050800004608</t>
  </si>
  <si>
    <t xml:space="preserve">08-May-2026
20:06:44</t>
  </si>
  <si>
    <t>DF0226050800004609</t>
  </si>
  <si>
    <t xml:space="preserve">08-May-2026
20:47:48</t>
  </si>
  <si>
    <t>DF0226050800004610</t>
  </si>
  <si>
    <t xml:space="preserve">08-May-2026
20:50:15</t>
  </si>
  <si>
    <t>DF0226050800004611</t>
  </si>
  <si>
    <t xml:space="preserve">08-May-2026
20:50:50</t>
  </si>
  <si>
    <t>DF0226050800004612</t>
  </si>
  <si>
    <t xml:space="preserve">08-May-2026
20:50:59</t>
  </si>
  <si>
    <t>DF0226050800004613</t>
  </si>
  <si>
    <t xml:space="preserve">08-May-2026
21:00:29</t>
  </si>
  <si>
    <t>DF0226050800004614</t>
  </si>
  <si>
    <t xml:space="preserve">08-May-2026
21:03:43</t>
  </si>
  <si>
    <t>DF0226050800004615</t>
  </si>
  <si>
    <t xml:space="preserve">08-May-2026
21:44:37</t>
  </si>
  <si>
    <t>DF0226050800004616</t>
  </si>
  <si>
    <t xml:space="preserve">08-May-2026
21:47:27</t>
  </si>
  <si>
    <t>DF0226050800004617</t>
  </si>
  <si>
    <t xml:space="preserve">08-May-2026
21:47:55</t>
  </si>
  <si>
    <t>DF0226050800004618</t>
  </si>
  <si>
    <t xml:space="preserve">08-May-2026
21:48:57</t>
  </si>
  <si>
    <t>DF0226050800004619</t>
  </si>
  <si>
    <t xml:space="preserve">08-May-2026
21:52:23</t>
  </si>
  <si>
    <t>DF0226050800004620</t>
  </si>
  <si>
    <t xml:space="preserve">08-May-2026
22:23:32</t>
  </si>
  <si>
    <t>DF0226050800004621</t>
  </si>
  <si>
    <t xml:space="preserve">08-May-2026
22:47:22</t>
  </si>
  <si>
    <t>DF0226050800004622</t>
  </si>
  <si>
    <t xml:space="preserve">08-May-2026
22:50:38</t>
  </si>
  <si>
    <t>DF0226050800004623</t>
  </si>
  <si>
    <t xml:space="preserve">08-May-2026
22:57:52</t>
  </si>
  <si>
    <t>DF0226050800004624</t>
  </si>
  <si>
    <t xml:space="preserve">08-May-2026
23:16:12</t>
  </si>
  <si>
    <r>
      <rPr>
        <color rgb="FF000000"/>
        <sz val="11"/>
        <rFont val="Calibri"/>
      </rPr>
      <t>Rincian Penjualan</t>
    </r>
    <r>
      <rPr>
        <b/>
        <color rgb="FF000000"/>
        <sz val="15"/>
        <rFont val="Calibri"/>
      </rPr>
      <t xml:space="preserve">                                                        BC PADEL CLUB</t>
    </r>
    <r>
      <rPr>
        <color rgb="FF000000"/>
        <sz val="11"/>
        <rFont val="Calibri"/>
      </rPr>
      <t xml:space="preserve">
Periode 09 May 2026 - 09 May 2026
Dibuat pada 13-Jul-2026</t>
    </r>
  </si>
  <si>
    <t xml:space="preserve">Total Penjualan
IDR 4.267.500</t>
  </si>
  <si>
    <t xml:space="preserve">Total Modal
IDR 429.779</t>
  </si>
  <si>
    <t xml:space="preserve">Total Laba
IDR 3.837.721</t>
  </si>
  <si>
    <t xml:space="preserve">Total Pengunjung
100</t>
  </si>
  <si>
    <t>DF0226050900004625</t>
  </si>
  <si>
    <t xml:space="preserve">09-May-2026
08:22:11</t>
  </si>
  <si>
    <t>DF0226050900004626</t>
  </si>
  <si>
    <t xml:space="preserve">09-May-2026
08:36:01</t>
  </si>
  <si>
    <t>DF0226050900004627</t>
  </si>
  <si>
    <t xml:space="preserve">09-May-2026
08:49:12</t>
  </si>
  <si>
    <t>DF0226050900004628</t>
  </si>
  <si>
    <t xml:space="preserve">09-May-2026
08:52:00</t>
  </si>
  <si>
    <t>DF0226050900004629</t>
  </si>
  <si>
    <t xml:space="preserve">09-May-2026
08:52:44</t>
  </si>
  <si>
    <t>DF0226050900004630</t>
  </si>
  <si>
    <t xml:space="preserve">09-May-2026
08:54:52</t>
  </si>
  <si>
    <t>DF0226050900004631</t>
  </si>
  <si>
    <t xml:space="preserve">09-May-2026
09:00:37</t>
  </si>
  <si>
    <t>DF0226050900004632</t>
  </si>
  <si>
    <t xml:space="preserve">09-May-2026
09:01:28</t>
  </si>
  <si>
    <t>DF0226050900004633</t>
  </si>
  <si>
    <t xml:space="preserve">09-May-2026
09:03:14</t>
  </si>
  <si>
    <t>DF0226050900004634</t>
  </si>
  <si>
    <t xml:space="preserve">09-May-2026
09:05:58</t>
  </si>
  <si>
    <t>DF0226050900004635</t>
  </si>
  <si>
    <t xml:space="preserve">09-May-2026
09:11:20</t>
  </si>
  <si>
    <t>DF0226050900004636</t>
  </si>
  <si>
    <t xml:space="preserve">09-May-2026
09:12:27</t>
  </si>
  <si>
    <t>DF0226050900004637</t>
  </si>
  <si>
    <t xml:space="preserve">09-May-2026
09:16:17</t>
  </si>
  <si>
    <t>DF0226050900004638</t>
  </si>
  <si>
    <t xml:space="preserve">09-May-2026
09:26:37</t>
  </si>
  <si>
    <t>DF0226050900004639</t>
  </si>
  <si>
    <t xml:space="preserve">09-May-2026
09:27:43</t>
  </si>
  <si>
    <t>DF0226050900004640</t>
  </si>
  <si>
    <t xml:space="preserve">09-May-2026
09:37:31</t>
  </si>
  <si>
    <t>DF0226050900004641</t>
  </si>
  <si>
    <t xml:space="preserve">09-May-2026
10:02:13</t>
  </si>
  <si>
    <t>DF0226050900004642</t>
  </si>
  <si>
    <t xml:space="preserve">09-May-2026
10:57:22</t>
  </si>
  <si>
    <t>DF0226050900004643</t>
  </si>
  <si>
    <t xml:space="preserve">09-May-2026
11:31:41</t>
  </si>
  <si>
    <t>DF0226050900004644</t>
  </si>
  <si>
    <t xml:space="preserve">09-May-2026
11:32:37</t>
  </si>
  <si>
    <t>DF0226050900004645</t>
  </si>
  <si>
    <t xml:space="preserve">09-May-2026
11:38:15</t>
  </si>
  <si>
    <t>DF0226050900004646</t>
  </si>
  <si>
    <t xml:space="preserve">09-May-2026
11:48:39</t>
  </si>
  <si>
    <t>DF0226050900004647</t>
  </si>
  <si>
    <t xml:space="preserve">09-May-2026
11:59:26</t>
  </si>
  <si>
    <t>DF0226050900004648</t>
  </si>
  <si>
    <t xml:space="preserve">09-May-2026
12:03:07</t>
  </si>
  <si>
    <t>DF0226050900004649</t>
  </si>
  <si>
    <t xml:space="preserve">09-May-2026
12:27:40</t>
  </si>
  <si>
    <t>DF0226050900004650</t>
  </si>
  <si>
    <t xml:space="preserve">09-May-2026
12:35:17</t>
  </si>
  <si>
    <t>DF0226050900004651</t>
  </si>
  <si>
    <t xml:space="preserve">09-May-2026
12:38:20</t>
  </si>
  <si>
    <t>DF0226050900004652</t>
  </si>
  <si>
    <t xml:space="preserve">09-May-2026
12:52:16</t>
  </si>
  <si>
    <t>DF0226050900004653</t>
  </si>
  <si>
    <t xml:space="preserve">09-May-2026
12:53:44</t>
  </si>
  <si>
    <t>DF0226050900004654</t>
  </si>
  <si>
    <t xml:space="preserve">09-May-2026
12:56:41</t>
  </si>
  <si>
    <t>DF0226050900004655</t>
  </si>
  <si>
    <t xml:space="preserve">09-May-2026
13:01:25</t>
  </si>
  <si>
    <t>DF0226050900004656</t>
  </si>
  <si>
    <t xml:space="preserve">09-May-2026
13:02:36</t>
  </si>
  <si>
    <t>DF0226050900004657</t>
  </si>
  <si>
    <t xml:space="preserve">09-May-2026
13:05:36</t>
  </si>
  <si>
    <t>DF0226050900004658</t>
  </si>
  <si>
    <t xml:space="preserve">09-May-2026
13:06:21</t>
  </si>
  <si>
    <t>DF0226050900004659</t>
  </si>
  <si>
    <t xml:space="preserve">09-May-2026
13:07:06</t>
  </si>
  <si>
    <t>DF0226050900004660</t>
  </si>
  <si>
    <t xml:space="preserve">09-May-2026
13:08:52</t>
  </si>
  <si>
    <t>DF0226050900004661</t>
  </si>
  <si>
    <t xml:space="preserve">09-May-2026
13:13:20</t>
  </si>
  <si>
    <t>DF0226050900004662</t>
  </si>
  <si>
    <t xml:space="preserve">09-May-2026
13:16:13</t>
  </si>
  <si>
    <t>DF0226050900004663</t>
  </si>
  <si>
    <t xml:space="preserve">09-May-2026
13:16:47</t>
  </si>
  <si>
    <t>DF0226050900004664</t>
  </si>
  <si>
    <t xml:space="preserve">09-May-2026
13:22:07</t>
  </si>
  <si>
    <t>DF0226050900004665</t>
  </si>
  <si>
    <t xml:space="preserve">09-May-2026
13:46:49</t>
  </si>
  <si>
    <t>DF0226050900004666</t>
  </si>
  <si>
    <t xml:space="preserve">09-May-2026
13:53:32</t>
  </si>
  <si>
    <t>DF0226050900004667</t>
  </si>
  <si>
    <t xml:space="preserve">09-May-2026
13:54:55</t>
  </si>
  <si>
    <t>DF0226050900004668</t>
  </si>
  <si>
    <t xml:space="preserve">09-May-2026
13:56:13</t>
  </si>
  <si>
    <t>DF0226050900004669</t>
  </si>
  <si>
    <t xml:space="preserve">09-May-2026
13:59:11</t>
  </si>
  <si>
    <t>DF0226050900004670</t>
  </si>
  <si>
    <t xml:space="preserve">09-May-2026
14:00:28</t>
  </si>
  <si>
    <t>DF0226050900004671</t>
  </si>
  <si>
    <t xml:space="preserve">09-May-2026
14:07:58</t>
  </si>
  <si>
    <t>DF0226050900004672</t>
  </si>
  <si>
    <t xml:space="preserve">09-May-2026
14:20:50</t>
  </si>
  <si>
    <t>DF0226050900004673</t>
  </si>
  <si>
    <t xml:space="preserve">09-May-2026
14:27:50</t>
  </si>
  <si>
    <t>DF0226050900004674</t>
  </si>
  <si>
    <t xml:space="preserve">09-May-2026
14:38:09</t>
  </si>
  <si>
    <t>DF0226050900004675</t>
  </si>
  <si>
    <t xml:space="preserve">09-May-2026
14:46:49</t>
  </si>
  <si>
    <t>DF0226050900004676</t>
  </si>
  <si>
    <t xml:space="preserve">09-May-2026
14:47:38</t>
  </si>
  <si>
    <t>DF0226050900004677</t>
  </si>
  <si>
    <t xml:space="preserve">09-May-2026
14:50:14</t>
  </si>
  <si>
    <t>DF0226050900004678</t>
  </si>
  <si>
    <t xml:space="preserve">09-May-2026
14:53:51</t>
  </si>
  <si>
    <t>DF0226050900004679</t>
  </si>
  <si>
    <t xml:space="preserve">09-May-2026
14:54:54</t>
  </si>
  <si>
    <t>DF0226050900004680</t>
  </si>
  <si>
    <t xml:space="preserve">09-May-2026
14:59:31</t>
  </si>
  <si>
    <t>DF0226050900004681</t>
  </si>
  <si>
    <t xml:space="preserve">09-May-2026
15:02:47</t>
  </si>
  <si>
    <t>DF0226050900004682</t>
  </si>
  <si>
    <t xml:space="preserve">09-May-2026
15:03:48</t>
  </si>
  <si>
    <t>DF0226050900004683</t>
  </si>
  <si>
    <t xml:space="preserve">09-May-2026
15:12:41</t>
  </si>
  <si>
    <t>DF0226050900004684</t>
  </si>
  <si>
    <t xml:space="preserve">09-May-2026
15:27:12</t>
  </si>
  <si>
    <t>DF0226050900004685</t>
  </si>
  <si>
    <t xml:space="preserve">09-May-2026
15:27:53</t>
  </si>
  <si>
    <t>DF0226050900004686</t>
  </si>
  <si>
    <t xml:space="preserve">09-May-2026
15:35:08</t>
  </si>
  <si>
    <t>DF0226050900004687</t>
  </si>
  <si>
    <t xml:space="preserve">09-May-2026
15:38:31</t>
  </si>
  <si>
    <t>DF0226050900004688</t>
  </si>
  <si>
    <t xml:space="preserve">09-May-2026
15:43:10</t>
  </si>
  <si>
    <t>DF0226050900004689</t>
  </si>
  <si>
    <t xml:space="preserve">09-May-2026
15:44:10</t>
  </si>
  <si>
    <t>DF0226050900004690</t>
  </si>
  <si>
    <t xml:space="preserve">09-May-2026
15:50:41</t>
  </si>
  <si>
    <t>DF0226050900004691</t>
  </si>
  <si>
    <t xml:space="preserve">09-May-2026
15:51:35</t>
  </si>
  <si>
    <t>DF0226050900004692</t>
  </si>
  <si>
    <t xml:space="preserve">09-May-2026
15:53:15</t>
  </si>
  <si>
    <t>DF0226050900004693</t>
  </si>
  <si>
    <t xml:space="preserve">09-May-2026
16:07:41</t>
  </si>
  <si>
    <t>DF0226050900004694</t>
  </si>
  <si>
    <t xml:space="preserve">09-May-2026
16:16:25</t>
  </si>
  <si>
    <t>DF0226050900004695</t>
  </si>
  <si>
    <t xml:space="preserve">09-May-2026
16:17:49</t>
  </si>
  <si>
    <t>DF0226050900004696</t>
  </si>
  <si>
    <t xml:space="preserve">09-May-2026
16:25:32</t>
  </si>
  <si>
    <t>DF0226050900004697</t>
  </si>
  <si>
    <t xml:space="preserve">09-May-2026
16:27:15</t>
  </si>
  <si>
    <t>DF0226050900004698</t>
  </si>
  <si>
    <t xml:space="preserve">09-May-2026
16:36:30</t>
  </si>
  <si>
    <t>DF0226050900004699</t>
  </si>
  <si>
    <t xml:space="preserve">09-May-2026
16:37:52</t>
  </si>
  <si>
    <t>DF0226050900004700</t>
  </si>
  <si>
    <t xml:space="preserve">09-May-2026
16:43:59</t>
  </si>
  <si>
    <t>DF0226050900004701</t>
  </si>
  <si>
    <t xml:space="preserve">09-May-2026
16:47:49</t>
  </si>
  <si>
    <t>DF0226050900004702</t>
  </si>
  <si>
    <t xml:space="preserve">09-May-2026
16:52:40</t>
  </si>
  <si>
    <t>DF0226050900004703</t>
  </si>
  <si>
    <t xml:space="preserve">09-May-2026
16:56:18</t>
  </si>
  <si>
    <t>DF0226050900004704</t>
  </si>
  <si>
    <t xml:space="preserve">09-May-2026
17:02:43</t>
  </si>
  <si>
    <t>DF0226050900004705</t>
  </si>
  <si>
    <t xml:space="preserve">09-May-2026
17:28:06</t>
  </si>
  <si>
    <t>DF0226050900004706</t>
  </si>
  <si>
    <t xml:space="preserve">09-May-2026
17:30:14</t>
  </si>
  <si>
    <t>DF0226050900004707</t>
  </si>
  <si>
    <t xml:space="preserve">09-May-2026
17:33:30</t>
  </si>
  <si>
    <t>DF0226050900004708</t>
  </si>
  <si>
    <t xml:space="preserve">09-May-2026
17:43:23</t>
  </si>
  <si>
    <t>DF0226050900004709</t>
  </si>
  <si>
    <t xml:space="preserve">09-May-2026
17:49:42</t>
  </si>
  <si>
    <t>DF0226050900004710</t>
  </si>
  <si>
    <t xml:space="preserve">09-May-2026
18:15:30</t>
  </si>
  <si>
    <t>DF0226050900004711</t>
  </si>
  <si>
    <t xml:space="preserve">09-May-2026
18:19:37</t>
  </si>
  <si>
    <t>DF0226050900004712</t>
  </si>
  <si>
    <t xml:space="preserve">09-May-2026
18:22:40</t>
  </si>
  <si>
    <t>DF0226050900004713</t>
  </si>
  <si>
    <t xml:space="preserve">09-May-2026
18:30:05</t>
  </si>
  <si>
    <t>DF0226050900004714</t>
  </si>
  <si>
    <t xml:space="preserve">09-May-2026
18:40:45</t>
  </si>
  <si>
    <t>DF0226050900004715</t>
  </si>
  <si>
    <t xml:space="preserve">09-May-2026
19:03:24</t>
  </si>
  <si>
    <t>DF0226050900004716</t>
  </si>
  <si>
    <t xml:space="preserve">09-May-2026
19:14:46</t>
  </si>
  <si>
    <t>DF0226050900004717</t>
  </si>
  <si>
    <t xml:space="preserve">09-May-2026
19:56:12</t>
  </si>
  <si>
    <t>DF0226050900004718</t>
  </si>
  <si>
    <t xml:space="preserve">09-May-2026
20:14:16</t>
  </si>
  <si>
    <t>DF0226050900004719</t>
  </si>
  <si>
    <t xml:space="preserve">09-May-2026
20:52:16</t>
  </si>
  <si>
    <t>DF0226050900004720</t>
  </si>
  <si>
    <t xml:space="preserve">09-May-2026
20:52:44</t>
  </si>
  <si>
    <t>DF0226050900004721</t>
  </si>
  <si>
    <t xml:space="preserve">09-May-2026
21:37:42</t>
  </si>
  <si>
    <t>DF0226050900004722</t>
  </si>
  <si>
    <t xml:space="preserve">09-May-2026
22:06:29</t>
  </si>
  <si>
    <t>DF0226050900004723</t>
  </si>
  <si>
    <t xml:space="preserve">09-May-2026
23:01:45</t>
  </si>
  <si>
    <t>DF0226050900004724</t>
  </si>
  <si>
    <t xml:space="preserve">09-May-2026
23:30:33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</si>
</sst>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IDR&quot; #,##0"/>
  </numFmts>
  <fonts count="4" x14ac:knownFonts="1">
    <font>
      <color theme="1"/>
      <family val="2"/>
      <scheme val="minor"/>
      <sz val="11"/>
      <name val="Calibri"/>
    </font>
    <font>
      <name val="Calibri"/>
    </font>
    <font>
      <b/>
      <color rgb="FF000000"/>
      <sz val="10"/>
      <name val="Calibri"/>
    </font>
    <font>
      <color rgb="FF000000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DC3E6"/>
      </patternFill>
    </fill>
    <fill>
      <patternFill patternType="solid">
        <fgColor rgb="FFFFFFFF"/>
      </patternFill>
    </fill>
    <fill>
      <patternFill patternType="solid">
        <fgColor rgb="FFA6A6A6"/>
      </patternFill>
    </fill>
    <fill>
      <patternFill patternType="solid">
        <fgColor rgb="FF8F8F8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9"/>
  <sheetViews>
    <sheetView workbookViewId="0" zoomScale="80"/>
  </sheetViews>
  <sheetFormatPr defaultRowHeight="15.75" outlineLevelRow="0" outlineLevelCol="0" x14ac:dyDescent="55" customHeight="1"/>
  <cols>
    <col min="1" max="1" width="22" customWidth="1"/>
    <col min="2" max="2" width="12.1" hidden="1" customWidth="1"/>
    <col min="3" max="3" width="15.7" customWidth="1"/>
    <col min="4" max="4" width="17.4" customWidth="1"/>
    <col min="5" max="5" width="0.1" hidden="1" customWidth="1"/>
    <col min="6" max="6" width="16" customWidth="1"/>
    <col min="7" max="7" width="12" customWidth="1"/>
    <col min="9" max="9" width="14" customWidth="1"/>
    <col min="10" max="10" width="10" customWidth="1"/>
    <col min="12" max="12" width="9" hidden="1" customWidth="1"/>
    <col min="13" max="13" width="10" customWidth="1"/>
    <col min="14" max="14" width="15" customWidth="1"/>
    <col min="16" max="16" width="0.1" customWidth="1"/>
    <col min="17" max="18" width="10" customWidth="1"/>
    <col min="19" max="19" width="11" customWidth="1"/>
  </cols>
  <sheetData>
    <row r="1" ht="52.5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8.5" customHeight="1" spans="1:19" x14ac:dyDescent="0.25">
      <c r="A2" s="2" t="s">
        <v>1</v>
      </c>
      <c r="B2" s="2"/>
      <c r="C2" s="2" t="s">
        <v>2</v>
      </c>
      <c r="D2" s="2"/>
      <c r="E2" s="2"/>
      <c r="F2" s="2" t="s">
        <v>3</v>
      </c>
      <c r="G2" s="2"/>
      <c r="H2" s="2"/>
      <c r="I2" s="2"/>
      <c r="J2" s="2" t="s">
        <v>4</v>
      </c>
      <c r="K2" s="2"/>
      <c r="L2" s="2"/>
      <c r="M2" s="2" t="s">
        <v>5</v>
      </c>
      <c r="N2" s="2"/>
      <c r="O2" s="2"/>
      <c r="P2" s="2"/>
      <c r="Q2" s="2" t="s">
        <v>6</v>
      </c>
      <c r="R2" s="2"/>
      <c r="S2" s="2"/>
    </row>
    <row r="3" ht="31.5" customHeight="1" spans="1:19" x14ac:dyDescent="0.25">
      <c r="A3" s="2" t="s">
        <v>7</v>
      </c>
      <c r="B3" s="2"/>
      <c r="C3" s="2" t="s">
        <v>8</v>
      </c>
      <c r="D3" s="2"/>
      <c r="E3" s="2"/>
      <c r="F3" s="2" t="s">
        <v>9</v>
      </c>
      <c r="G3" s="2"/>
      <c r="H3" s="2"/>
      <c r="I3" s="2"/>
      <c r="J3" s="2" t="s">
        <v>10</v>
      </c>
      <c r="K3" s="2"/>
      <c r="L3" s="2"/>
      <c r="M3" s="3" t="s">
        <v>11</v>
      </c>
      <c r="N3" s="3"/>
      <c r="O3" s="3"/>
      <c r="P3" s="3"/>
      <c r="Q3" s="3"/>
      <c r="R3" s="3"/>
      <c r="S3" s="3"/>
    </row>
    <row r="4" ht="25.5" customHeight="1" spans="1:19" x14ac:dyDescent="0.25">
      <c r="A4" s="4" t="s">
        <v>12</v>
      </c>
      <c r="B4" s="4" t="s">
        <v>13</v>
      </c>
      <c r="C4" s="4"/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/>
      <c r="K4" s="4" t="s">
        <v>20</v>
      </c>
      <c r="L4" s="4" t="s">
        <v>21</v>
      </c>
      <c r="M4" s="4"/>
      <c r="N4" s="4" t="s">
        <v>22</v>
      </c>
      <c r="O4" s="4" t="s">
        <v>23</v>
      </c>
      <c r="P4" s="4" t="s">
        <v>24</v>
      </c>
      <c r="Q4" s="4"/>
      <c r="R4" s="4" t="s">
        <v>25</v>
      </c>
      <c r="S4" s="4" t="s">
        <v>26</v>
      </c>
    </row>
    <row r="5" ht="31.5" customHeight="1" spans="1:19" x14ac:dyDescent="0.25">
      <c r="A5" s="5" t="s">
        <v>27</v>
      </c>
      <c r="B5" s="6" t="s">
        <v>28</v>
      </c>
      <c r="C5" s="6"/>
      <c r="D5" s="5" t="s">
        <v>29</v>
      </c>
      <c r="E5" s="5" t="s">
        <v>11</v>
      </c>
      <c r="F5" s="5" t="s">
        <v>11</v>
      </c>
      <c r="G5" s="5" t="s">
        <v>11</v>
      </c>
      <c r="H5" s="7">
        <v>1</v>
      </c>
      <c r="I5" s="8">
        <v>50000</v>
      </c>
      <c r="J5" s="8"/>
      <c r="K5" s="8">
        <v>0</v>
      </c>
      <c r="L5" s="8">
        <v>0</v>
      </c>
      <c r="M5" s="8"/>
      <c r="N5" s="8">
        <f>I5-L5</f>
        <v>50000</v>
      </c>
      <c r="O5" s="8">
        <v>0</v>
      </c>
      <c r="P5" s="8">
        <v>0</v>
      </c>
      <c r="Q5" s="8"/>
      <c r="R5" s="8">
        <v>0</v>
      </c>
      <c r="S5" s="8">
        <v>0</v>
      </c>
    </row>
    <row r="6" ht="31.5" customHeight="1" spans="1:19" x14ac:dyDescent="0.25">
      <c r="A6" s="5" t="s">
        <v>30</v>
      </c>
      <c r="B6" s="6" t="s">
        <v>31</v>
      </c>
      <c r="C6" s="6"/>
      <c r="D6" s="5" t="s">
        <v>29</v>
      </c>
      <c r="E6" s="5" t="s">
        <v>11</v>
      </c>
      <c r="F6" s="5" t="s">
        <v>11</v>
      </c>
      <c r="G6" s="5" t="s">
        <v>11</v>
      </c>
      <c r="H6" s="7">
        <v>2</v>
      </c>
      <c r="I6" s="8">
        <v>80000</v>
      </c>
      <c r="J6" s="8"/>
      <c r="K6" s="8">
        <v>0</v>
      </c>
      <c r="L6" s="8">
        <v>0</v>
      </c>
      <c r="M6" s="8"/>
      <c r="N6" s="8">
        <f>I6-L6</f>
        <v>80000</v>
      </c>
      <c r="O6" s="8">
        <v>0</v>
      </c>
      <c r="P6" s="8">
        <v>0</v>
      </c>
      <c r="Q6" s="8"/>
      <c r="R6" s="8">
        <v>0</v>
      </c>
      <c r="S6" s="8">
        <v>0</v>
      </c>
    </row>
    <row r="7" ht="31.5" customHeight="1" spans="1:19" x14ac:dyDescent="0.25">
      <c r="A7" s="5" t="s">
        <v>32</v>
      </c>
      <c r="B7" s="6" t="s">
        <v>33</v>
      </c>
      <c r="C7" s="6"/>
      <c r="D7" s="5" t="s">
        <v>29</v>
      </c>
      <c r="E7" s="5" t="s">
        <v>11</v>
      </c>
      <c r="F7" s="5" t="s">
        <v>11</v>
      </c>
      <c r="G7" s="5" t="s">
        <v>11</v>
      </c>
      <c r="H7" s="7">
        <v>2</v>
      </c>
      <c r="I7" s="8">
        <v>100000</v>
      </c>
      <c r="J7" s="8"/>
      <c r="K7" s="8">
        <v>0</v>
      </c>
      <c r="L7" s="8">
        <v>0</v>
      </c>
      <c r="M7" s="8"/>
      <c r="N7" s="8">
        <f>I7-L7</f>
        <v>100000</v>
      </c>
      <c r="O7" s="8">
        <v>0</v>
      </c>
      <c r="P7" s="8">
        <v>0</v>
      </c>
      <c r="Q7" s="8"/>
      <c r="R7" s="8">
        <v>0</v>
      </c>
      <c r="S7" s="8">
        <v>0</v>
      </c>
    </row>
    <row r="8" ht="31.5" customHeight="1" spans="1:19" x14ac:dyDescent="0.25">
      <c r="A8" s="5" t="s">
        <v>34</v>
      </c>
      <c r="B8" s="6" t="s">
        <v>35</v>
      </c>
      <c r="C8" s="6"/>
      <c r="D8" s="5" t="s">
        <v>29</v>
      </c>
      <c r="E8" s="5" t="s">
        <v>11</v>
      </c>
      <c r="F8" s="5" t="s">
        <v>11</v>
      </c>
      <c r="G8" s="5" t="s">
        <v>11</v>
      </c>
      <c r="H8" s="7">
        <v>5</v>
      </c>
      <c r="I8" s="8">
        <v>200000</v>
      </c>
      <c r="J8" s="8"/>
      <c r="K8" s="8">
        <v>0</v>
      </c>
      <c r="L8" s="8">
        <v>45000</v>
      </c>
      <c r="M8" s="8"/>
      <c r="N8" s="8">
        <f>I8-L8</f>
        <v>155000</v>
      </c>
      <c r="O8" s="8">
        <v>0</v>
      </c>
      <c r="P8" s="8">
        <v>0</v>
      </c>
      <c r="Q8" s="8"/>
      <c r="R8" s="8">
        <v>0</v>
      </c>
      <c r="S8" s="8">
        <v>0</v>
      </c>
    </row>
    <row r="9" ht="31.5" customHeight="1" spans="1:19" x14ac:dyDescent="0.25">
      <c r="A9" s="5" t="s">
        <v>36</v>
      </c>
      <c r="B9" s="6" t="s">
        <v>37</v>
      </c>
      <c r="C9" s="6"/>
      <c r="D9" s="5" t="s">
        <v>29</v>
      </c>
      <c r="E9" s="5" t="s">
        <v>11</v>
      </c>
      <c r="F9" s="5" t="s">
        <v>11</v>
      </c>
      <c r="G9" s="5" t="s">
        <v>11</v>
      </c>
      <c r="H9" s="7">
        <v>1</v>
      </c>
      <c r="I9" s="8">
        <v>15000</v>
      </c>
      <c r="J9" s="8"/>
      <c r="K9" s="8">
        <v>0</v>
      </c>
      <c r="L9" s="8">
        <v>4527.77</v>
      </c>
      <c r="M9" s="8"/>
      <c r="N9" s="8">
        <f>I9-L9</f>
        <v>10472.23</v>
      </c>
      <c r="O9" s="8">
        <v>0</v>
      </c>
      <c r="P9" s="8">
        <v>0</v>
      </c>
      <c r="Q9" s="8"/>
      <c r="R9" s="8">
        <v>0</v>
      </c>
      <c r="S9" s="8">
        <v>0</v>
      </c>
    </row>
    <row r="10" ht="31.5" customHeight="1" spans="1:19" x14ac:dyDescent="0.25">
      <c r="A10" s="5" t="s">
        <v>38</v>
      </c>
      <c r="B10" s="6" t="s">
        <v>39</v>
      </c>
      <c r="C10" s="6"/>
      <c r="D10" s="5" t="s">
        <v>29</v>
      </c>
      <c r="E10" s="5" t="s">
        <v>11</v>
      </c>
      <c r="F10" s="5" t="s">
        <v>11</v>
      </c>
      <c r="G10" s="5" t="s">
        <v>11</v>
      </c>
      <c r="H10" s="7">
        <v>1</v>
      </c>
      <c r="I10" s="8">
        <v>125000</v>
      </c>
      <c r="J10" s="8"/>
      <c r="K10" s="8">
        <v>0</v>
      </c>
      <c r="L10" s="8">
        <v>104285.71</v>
      </c>
      <c r="M10" s="8"/>
      <c r="N10" s="8">
        <f>I10-L10</f>
        <v>20714.289999999994</v>
      </c>
      <c r="O10" s="8">
        <v>0</v>
      </c>
      <c r="P10" s="8">
        <v>0</v>
      </c>
      <c r="Q10" s="8"/>
      <c r="R10" s="8">
        <v>0</v>
      </c>
      <c r="S10" s="8">
        <v>0</v>
      </c>
    </row>
    <row r="11" ht="31.5" customHeight="1" spans="1:19" x14ac:dyDescent="0.25">
      <c r="A11" s="5" t="s">
        <v>40</v>
      </c>
      <c r="B11" s="6" t="s">
        <v>41</v>
      </c>
      <c r="C11" s="6"/>
      <c r="D11" s="5" t="s">
        <v>29</v>
      </c>
      <c r="E11" s="5" t="s">
        <v>11</v>
      </c>
      <c r="F11" s="5" t="s">
        <v>11</v>
      </c>
      <c r="G11" s="5" t="s">
        <v>11</v>
      </c>
      <c r="H11" s="7">
        <v>4</v>
      </c>
      <c r="I11" s="8">
        <v>200000</v>
      </c>
      <c r="J11" s="8"/>
      <c r="K11" s="8">
        <v>0</v>
      </c>
      <c r="L11" s="8">
        <v>0</v>
      </c>
      <c r="M11" s="8"/>
      <c r="N11" s="8">
        <f>I11-L11</f>
        <v>200000</v>
      </c>
      <c r="O11" s="8">
        <v>0</v>
      </c>
      <c r="P11" s="8">
        <v>0</v>
      </c>
      <c r="Q11" s="8"/>
      <c r="R11" s="8">
        <v>0</v>
      </c>
      <c r="S11" s="8">
        <v>0</v>
      </c>
    </row>
    <row r="12" ht="31.5" customHeight="1" spans="1:19" x14ac:dyDescent="0.25">
      <c r="A12" s="5" t="s">
        <v>42</v>
      </c>
      <c r="B12" s="6" t="s">
        <v>43</v>
      </c>
      <c r="C12" s="6"/>
      <c r="D12" s="5" t="s">
        <v>29</v>
      </c>
      <c r="E12" s="5" t="s">
        <v>11</v>
      </c>
      <c r="F12" s="5" t="s">
        <v>11</v>
      </c>
      <c r="G12" s="5" t="s">
        <v>11</v>
      </c>
      <c r="H12" s="7">
        <v>3</v>
      </c>
      <c r="I12" s="8">
        <v>150000</v>
      </c>
      <c r="J12" s="8"/>
      <c r="K12" s="8">
        <v>0</v>
      </c>
      <c r="L12" s="8">
        <v>0</v>
      </c>
      <c r="M12" s="8"/>
      <c r="N12" s="8">
        <f>I12-L12</f>
        <v>150000</v>
      </c>
      <c r="O12" s="8">
        <v>0</v>
      </c>
      <c r="P12" s="8">
        <v>0</v>
      </c>
      <c r="Q12" s="8"/>
      <c r="R12" s="8">
        <v>0</v>
      </c>
      <c r="S12" s="8">
        <v>0</v>
      </c>
    </row>
    <row r="13" ht="31.5" customHeight="1" spans="1:19" x14ac:dyDescent="0.25">
      <c r="A13" s="5" t="s">
        <v>44</v>
      </c>
      <c r="B13" s="6" t="s">
        <v>45</v>
      </c>
      <c r="C13" s="6"/>
      <c r="D13" s="5" t="s">
        <v>29</v>
      </c>
      <c r="E13" s="5" t="s">
        <v>11</v>
      </c>
      <c r="F13" s="5" t="s">
        <v>11</v>
      </c>
      <c r="G13" s="5" t="s">
        <v>11</v>
      </c>
      <c r="H13" s="7">
        <v>1</v>
      </c>
      <c r="I13" s="8">
        <v>25000</v>
      </c>
      <c r="J13" s="8"/>
      <c r="K13" s="8">
        <v>0</v>
      </c>
      <c r="L13" s="8">
        <v>0</v>
      </c>
      <c r="M13" s="8"/>
      <c r="N13" s="8">
        <f>I13-L13</f>
        <v>25000</v>
      </c>
      <c r="O13" s="8">
        <v>0</v>
      </c>
      <c r="P13" s="8">
        <v>0</v>
      </c>
      <c r="Q13" s="8"/>
      <c r="R13" s="8">
        <v>0</v>
      </c>
      <c r="S13" s="8">
        <v>0</v>
      </c>
    </row>
    <row r="14" ht="31.5" customHeight="1" spans="1:19" x14ac:dyDescent="0.25">
      <c r="A14" s="5" t="s">
        <v>46</v>
      </c>
      <c r="B14" s="6" t="s">
        <v>47</v>
      </c>
      <c r="C14" s="6"/>
      <c r="D14" s="5" t="s">
        <v>29</v>
      </c>
      <c r="E14" s="5" t="s">
        <v>11</v>
      </c>
      <c r="F14" s="5" t="s">
        <v>11</v>
      </c>
      <c r="G14" s="5" t="s">
        <v>11</v>
      </c>
      <c r="H14" s="7">
        <v>1</v>
      </c>
      <c r="I14" s="8">
        <v>12000</v>
      </c>
      <c r="J14" s="8"/>
      <c r="K14" s="8">
        <v>0</v>
      </c>
      <c r="L14" s="8">
        <v>6250</v>
      </c>
      <c r="M14" s="8"/>
      <c r="N14" s="8">
        <f>I14-L14</f>
        <v>5750</v>
      </c>
      <c r="O14" s="8">
        <v>0</v>
      </c>
      <c r="P14" s="8">
        <v>0</v>
      </c>
      <c r="Q14" s="8"/>
      <c r="R14" s="8">
        <v>0</v>
      </c>
      <c r="S14" s="8">
        <v>0</v>
      </c>
    </row>
    <row r="15" ht="31.5" customHeight="1" spans="1:19" x14ac:dyDescent="0.25">
      <c r="A15" s="5" t="s">
        <v>48</v>
      </c>
      <c r="B15" s="6" t="s">
        <v>49</v>
      </c>
      <c r="C15" s="6"/>
      <c r="D15" s="5" t="s">
        <v>29</v>
      </c>
      <c r="E15" s="5" t="s">
        <v>11</v>
      </c>
      <c r="F15" s="5" t="s">
        <v>11</v>
      </c>
      <c r="G15" s="5" t="s">
        <v>11</v>
      </c>
      <c r="H15" s="7">
        <v>2</v>
      </c>
      <c r="I15" s="8">
        <v>40000</v>
      </c>
      <c r="J15" s="8"/>
      <c r="K15" s="8">
        <v>0</v>
      </c>
      <c r="L15" s="8">
        <v>7950</v>
      </c>
      <c r="M15" s="8"/>
      <c r="N15" s="8">
        <f>I15-L15</f>
        <v>32050</v>
      </c>
      <c r="O15" s="8">
        <v>0</v>
      </c>
      <c r="P15" s="8">
        <v>0</v>
      </c>
      <c r="Q15" s="8"/>
      <c r="R15" s="8">
        <v>0</v>
      </c>
      <c r="S15" s="8">
        <v>0</v>
      </c>
    </row>
    <row r="16" ht="31.5" customHeight="1" spans="1:19" x14ac:dyDescent="0.25">
      <c r="A16" s="5" t="s">
        <v>50</v>
      </c>
      <c r="B16" s="6" t="s">
        <v>51</v>
      </c>
      <c r="C16" s="6"/>
      <c r="D16" s="5" t="s">
        <v>29</v>
      </c>
      <c r="E16" s="5" t="s">
        <v>11</v>
      </c>
      <c r="F16" s="5" t="s">
        <v>11</v>
      </c>
      <c r="G16" s="5" t="s">
        <v>11</v>
      </c>
      <c r="H16" s="7">
        <v>2</v>
      </c>
      <c r="I16" s="8">
        <v>100000</v>
      </c>
      <c r="J16" s="8"/>
      <c r="K16" s="8">
        <v>0</v>
      </c>
      <c r="L16" s="8">
        <v>0</v>
      </c>
      <c r="M16" s="8"/>
      <c r="N16" s="8">
        <f>I16-L16</f>
        <v>100000</v>
      </c>
      <c r="O16" s="8">
        <v>0</v>
      </c>
      <c r="P16" s="8">
        <v>0</v>
      </c>
      <c r="Q16" s="8"/>
      <c r="R16" s="8">
        <v>0</v>
      </c>
      <c r="S16" s="8">
        <v>0</v>
      </c>
    </row>
    <row r="17" ht="31.5" customHeight="1" spans="1:19" x14ac:dyDescent="0.25">
      <c r="A17" s="5" t="s">
        <v>52</v>
      </c>
      <c r="B17" s="6" t="s">
        <v>53</v>
      </c>
      <c r="C17" s="6"/>
      <c r="D17" s="5" t="s">
        <v>29</v>
      </c>
      <c r="E17" s="5" t="s">
        <v>11</v>
      </c>
      <c r="F17" s="5" t="s">
        <v>11</v>
      </c>
      <c r="G17" s="5" t="s">
        <v>11</v>
      </c>
      <c r="H17" s="7">
        <v>1</v>
      </c>
      <c r="I17" s="8">
        <v>260000</v>
      </c>
      <c r="J17" s="8"/>
      <c r="K17" s="8">
        <v>0</v>
      </c>
      <c r="L17" s="8">
        <v>187503.31</v>
      </c>
      <c r="M17" s="8"/>
      <c r="N17" s="8">
        <f>I17-L17</f>
        <v>72496.69</v>
      </c>
      <c r="O17" s="8">
        <v>0</v>
      </c>
      <c r="P17" s="8">
        <v>0</v>
      </c>
      <c r="Q17" s="8"/>
      <c r="R17" s="8">
        <v>0</v>
      </c>
      <c r="S17" s="8">
        <v>0</v>
      </c>
    </row>
    <row r="18" ht="31.5" customHeight="1" spans="1:19" x14ac:dyDescent="0.25">
      <c r="A18" s="5" t="s">
        <v>54</v>
      </c>
      <c r="B18" s="6" t="s">
        <v>55</v>
      </c>
      <c r="C18" s="6"/>
      <c r="D18" s="5" t="s">
        <v>29</v>
      </c>
      <c r="E18" s="5" t="s">
        <v>11</v>
      </c>
      <c r="F18" s="5" t="s">
        <v>11</v>
      </c>
      <c r="G18" s="5" t="s">
        <v>11</v>
      </c>
      <c r="H18" s="7">
        <v>2</v>
      </c>
      <c r="I18" s="8">
        <v>58000</v>
      </c>
      <c r="J18" s="8"/>
      <c r="K18" s="8">
        <v>0</v>
      </c>
      <c r="L18" s="8">
        <v>0</v>
      </c>
      <c r="M18" s="8"/>
      <c r="N18" s="8">
        <f>I18-L18</f>
        <v>58000</v>
      </c>
      <c r="O18" s="8">
        <v>0</v>
      </c>
      <c r="P18" s="8">
        <v>0</v>
      </c>
      <c r="Q18" s="8"/>
      <c r="R18" s="8">
        <v>0</v>
      </c>
      <c r="S18" s="8">
        <v>0</v>
      </c>
    </row>
    <row r="19" ht="31.5" customHeight="1" spans="1:19" x14ac:dyDescent="0.25">
      <c r="A19" s="5" t="s">
        <v>56</v>
      </c>
      <c r="B19" s="6" t="s">
        <v>57</v>
      </c>
      <c r="C19" s="6"/>
      <c r="D19" s="5" t="s">
        <v>29</v>
      </c>
      <c r="E19" s="5" t="s">
        <v>11</v>
      </c>
      <c r="F19" s="5" t="s">
        <v>11</v>
      </c>
      <c r="G19" s="5" t="s">
        <v>11</v>
      </c>
      <c r="H19" s="7">
        <v>2</v>
      </c>
      <c r="I19" s="8">
        <v>60000</v>
      </c>
      <c r="J19" s="8"/>
      <c r="K19" s="8">
        <v>0</v>
      </c>
      <c r="L19" s="8">
        <v>0</v>
      </c>
      <c r="M19" s="8"/>
      <c r="N19" s="8">
        <f>I19-L19</f>
        <v>60000</v>
      </c>
      <c r="O19" s="8">
        <v>0</v>
      </c>
      <c r="P19" s="8">
        <v>0</v>
      </c>
      <c r="Q19" s="8"/>
      <c r="R19" s="8">
        <v>0</v>
      </c>
      <c r="S19" s="8">
        <v>0</v>
      </c>
    </row>
    <row r="20" ht="31.5" customHeight="1" spans="1:19" x14ac:dyDescent="0.25">
      <c r="A20" s="5" t="s">
        <v>58</v>
      </c>
      <c r="B20" s="6" t="s">
        <v>59</v>
      </c>
      <c r="C20" s="6"/>
      <c r="D20" s="5" t="s">
        <v>29</v>
      </c>
      <c r="E20" s="5" t="s">
        <v>11</v>
      </c>
      <c r="F20" s="5" t="s">
        <v>11</v>
      </c>
      <c r="G20" s="5" t="s">
        <v>11</v>
      </c>
      <c r="H20" s="7">
        <v>1</v>
      </c>
      <c r="I20" s="8">
        <v>50000</v>
      </c>
      <c r="J20" s="8"/>
      <c r="K20" s="8">
        <v>0</v>
      </c>
      <c r="L20" s="8">
        <v>0</v>
      </c>
      <c r="M20" s="8"/>
      <c r="N20" s="8">
        <f>I20-L20</f>
        <v>50000</v>
      </c>
      <c r="O20" s="8">
        <v>0</v>
      </c>
      <c r="P20" s="8">
        <v>0</v>
      </c>
      <c r="Q20" s="8"/>
      <c r="R20" s="8">
        <v>0</v>
      </c>
      <c r="S20" s="8">
        <v>0</v>
      </c>
    </row>
    <row r="21" ht="31.5" customHeight="1" spans="1:19" x14ac:dyDescent="0.25">
      <c r="A21" s="5" t="s">
        <v>60</v>
      </c>
      <c r="B21" s="6" t="s">
        <v>61</v>
      </c>
      <c r="C21" s="6"/>
      <c r="D21" s="5" t="s">
        <v>29</v>
      </c>
      <c r="E21" s="5" t="s">
        <v>11</v>
      </c>
      <c r="F21" s="5" t="s">
        <v>11</v>
      </c>
      <c r="G21" s="5" t="s">
        <v>11</v>
      </c>
      <c r="H21" s="7">
        <v>1</v>
      </c>
      <c r="I21" s="8">
        <v>28000</v>
      </c>
      <c r="J21" s="8"/>
      <c r="K21" s="8">
        <v>0</v>
      </c>
      <c r="L21" s="8">
        <v>0</v>
      </c>
      <c r="M21" s="8"/>
      <c r="N21" s="8">
        <f>I21-L21</f>
        <v>28000</v>
      </c>
      <c r="O21" s="8">
        <v>0</v>
      </c>
      <c r="P21" s="8">
        <v>0</v>
      </c>
      <c r="Q21" s="8"/>
      <c r="R21" s="8">
        <v>0</v>
      </c>
      <c r="S21" s="8">
        <v>0</v>
      </c>
    </row>
    <row r="22" ht="31.5" customHeight="1" spans="1:19" x14ac:dyDescent="0.25">
      <c r="A22" s="5" t="s">
        <v>62</v>
      </c>
      <c r="B22" s="6" t="s">
        <v>63</v>
      </c>
      <c r="C22" s="6"/>
      <c r="D22" s="5" t="s">
        <v>29</v>
      </c>
      <c r="E22" s="5" t="s">
        <v>11</v>
      </c>
      <c r="F22" s="5" t="s">
        <v>11</v>
      </c>
      <c r="G22" s="5" t="s">
        <v>11</v>
      </c>
      <c r="H22" s="7">
        <v>2</v>
      </c>
      <c r="I22" s="8">
        <v>45000</v>
      </c>
      <c r="J22" s="8"/>
      <c r="K22" s="8">
        <v>0</v>
      </c>
      <c r="L22" s="8">
        <v>4527.77</v>
      </c>
      <c r="M22" s="8"/>
      <c r="N22" s="8">
        <f>I22-L22</f>
        <v>40472.229999999996</v>
      </c>
      <c r="O22" s="8">
        <v>0</v>
      </c>
      <c r="P22" s="8">
        <v>0</v>
      </c>
      <c r="Q22" s="8"/>
      <c r="R22" s="8">
        <v>0</v>
      </c>
      <c r="S22" s="8">
        <v>0</v>
      </c>
    </row>
    <row r="23" ht="31.5" customHeight="1" spans="1:19" x14ac:dyDescent="0.25">
      <c r="A23" s="5" t="s">
        <v>64</v>
      </c>
      <c r="B23" s="6" t="s">
        <v>65</v>
      </c>
      <c r="C23" s="6"/>
      <c r="D23" s="5" t="s">
        <v>29</v>
      </c>
      <c r="E23" s="5" t="s">
        <v>11</v>
      </c>
      <c r="F23" s="5" t="s">
        <v>11</v>
      </c>
      <c r="G23" s="5" t="s">
        <v>11</v>
      </c>
      <c r="H23" s="7">
        <v>2</v>
      </c>
      <c r="I23" s="8">
        <v>60000</v>
      </c>
      <c r="J23" s="8"/>
      <c r="K23" s="8">
        <v>0</v>
      </c>
      <c r="L23" s="8">
        <v>0</v>
      </c>
      <c r="M23" s="8"/>
      <c r="N23" s="8">
        <f>I23-L23</f>
        <v>60000</v>
      </c>
      <c r="O23" s="8">
        <v>0</v>
      </c>
      <c r="P23" s="8">
        <v>0</v>
      </c>
      <c r="Q23" s="8"/>
      <c r="R23" s="8">
        <v>0</v>
      </c>
      <c r="S23" s="8">
        <v>0</v>
      </c>
    </row>
    <row r="24" ht="31.5" customHeight="1" spans="1:19" x14ac:dyDescent="0.25">
      <c r="A24" s="5" t="s">
        <v>66</v>
      </c>
      <c r="B24" s="6" t="s">
        <v>67</v>
      </c>
      <c r="C24" s="6"/>
      <c r="D24" s="5" t="s">
        <v>29</v>
      </c>
      <c r="E24" s="5" t="s">
        <v>11</v>
      </c>
      <c r="F24" s="5" t="s">
        <v>11</v>
      </c>
      <c r="G24" s="5" t="s">
        <v>11</v>
      </c>
      <c r="H24" s="7">
        <v>1</v>
      </c>
      <c r="I24" s="8">
        <v>25000</v>
      </c>
      <c r="J24" s="8"/>
      <c r="K24" s="8">
        <v>0</v>
      </c>
      <c r="L24" s="8">
        <v>0</v>
      </c>
      <c r="M24" s="8"/>
      <c r="N24" s="8">
        <f>I24-L24</f>
        <v>25000</v>
      </c>
      <c r="O24" s="8">
        <v>0</v>
      </c>
      <c r="P24" s="8">
        <v>0</v>
      </c>
      <c r="Q24" s="8"/>
      <c r="R24" s="8">
        <v>0</v>
      </c>
      <c r="S24" s="8">
        <v>0</v>
      </c>
    </row>
    <row r="25" ht="31.5" customHeight="1" spans="1:19" x14ac:dyDescent="0.25">
      <c r="A25" s="5" t="s">
        <v>68</v>
      </c>
      <c r="B25" s="6" t="s">
        <v>69</v>
      </c>
      <c r="C25" s="6"/>
      <c r="D25" s="5" t="s">
        <v>29</v>
      </c>
      <c r="E25" s="5" t="s">
        <v>11</v>
      </c>
      <c r="F25" s="5" t="s">
        <v>11</v>
      </c>
      <c r="G25" s="5" t="s">
        <v>11</v>
      </c>
      <c r="H25" s="7">
        <v>1</v>
      </c>
      <c r="I25" s="8">
        <v>15000</v>
      </c>
      <c r="J25" s="8"/>
      <c r="K25" s="8">
        <v>0</v>
      </c>
      <c r="L25" s="8">
        <v>4527.77</v>
      </c>
      <c r="M25" s="8"/>
      <c r="N25" s="8">
        <f>I25-L25</f>
        <v>10472.23</v>
      </c>
      <c r="O25" s="8">
        <v>0</v>
      </c>
      <c r="P25" s="8">
        <v>0</v>
      </c>
      <c r="Q25" s="8"/>
      <c r="R25" s="8">
        <v>0</v>
      </c>
      <c r="S25" s="8">
        <v>0</v>
      </c>
    </row>
    <row r="26" ht="31.5" customHeight="1" spans="1:19" x14ac:dyDescent="0.25">
      <c r="A26" s="5" t="s">
        <v>70</v>
      </c>
      <c r="B26" s="6" t="s">
        <v>71</v>
      </c>
      <c r="C26" s="6"/>
      <c r="D26" s="5" t="s">
        <v>29</v>
      </c>
      <c r="E26" s="5" t="s">
        <v>11</v>
      </c>
      <c r="F26" s="5" t="s">
        <v>11</v>
      </c>
      <c r="G26" s="5" t="s">
        <v>11</v>
      </c>
      <c r="H26" s="7">
        <v>1</v>
      </c>
      <c r="I26" s="8">
        <v>35000</v>
      </c>
      <c r="J26" s="8"/>
      <c r="K26" s="8">
        <v>0</v>
      </c>
      <c r="L26" s="8">
        <v>0</v>
      </c>
      <c r="M26" s="8"/>
      <c r="N26" s="8">
        <f>I26-L26</f>
        <v>35000</v>
      </c>
      <c r="O26" s="8">
        <v>0</v>
      </c>
      <c r="P26" s="8">
        <v>0</v>
      </c>
      <c r="Q26" s="8"/>
      <c r="R26" s="8">
        <v>0</v>
      </c>
      <c r="S26" s="8">
        <v>0</v>
      </c>
    </row>
    <row r="27" ht="31.5" customHeight="1" spans="1:19" x14ac:dyDescent="0.25">
      <c r="A27" s="5" t="s">
        <v>72</v>
      </c>
      <c r="B27" s="6" t="s">
        <v>73</v>
      </c>
      <c r="C27" s="6"/>
      <c r="D27" s="5" t="s">
        <v>29</v>
      </c>
      <c r="E27" s="5" t="s">
        <v>11</v>
      </c>
      <c r="F27" s="5" t="s">
        <v>11</v>
      </c>
      <c r="G27" s="5" t="s">
        <v>11</v>
      </c>
      <c r="H27" s="7">
        <v>1</v>
      </c>
      <c r="I27" s="8">
        <v>15000</v>
      </c>
      <c r="J27" s="8"/>
      <c r="K27" s="8">
        <v>0</v>
      </c>
      <c r="L27" s="8">
        <v>4527.77</v>
      </c>
      <c r="M27" s="8"/>
      <c r="N27" s="8">
        <f>I27-L27</f>
        <v>10472.23</v>
      </c>
      <c r="O27" s="8">
        <v>0</v>
      </c>
      <c r="P27" s="8">
        <v>0</v>
      </c>
      <c r="Q27" s="8"/>
      <c r="R27" s="8">
        <v>0</v>
      </c>
      <c r="S27" s="8">
        <v>0</v>
      </c>
    </row>
    <row r="28" ht="31.5" customHeight="1" spans="1:19" x14ac:dyDescent="0.25">
      <c r="A28" s="5" t="s">
        <v>74</v>
      </c>
      <c r="B28" s="6" t="s">
        <v>75</v>
      </c>
      <c r="C28" s="6"/>
      <c r="D28" s="5" t="s">
        <v>29</v>
      </c>
      <c r="E28" s="5" t="s">
        <v>11</v>
      </c>
      <c r="F28" s="5" t="s">
        <v>11</v>
      </c>
      <c r="G28" s="5" t="s">
        <v>11</v>
      </c>
      <c r="H28" s="7">
        <v>1</v>
      </c>
      <c r="I28" s="8">
        <v>15000</v>
      </c>
      <c r="J28" s="8"/>
      <c r="K28" s="8">
        <v>0</v>
      </c>
      <c r="L28" s="8">
        <v>4527.77</v>
      </c>
      <c r="M28" s="8"/>
      <c r="N28" s="8">
        <f>I28-L28</f>
        <v>10472.23</v>
      </c>
      <c r="O28" s="8">
        <v>0</v>
      </c>
      <c r="P28" s="8">
        <v>0</v>
      </c>
      <c r="Q28" s="8"/>
      <c r="R28" s="8">
        <v>0</v>
      </c>
      <c r="S28" s="8">
        <v>0</v>
      </c>
    </row>
    <row r="29" ht="31.5" customHeight="1" spans="1:19" x14ac:dyDescent="0.25">
      <c r="A29" s="5" t="s">
        <v>76</v>
      </c>
      <c r="B29" s="6" t="s">
        <v>77</v>
      </c>
      <c r="C29" s="6"/>
      <c r="D29" s="5" t="s">
        <v>29</v>
      </c>
      <c r="E29" s="5" t="s">
        <v>11</v>
      </c>
      <c r="F29" s="5" t="s">
        <v>11</v>
      </c>
      <c r="G29" s="5" t="s">
        <v>11</v>
      </c>
      <c r="H29" s="7">
        <v>1</v>
      </c>
      <c r="I29" s="8">
        <v>28000</v>
      </c>
      <c r="J29" s="8"/>
      <c r="K29" s="8">
        <v>0</v>
      </c>
      <c r="L29" s="8">
        <v>0</v>
      </c>
      <c r="M29" s="8"/>
      <c r="N29" s="8">
        <f>I29-L29</f>
        <v>28000</v>
      </c>
      <c r="O29" s="8">
        <v>0</v>
      </c>
      <c r="P29" s="8">
        <v>0</v>
      </c>
      <c r="Q29" s="8"/>
      <c r="R29" s="8">
        <v>0</v>
      </c>
      <c r="S29" s="8">
        <v>0</v>
      </c>
    </row>
    <row r="30" ht="31.5" customHeight="1" spans="1:19" x14ac:dyDescent="0.25">
      <c r="A30" s="5" t="s">
        <v>78</v>
      </c>
      <c r="B30" s="6" t="s">
        <v>79</v>
      </c>
      <c r="C30" s="6"/>
      <c r="D30" s="5" t="s">
        <v>29</v>
      </c>
      <c r="E30" s="5" t="s">
        <v>11</v>
      </c>
      <c r="F30" s="5" t="s">
        <v>11</v>
      </c>
      <c r="G30" s="5" t="s">
        <v>11</v>
      </c>
      <c r="H30" s="7">
        <v>2</v>
      </c>
      <c r="I30" s="8">
        <v>50000</v>
      </c>
      <c r="J30" s="8"/>
      <c r="K30" s="8">
        <v>0</v>
      </c>
      <c r="L30" s="8">
        <v>29527.77</v>
      </c>
      <c r="M30" s="8"/>
      <c r="N30" s="8">
        <f>I30-L30</f>
        <v>20472.23</v>
      </c>
      <c r="O30" s="8">
        <v>0</v>
      </c>
      <c r="P30" s="8">
        <v>0</v>
      </c>
      <c r="Q30" s="8"/>
      <c r="R30" s="8">
        <v>0</v>
      </c>
      <c r="S30" s="8">
        <v>0</v>
      </c>
    </row>
    <row r="31" ht="31.5" customHeight="1" spans="1:19" x14ac:dyDescent="0.25">
      <c r="A31" s="5" t="s">
        <v>80</v>
      </c>
      <c r="B31" s="6" t="s">
        <v>81</v>
      </c>
      <c r="C31" s="6"/>
      <c r="D31" s="5" t="s">
        <v>29</v>
      </c>
      <c r="E31" s="5" t="s">
        <v>11</v>
      </c>
      <c r="F31" s="5" t="s">
        <v>11</v>
      </c>
      <c r="G31" s="5" t="s">
        <v>11</v>
      </c>
      <c r="H31" s="7">
        <v>1</v>
      </c>
      <c r="I31" s="8">
        <v>35000</v>
      </c>
      <c r="J31" s="8"/>
      <c r="K31" s="8">
        <v>0</v>
      </c>
      <c r="L31" s="8">
        <v>25000</v>
      </c>
      <c r="M31" s="8"/>
      <c r="N31" s="8">
        <f>I31-L31</f>
        <v>10000</v>
      </c>
      <c r="O31" s="8">
        <v>0</v>
      </c>
      <c r="P31" s="8">
        <v>0</v>
      </c>
      <c r="Q31" s="8"/>
      <c r="R31" s="8">
        <v>0</v>
      </c>
      <c r="S31" s="8">
        <v>0</v>
      </c>
    </row>
    <row r="32" ht="31.5" customHeight="1" spans="1:19" x14ac:dyDescent="0.25">
      <c r="A32" s="5" t="s">
        <v>82</v>
      </c>
      <c r="B32" s="6" t="s">
        <v>83</v>
      </c>
      <c r="C32" s="6"/>
      <c r="D32" s="5" t="s">
        <v>29</v>
      </c>
      <c r="E32" s="5" t="s">
        <v>11</v>
      </c>
      <c r="F32" s="5" t="s">
        <v>11</v>
      </c>
      <c r="G32" s="5" t="s">
        <v>11</v>
      </c>
      <c r="H32" s="7">
        <v>1</v>
      </c>
      <c r="I32" s="8">
        <v>35000</v>
      </c>
      <c r="J32" s="8"/>
      <c r="K32" s="8">
        <v>0</v>
      </c>
      <c r="L32" s="8">
        <v>0</v>
      </c>
      <c r="M32" s="8"/>
      <c r="N32" s="8">
        <f>I32-L32</f>
        <v>35000</v>
      </c>
      <c r="O32" s="8">
        <v>0</v>
      </c>
      <c r="P32" s="8">
        <v>0</v>
      </c>
      <c r="Q32" s="8"/>
      <c r="R32" s="8">
        <v>0</v>
      </c>
      <c r="S32" s="8">
        <v>0</v>
      </c>
    </row>
    <row r="33" ht="31.5" customHeight="1" spans="1:19" x14ac:dyDescent="0.25">
      <c r="A33" s="5" t="s">
        <v>84</v>
      </c>
      <c r="B33" s="6" t="s">
        <v>85</v>
      </c>
      <c r="C33" s="6"/>
      <c r="D33" s="5" t="s">
        <v>29</v>
      </c>
      <c r="E33" s="5" t="s">
        <v>11</v>
      </c>
      <c r="F33" s="5" t="s">
        <v>11</v>
      </c>
      <c r="G33" s="5" t="s">
        <v>11</v>
      </c>
      <c r="H33" s="7">
        <v>1</v>
      </c>
      <c r="I33" s="8">
        <v>10000</v>
      </c>
      <c r="J33" s="8"/>
      <c r="K33" s="8">
        <v>0</v>
      </c>
      <c r="L33" s="8">
        <v>2087.18</v>
      </c>
      <c r="M33" s="8"/>
      <c r="N33" s="8">
        <f>I33-L33</f>
        <v>7912.82</v>
      </c>
      <c r="O33" s="8">
        <v>0</v>
      </c>
      <c r="P33" s="8">
        <v>0</v>
      </c>
      <c r="Q33" s="8"/>
      <c r="R33" s="8">
        <v>0</v>
      </c>
      <c r="S33" s="8">
        <v>0</v>
      </c>
    </row>
    <row r="34" ht="31.5" customHeight="1" spans="1:19" x14ac:dyDescent="0.25">
      <c r="A34" s="5" t="s">
        <v>86</v>
      </c>
      <c r="B34" s="6" t="s">
        <v>87</v>
      </c>
      <c r="C34" s="6"/>
      <c r="D34" s="5" t="s">
        <v>29</v>
      </c>
      <c r="E34" s="5" t="s">
        <v>11</v>
      </c>
      <c r="F34" s="5" t="s">
        <v>11</v>
      </c>
      <c r="G34" s="5" t="s">
        <v>11</v>
      </c>
      <c r="H34" s="7">
        <v>2</v>
      </c>
      <c r="I34" s="8">
        <v>45000</v>
      </c>
      <c r="J34" s="8"/>
      <c r="K34" s="8">
        <v>0</v>
      </c>
      <c r="L34" s="8">
        <v>0</v>
      </c>
      <c r="M34" s="8"/>
      <c r="N34" s="8">
        <f>I34-L34</f>
        <v>45000</v>
      </c>
      <c r="O34" s="8">
        <v>0</v>
      </c>
      <c r="P34" s="8">
        <v>0</v>
      </c>
      <c r="Q34" s="8"/>
      <c r="R34" s="8">
        <v>0</v>
      </c>
      <c r="S34" s="8">
        <v>0</v>
      </c>
    </row>
    <row r="35" ht="31.5" customHeight="1" spans="1:19" x14ac:dyDescent="0.25">
      <c r="A35" s="5" t="s">
        <v>88</v>
      </c>
      <c r="B35" s="6" t="s">
        <v>89</v>
      </c>
      <c r="C35" s="6"/>
      <c r="D35" s="5" t="s">
        <v>29</v>
      </c>
      <c r="E35" s="5" t="s">
        <v>11</v>
      </c>
      <c r="F35" s="5" t="s">
        <v>11</v>
      </c>
      <c r="G35" s="5" t="s">
        <v>11</v>
      </c>
      <c r="H35" s="7">
        <v>1</v>
      </c>
      <c r="I35" s="8">
        <v>50000</v>
      </c>
      <c r="J35" s="8"/>
      <c r="K35" s="8">
        <v>0</v>
      </c>
      <c r="L35" s="8">
        <v>0</v>
      </c>
      <c r="M35" s="8"/>
      <c r="N35" s="8">
        <f>I35-L35</f>
        <v>50000</v>
      </c>
      <c r="O35" s="8">
        <v>0</v>
      </c>
      <c r="P35" s="8">
        <v>0</v>
      </c>
      <c r="Q35" s="8"/>
      <c r="R35" s="8">
        <v>0</v>
      </c>
      <c r="S35" s="8">
        <v>0</v>
      </c>
    </row>
    <row r="36" ht="31.5" customHeight="1" spans="1:19" x14ac:dyDescent="0.25">
      <c r="A36" s="5" t="s">
        <v>90</v>
      </c>
      <c r="B36" s="6" t="s">
        <v>91</v>
      </c>
      <c r="C36" s="6"/>
      <c r="D36" s="5" t="s">
        <v>29</v>
      </c>
      <c r="E36" s="5" t="s">
        <v>11</v>
      </c>
      <c r="F36" s="5" t="s">
        <v>11</v>
      </c>
      <c r="G36" s="5" t="s">
        <v>11</v>
      </c>
      <c r="H36" s="7">
        <v>2</v>
      </c>
      <c r="I36" s="8">
        <v>140000</v>
      </c>
      <c r="J36" s="8"/>
      <c r="K36" s="8">
        <v>0</v>
      </c>
      <c r="L36" s="8">
        <v>58472.73</v>
      </c>
      <c r="M36" s="8"/>
      <c r="N36" s="8">
        <f>I36-L36</f>
        <v>81527.26999999999</v>
      </c>
      <c r="O36" s="8">
        <v>0</v>
      </c>
      <c r="P36" s="8">
        <v>0</v>
      </c>
      <c r="Q36" s="8"/>
      <c r="R36" s="8">
        <v>0</v>
      </c>
      <c r="S36" s="8">
        <v>0</v>
      </c>
    </row>
    <row r="37" ht="31.5" customHeight="1" spans="1:19" x14ac:dyDescent="0.25">
      <c r="A37" s="5" t="s">
        <v>92</v>
      </c>
      <c r="B37" s="6" t="s">
        <v>93</v>
      </c>
      <c r="C37" s="6"/>
      <c r="D37" s="5" t="s">
        <v>29</v>
      </c>
      <c r="E37" s="5" t="s">
        <v>11</v>
      </c>
      <c r="F37" s="5" t="s">
        <v>11</v>
      </c>
      <c r="G37" s="5" t="s">
        <v>11</v>
      </c>
      <c r="H37" s="7">
        <v>1</v>
      </c>
      <c r="I37" s="8">
        <v>28000</v>
      </c>
      <c r="J37" s="8"/>
      <c r="K37" s="8">
        <v>0</v>
      </c>
      <c r="L37" s="8">
        <v>0</v>
      </c>
      <c r="M37" s="8"/>
      <c r="N37" s="8">
        <f>I37-L37</f>
        <v>28000</v>
      </c>
      <c r="O37" s="8">
        <v>0</v>
      </c>
      <c r="P37" s="8">
        <v>0</v>
      </c>
      <c r="Q37" s="8"/>
      <c r="R37" s="8">
        <v>0</v>
      </c>
      <c r="S37" s="8">
        <v>0</v>
      </c>
    </row>
    <row r="38" ht="31.5" customHeight="1" spans="1:19" x14ac:dyDescent="0.25">
      <c r="A38" s="5" t="s">
        <v>94</v>
      </c>
      <c r="B38" s="6" t="s">
        <v>95</v>
      </c>
      <c r="C38" s="6"/>
      <c r="D38" s="5" t="s">
        <v>29</v>
      </c>
      <c r="E38" s="5" t="s">
        <v>11</v>
      </c>
      <c r="F38" s="5" t="s">
        <v>11</v>
      </c>
      <c r="G38" s="5" t="s">
        <v>11</v>
      </c>
      <c r="H38" s="7">
        <v>1</v>
      </c>
      <c r="I38" s="8">
        <v>15000</v>
      </c>
      <c r="J38" s="8"/>
      <c r="K38" s="8">
        <v>0</v>
      </c>
      <c r="L38" s="8">
        <v>4527.77</v>
      </c>
      <c r="M38" s="8"/>
      <c r="N38" s="8">
        <f>I38-L38</f>
        <v>10472.23</v>
      </c>
      <c r="O38" s="8">
        <v>0</v>
      </c>
      <c r="P38" s="8">
        <v>0</v>
      </c>
      <c r="Q38" s="8"/>
      <c r="R38" s="8">
        <v>0</v>
      </c>
      <c r="S38" s="8">
        <v>0</v>
      </c>
    </row>
    <row r="39" ht="31.5" customHeight="1" spans="1:19" x14ac:dyDescent="0.25">
      <c r="A39" s="5" t="s">
        <v>96</v>
      </c>
      <c r="B39" s="6" t="s">
        <v>97</v>
      </c>
      <c r="C39" s="6"/>
      <c r="D39" s="5" t="s">
        <v>29</v>
      </c>
      <c r="E39" s="5" t="s">
        <v>11</v>
      </c>
      <c r="F39" s="5" t="s">
        <v>11</v>
      </c>
      <c r="G39" s="5" t="s">
        <v>11</v>
      </c>
      <c r="H39" s="7">
        <v>1</v>
      </c>
      <c r="I39" s="8">
        <v>15000</v>
      </c>
      <c r="J39" s="8"/>
      <c r="K39" s="8">
        <v>0</v>
      </c>
      <c r="L39" s="8">
        <v>4527.77</v>
      </c>
      <c r="M39" s="8"/>
      <c r="N39" s="8">
        <f>I39-L39</f>
        <v>10472.23</v>
      </c>
      <c r="O39" s="8">
        <v>0</v>
      </c>
      <c r="P39" s="8">
        <v>0</v>
      </c>
      <c r="Q39" s="8"/>
      <c r="R39" s="8">
        <v>0</v>
      </c>
      <c r="S39" s="8">
        <v>0</v>
      </c>
    </row>
    <row r="40" ht="31.5" customHeight="1" spans="1:19" x14ac:dyDescent="0.25">
      <c r="A40" s="5" t="s">
        <v>98</v>
      </c>
      <c r="B40" s="6" t="s">
        <v>99</v>
      </c>
      <c r="C40" s="6"/>
      <c r="D40" s="5" t="s">
        <v>29</v>
      </c>
      <c r="E40" s="5" t="s">
        <v>11</v>
      </c>
      <c r="F40" s="5" t="s">
        <v>11</v>
      </c>
      <c r="G40" s="5" t="s">
        <v>11</v>
      </c>
      <c r="H40" s="7">
        <v>1</v>
      </c>
      <c r="I40" s="8">
        <v>15000</v>
      </c>
      <c r="J40" s="8"/>
      <c r="K40" s="8">
        <v>0</v>
      </c>
      <c r="L40" s="8">
        <v>4527.77</v>
      </c>
      <c r="M40" s="8"/>
      <c r="N40" s="8">
        <f>I40-L40</f>
        <v>10472.23</v>
      </c>
      <c r="O40" s="8">
        <v>0</v>
      </c>
      <c r="P40" s="8">
        <v>0</v>
      </c>
      <c r="Q40" s="8"/>
      <c r="R40" s="8">
        <v>0</v>
      </c>
      <c r="S40" s="8">
        <v>0</v>
      </c>
    </row>
    <row r="41" ht="31.5" customHeight="1" spans="1:19" x14ac:dyDescent="0.25">
      <c r="A41" s="5" t="s">
        <v>100</v>
      </c>
      <c r="B41" s="6" t="s">
        <v>101</v>
      </c>
      <c r="C41" s="6"/>
      <c r="D41" s="5" t="s">
        <v>29</v>
      </c>
      <c r="E41" s="5" t="s">
        <v>11</v>
      </c>
      <c r="F41" s="5" t="s">
        <v>11</v>
      </c>
      <c r="G41" s="5" t="s">
        <v>11</v>
      </c>
      <c r="H41" s="7">
        <v>3</v>
      </c>
      <c r="I41" s="8">
        <v>350000</v>
      </c>
      <c r="J41" s="8"/>
      <c r="K41" s="8">
        <v>0</v>
      </c>
      <c r="L41" s="8">
        <v>0</v>
      </c>
      <c r="M41" s="8"/>
      <c r="N41" s="8">
        <f>I41-L41</f>
        <v>350000</v>
      </c>
      <c r="O41" s="8">
        <v>0</v>
      </c>
      <c r="P41" s="8">
        <v>0</v>
      </c>
      <c r="Q41" s="8"/>
      <c r="R41" s="8">
        <v>0</v>
      </c>
      <c r="S41" s="8">
        <v>0</v>
      </c>
    </row>
    <row r="42" ht="31.5" customHeight="1" spans="1:19" x14ac:dyDescent="0.25">
      <c r="A42" s="5" t="s">
        <v>102</v>
      </c>
      <c r="B42" s="6" t="s">
        <v>103</v>
      </c>
      <c r="C42" s="6"/>
      <c r="D42" s="5" t="s">
        <v>29</v>
      </c>
      <c r="E42" s="5" t="s">
        <v>11</v>
      </c>
      <c r="F42" s="5" t="s">
        <v>11</v>
      </c>
      <c r="G42" s="5" t="s">
        <v>11</v>
      </c>
      <c r="H42" s="7">
        <v>3</v>
      </c>
      <c r="I42" s="8">
        <v>87000</v>
      </c>
      <c r="J42" s="8"/>
      <c r="K42" s="8">
        <v>0</v>
      </c>
      <c r="L42" s="8">
        <v>0</v>
      </c>
      <c r="M42" s="8"/>
      <c r="N42" s="8">
        <f>I42-L42</f>
        <v>87000</v>
      </c>
      <c r="O42" s="8">
        <v>0</v>
      </c>
      <c r="P42" s="8">
        <v>0</v>
      </c>
      <c r="Q42" s="8"/>
      <c r="R42" s="8">
        <v>0</v>
      </c>
      <c r="S42" s="8">
        <v>0</v>
      </c>
    </row>
    <row r="43" ht="31.5" customHeight="1" spans="1:19" x14ac:dyDescent="0.25">
      <c r="A43" s="5" t="s">
        <v>104</v>
      </c>
      <c r="B43" s="6" t="s">
        <v>105</v>
      </c>
      <c r="C43" s="6"/>
      <c r="D43" s="5" t="s">
        <v>29</v>
      </c>
      <c r="E43" s="5" t="s">
        <v>11</v>
      </c>
      <c r="F43" s="5" t="s">
        <v>11</v>
      </c>
      <c r="G43" s="5" t="s">
        <v>11</v>
      </c>
      <c r="H43" s="7">
        <v>1</v>
      </c>
      <c r="I43" s="8">
        <v>45000</v>
      </c>
      <c r="J43" s="8"/>
      <c r="K43" s="8">
        <v>0</v>
      </c>
      <c r="L43" s="8">
        <v>0</v>
      </c>
      <c r="M43" s="8"/>
      <c r="N43" s="8">
        <f>I43-L43</f>
        <v>45000</v>
      </c>
      <c r="O43" s="8">
        <v>0</v>
      </c>
      <c r="P43" s="8">
        <v>0</v>
      </c>
      <c r="Q43" s="8"/>
      <c r="R43" s="8">
        <v>0</v>
      </c>
      <c r="S43" s="8">
        <v>0</v>
      </c>
    </row>
    <row r="44" ht="31.5" customHeight="1" spans="1:19" x14ac:dyDescent="0.25">
      <c r="A44" s="5" t="s">
        <v>106</v>
      </c>
      <c r="B44" s="6" t="s">
        <v>107</v>
      </c>
      <c r="C44" s="6"/>
      <c r="D44" s="5" t="s">
        <v>29</v>
      </c>
      <c r="E44" s="5" t="s">
        <v>11</v>
      </c>
      <c r="F44" s="5" t="s">
        <v>11</v>
      </c>
      <c r="G44" s="5" t="s">
        <v>11</v>
      </c>
      <c r="H44" s="7">
        <v>1</v>
      </c>
      <c r="I44" s="8">
        <v>10000</v>
      </c>
      <c r="J44" s="8"/>
      <c r="K44" s="8">
        <v>0</v>
      </c>
      <c r="L44" s="8">
        <v>2087.18</v>
      </c>
      <c r="M44" s="8"/>
      <c r="N44" s="8">
        <f>I44-L44</f>
        <v>7912.82</v>
      </c>
      <c r="O44" s="8">
        <v>0</v>
      </c>
      <c r="P44" s="8">
        <v>0</v>
      </c>
      <c r="Q44" s="8"/>
      <c r="R44" s="8">
        <v>0</v>
      </c>
      <c r="S44" s="8">
        <v>0</v>
      </c>
    </row>
    <row r="45" ht="31.5" customHeight="1" spans="1:19" x14ac:dyDescent="0.25">
      <c r="A45" s="5" t="s">
        <v>108</v>
      </c>
      <c r="B45" s="6" t="s">
        <v>109</v>
      </c>
      <c r="C45" s="6"/>
      <c r="D45" s="5" t="s">
        <v>29</v>
      </c>
      <c r="E45" s="5" t="s">
        <v>11</v>
      </c>
      <c r="F45" s="5" t="s">
        <v>11</v>
      </c>
      <c r="G45" s="5" t="s">
        <v>11</v>
      </c>
      <c r="H45" s="7">
        <v>1</v>
      </c>
      <c r="I45" s="8">
        <v>40000</v>
      </c>
      <c r="J45" s="8"/>
      <c r="K45" s="8">
        <v>0</v>
      </c>
      <c r="L45" s="8">
        <v>0</v>
      </c>
      <c r="M45" s="8"/>
      <c r="N45" s="8">
        <f>I45-L45</f>
        <v>40000</v>
      </c>
      <c r="O45" s="8">
        <v>0</v>
      </c>
      <c r="P45" s="8">
        <v>0</v>
      </c>
      <c r="Q45" s="8"/>
      <c r="R45" s="8">
        <v>0</v>
      </c>
      <c r="S45" s="8">
        <v>0</v>
      </c>
    </row>
    <row r="46" ht="31.5" customHeight="1" spans="1:19" x14ac:dyDescent="0.25">
      <c r="A46" s="5" t="s">
        <v>110</v>
      </c>
      <c r="B46" s="6" t="s">
        <v>111</v>
      </c>
      <c r="C46" s="6"/>
      <c r="D46" s="5" t="s">
        <v>29</v>
      </c>
      <c r="E46" s="5" t="s">
        <v>11</v>
      </c>
      <c r="F46" s="5" t="s">
        <v>11</v>
      </c>
      <c r="G46" s="5" t="s">
        <v>11</v>
      </c>
      <c r="H46" s="7">
        <v>8</v>
      </c>
      <c r="I46" s="8">
        <v>400000</v>
      </c>
      <c r="J46" s="8"/>
      <c r="K46" s="8">
        <v>0</v>
      </c>
      <c r="L46" s="8">
        <v>0</v>
      </c>
      <c r="M46" s="8"/>
      <c r="N46" s="8">
        <f>I46-L46</f>
        <v>400000</v>
      </c>
      <c r="O46" s="8">
        <v>0</v>
      </c>
      <c r="P46" s="8">
        <v>0</v>
      </c>
      <c r="Q46" s="8"/>
      <c r="R46" s="8">
        <v>0</v>
      </c>
      <c r="S46" s="8">
        <v>0</v>
      </c>
    </row>
    <row r="47" ht="31.5" customHeight="1" spans="1:19" x14ac:dyDescent="0.25">
      <c r="A47" s="5" t="s">
        <v>112</v>
      </c>
      <c r="B47" s="6" t="s">
        <v>113</v>
      </c>
      <c r="C47" s="6"/>
      <c r="D47" s="5" t="s">
        <v>29</v>
      </c>
      <c r="E47" s="5" t="s">
        <v>11</v>
      </c>
      <c r="F47" s="5" t="s">
        <v>11</v>
      </c>
      <c r="G47" s="5" t="s">
        <v>11</v>
      </c>
      <c r="H47" s="7">
        <v>1</v>
      </c>
      <c r="I47" s="8">
        <v>15000</v>
      </c>
      <c r="J47" s="8"/>
      <c r="K47" s="8">
        <v>0</v>
      </c>
      <c r="L47" s="8">
        <v>4527.77</v>
      </c>
      <c r="M47" s="8"/>
      <c r="N47" s="8">
        <f>I47-L47</f>
        <v>10472.23</v>
      </c>
      <c r="O47" s="8">
        <v>0</v>
      </c>
      <c r="P47" s="8">
        <v>0</v>
      </c>
      <c r="Q47" s="8"/>
      <c r="R47" s="8">
        <v>0</v>
      </c>
      <c r="S47" s="8">
        <v>0</v>
      </c>
    </row>
    <row r="48" ht="31.5" customHeight="1" spans="1:19" x14ac:dyDescent="0.25">
      <c r="A48" s="5" t="s">
        <v>114</v>
      </c>
      <c r="B48" s="6" t="s">
        <v>115</v>
      </c>
      <c r="C48" s="6"/>
      <c r="D48" s="5" t="s">
        <v>29</v>
      </c>
      <c r="E48" s="5" t="s">
        <v>11</v>
      </c>
      <c r="F48" s="5" t="s">
        <v>11</v>
      </c>
      <c r="G48" s="5" t="s">
        <v>11</v>
      </c>
      <c r="H48" s="7">
        <v>1</v>
      </c>
      <c r="I48" s="8">
        <v>120000</v>
      </c>
      <c r="J48" s="8"/>
      <c r="K48" s="8">
        <v>0</v>
      </c>
      <c r="L48" s="8">
        <v>78585.42</v>
      </c>
      <c r="M48" s="8"/>
      <c r="N48" s="8">
        <f>I48-L48</f>
        <v>41414.58</v>
      </c>
      <c r="O48" s="8">
        <v>0</v>
      </c>
      <c r="P48" s="8">
        <v>0</v>
      </c>
      <c r="Q48" s="8"/>
      <c r="R48" s="8">
        <v>0</v>
      </c>
      <c r="S48" s="8">
        <v>0</v>
      </c>
    </row>
    <row r="49" ht="31.5" customHeight="1" spans="1:19" x14ac:dyDescent="0.25">
      <c r="A49" s="5" t="s">
        <v>116</v>
      </c>
      <c r="B49" s="6" t="s">
        <v>117</v>
      </c>
      <c r="C49" s="6"/>
      <c r="D49" s="5" t="s">
        <v>29</v>
      </c>
      <c r="E49" s="5" t="s">
        <v>11</v>
      </c>
      <c r="F49" s="5" t="s">
        <v>11</v>
      </c>
      <c r="G49" s="5" t="s">
        <v>11</v>
      </c>
      <c r="H49" s="7">
        <v>1</v>
      </c>
      <c r="I49" s="8">
        <v>150000</v>
      </c>
      <c r="J49" s="8"/>
      <c r="K49" s="8">
        <v>0</v>
      </c>
      <c r="L49" s="8">
        <v>0</v>
      </c>
      <c r="M49" s="8"/>
      <c r="N49" s="8">
        <f>I49-L49</f>
        <v>150000</v>
      </c>
      <c r="O49" s="8">
        <v>0</v>
      </c>
      <c r="P49" s="8">
        <v>0</v>
      </c>
      <c r="Q49" s="8"/>
      <c r="R49" s="8">
        <v>0</v>
      </c>
      <c r="S49" s="8">
        <v>0</v>
      </c>
    </row>
    <row r="50" ht="31.5" customHeight="1" spans="1:19" x14ac:dyDescent="0.25">
      <c r="A50" s="5" t="s">
        <v>118</v>
      </c>
      <c r="B50" s="6" t="s">
        <v>119</v>
      </c>
      <c r="C50" s="6"/>
      <c r="D50" s="5" t="s">
        <v>29</v>
      </c>
      <c r="E50" s="5" t="s">
        <v>11</v>
      </c>
      <c r="F50" s="5" t="s">
        <v>11</v>
      </c>
      <c r="G50" s="5" t="s">
        <v>11</v>
      </c>
      <c r="H50" s="7">
        <v>1</v>
      </c>
      <c r="I50" s="8">
        <v>40000</v>
      </c>
      <c r="J50" s="8"/>
      <c r="K50" s="8">
        <v>0</v>
      </c>
      <c r="L50" s="8">
        <v>0</v>
      </c>
      <c r="M50" s="8"/>
      <c r="N50" s="8">
        <f>I50-L50</f>
        <v>40000</v>
      </c>
      <c r="O50" s="8">
        <v>0</v>
      </c>
      <c r="P50" s="8">
        <v>0</v>
      </c>
      <c r="Q50" s="8"/>
      <c r="R50" s="8">
        <v>0</v>
      </c>
      <c r="S50" s="8">
        <v>0</v>
      </c>
    </row>
    <row r="51" ht="31.5" customHeight="1" spans="1:19" x14ac:dyDescent="0.25">
      <c r="A51" s="5" t="s">
        <v>120</v>
      </c>
      <c r="B51" s="6" t="s">
        <v>121</v>
      </c>
      <c r="C51" s="6"/>
      <c r="D51" s="5" t="s">
        <v>29</v>
      </c>
      <c r="E51" s="5" t="s">
        <v>11</v>
      </c>
      <c r="F51" s="5" t="s">
        <v>11</v>
      </c>
      <c r="G51" s="5" t="s">
        <v>11</v>
      </c>
      <c r="H51" s="7">
        <v>1</v>
      </c>
      <c r="I51" s="8">
        <v>35000</v>
      </c>
      <c r="J51" s="8"/>
      <c r="K51" s="8">
        <v>0</v>
      </c>
      <c r="L51" s="8">
        <v>0</v>
      </c>
      <c r="M51" s="8"/>
      <c r="N51" s="8">
        <f>I51-L51</f>
        <v>35000</v>
      </c>
      <c r="O51" s="8">
        <v>0</v>
      </c>
      <c r="P51" s="8">
        <v>0</v>
      </c>
      <c r="Q51" s="8"/>
      <c r="R51" s="8">
        <v>0</v>
      </c>
      <c r="S51" s="8">
        <v>0</v>
      </c>
    </row>
    <row r="52" ht="31.5" customHeight="1" spans="1:19" x14ac:dyDescent="0.25">
      <c r="A52" s="5" t="s">
        <v>122</v>
      </c>
      <c r="B52" s="6" t="s">
        <v>123</v>
      </c>
      <c r="C52" s="6"/>
      <c r="D52" s="5" t="s">
        <v>29</v>
      </c>
      <c r="E52" s="5" t="s">
        <v>11</v>
      </c>
      <c r="F52" s="5" t="s">
        <v>11</v>
      </c>
      <c r="G52" s="5" t="s">
        <v>11</v>
      </c>
      <c r="H52" s="7">
        <v>2</v>
      </c>
      <c r="I52" s="8">
        <v>80000</v>
      </c>
      <c r="J52" s="8"/>
      <c r="K52" s="8">
        <v>0</v>
      </c>
      <c r="L52" s="8">
        <v>0</v>
      </c>
      <c r="M52" s="8"/>
      <c r="N52" s="8">
        <f>I52-L52</f>
        <v>80000</v>
      </c>
      <c r="O52" s="8">
        <v>0</v>
      </c>
      <c r="P52" s="8">
        <v>0</v>
      </c>
      <c r="Q52" s="8"/>
      <c r="R52" s="8">
        <v>0</v>
      </c>
      <c r="S52" s="8">
        <v>0</v>
      </c>
    </row>
    <row r="53" ht="31.5" customHeight="1" spans="1:19" x14ac:dyDescent="0.25">
      <c r="A53" s="5" t="s">
        <v>124</v>
      </c>
      <c r="B53" s="6" t="s">
        <v>125</v>
      </c>
      <c r="C53" s="6"/>
      <c r="D53" s="5" t="s">
        <v>29</v>
      </c>
      <c r="E53" s="5" t="s">
        <v>11</v>
      </c>
      <c r="F53" s="5" t="s">
        <v>11</v>
      </c>
      <c r="G53" s="5" t="s">
        <v>11</v>
      </c>
      <c r="H53" s="7">
        <v>1</v>
      </c>
      <c r="I53" s="8">
        <v>15000</v>
      </c>
      <c r="J53" s="8"/>
      <c r="K53" s="8">
        <v>0</v>
      </c>
      <c r="L53" s="8">
        <v>4527.77</v>
      </c>
      <c r="M53" s="8"/>
      <c r="N53" s="8">
        <f>I53-L53</f>
        <v>10472.23</v>
      </c>
      <c r="O53" s="8">
        <v>0</v>
      </c>
      <c r="P53" s="8">
        <v>0</v>
      </c>
      <c r="Q53" s="8"/>
      <c r="R53" s="8">
        <v>0</v>
      </c>
      <c r="S53" s="8">
        <v>0</v>
      </c>
    </row>
    <row r="54" ht="31.5" customHeight="1" spans="1:19" x14ac:dyDescent="0.25">
      <c r="A54" s="5" t="s">
        <v>126</v>
      </c>
      <c r="B54" s="6" t="s">
        <v>127</v>
      </c>
      <c r="C54" s="6"/>
      <c r="D54" s="5" t="s">
        <v>29</v>
      </c>
      <c r="E54" s="5" t="s">
        <v>11</v>
      </c>
      <c r="F54" s="5" t="s">
        <v>11</v>
      </c>
      <c r="G54" s="5" t="s">
        <v>11</v>
      </c>
      <c r="H54" s="7">
        <v>1</v>
      </c>
      <c r="I54" s="8">
        <v>15000</v>
      </c>
      <c r="J54" s="8"/>
      <c r="K54" s="8">
        <v>0</v>
      </c>
      <c r="L54" s="8">
        <v>4527.77</v>
      </c>
      <c r="M54" s="8"/>
      <c r="N54" s="8">
        <f>I54-L54</f>
        <v>10472.23</v>
      </c>
      <c r="O54" s="8">
        <v>0</v>
      </c>
      <c r="P54" s="8">
        <v>0</v>
      </c>
      <c r="Q54" s="8"/>
      <c r="R54" s="8">
        <v>0</v>
      </c>
      <c r="S54" s="8">
        <v>0</v>
      </c>
    </row>
    <row r="55" ht="31.5" customHeight="1" spans="1:19" x14ac:dyDescent="0.25">
      <c r="A55" s="5" t="s">
        <v>128</v>
      </c>
      <c r="B55" s="6" t="s">
        <v>129</v>
      </c>
      <c r="C55" s="6"/>
      <c r="D55" s="5" t="s">
        <v>29</v>
      </c>
      <c r="E55" s="5" t="s">
        <v>11</v>
      </c>
      <c r="F55" s="5" t="s">
        <v>11</v>
      </c>
      <c r="G55" s="5" t="s">
        <v>11</v>
      </c>
      <c r="H55" s="7">
        <v>11</v>
      </c>
      <c r="I55" s="8">
        <v>152000</v>
      </c>
      <c r="J55" s="8"/>
      <c r="K55" s="8">
        <v>0</v>
      </c>
      <c r="L55" s="8">
        <v>58314.95</v>
      </c>
      <c r="M55" s="8"/>
      <c r="N55" s="8">
        <f>I55-L55</f>
        <v>93685.05</v>
      </c>
      <c r="O55" s="8">
        <v>0</v>
      </c>
      <c r="P55" s="8">
        <v>0</v>
      </c>
      <c r="Q55" s="8"/>
      <c r="R55" s="8">
        <v>0</v>
      </c>
      <c r="S55" s="8">
        <v>0</v>
      </c>
    </row>
    <row r="56" ht="31.5" customHeight="1" spans="1:19" x14ac:dyDescent="0.25">
      <c r="A56" s="5" t="s">
        <v>130</v>
      </c>
      <c r="B56" s="6" t="s">
        <v>131</v>
      </c>
      <c r="C56" s="6"/>
      <c r="D56" s="5" t="s">
        <v>29</v>
      </c>
      <c r="E56" s="5" t="s">
        <v>11</v>
      </c>
      <c r="F56" s="5" t="s">
        <v>11</v>
      </c>
      <c r="G56" s="5" t="s">
        <v>11</v>
      </c>
      <c r="H56" s="7">
        <v>2</v>
      </c>
      <c r="I56" s="8">
        <v>100000</v>
      </c>
      <c r="J56" s="8"/>
      <c r="K56" s="8">
        <v>0</v>
      </c>
      <c r="L56" s="8">
        <v>0</v>
      </c>
      <c r="M56" s="8"/>
      <c r="N56" s="8">
        <f>I56-L56</f>
        <v>100000</v>
      </c>
      <c r="O56" s="8">
        <v>0</v>
      </c>
      <c r="P56" s="8">
        <v>0</v>
      </c>
      <c r="Q56" s="8"/>
      <c r="R56" s="8">
        <v>0</v>
      </c>
      <c r="S56" s="8">
        <v>0</v>
      </c>
    </row>
    <row r="57" ht="31.5" customHeight="1" spans="1:19" x14ac:dyDescent="0.25">
      <c r="A57" s="5" t="s">
        <v>132</v>
      </c>
      <c r="B57" s="6" t="s">
        <v>133</v>
      </c>
      <c r="C57" s="6"/>
      <c r="D57" s="5" t="s">
        <v>29</v>
      </c>
      <c r="E57" s="5" t="s">
        <v>11</v>
      </c>
      <c r="F57" s="5" t="s">
        <v>11</v>
      </c>
      <c r="G57" s="5" t="s">
        <v>11</v>
      </c>
      <c r="H57" s="7">
        <v>1</v>
      </c>
      <c r="I57" s="8">
        <v>90000</v>
      </c>
      <c r="J57" s="8"/>
      <c r="K57" s="8">
        <v>0</v>
      </c>
      <c r="L57" s="8">
        <v>58472.73</v>
      </c>
      <c r="M57" s="8"/>
      <c r="N57" s="8">
        <f>I57-L57</f>
        <v>31527.269999999997</v>
      </c>
      <c r="O57" s="8">
        <v>0</v>
      </c>
      <c r="P57" s="8">
        <v>0</v>
      </c>
      <c r="Q57" s="8"/>
      <c r="R57" s="8">
        <v>0</v>
      </c>
      <c r="S57" s="8">
        <v>0</v>
      </c>
    </row>
    <row r="58" ht="31.5" customHeight="1" spans="1:19" x14ac:dyDescent="0.25">
      <c r="A58" s="5" t="s">
        <v>134</v>
      </c>
      <c r="B58" s="6" t="s">
        <v>135</v>
      </c>
      <c r="C58" s="6"/>
      <c r="D58" s="5" t="s">
        <v>29</v>
      </c>
      <c r="E58" s="5" t="s">
        <v>11</v>
      </c>
      <c r="F58" s="5" t="s">
        <v>11</v>
      </c>
      <c r="G58" s="5" t="s">
        <v>11</v>
      </c>
      <c r="H58" s="7">
        <v>1</v>
      </c>
      <c r="I58" s="8">
        <v>15000</v>
      </c>
      <c r="J58" s="8"/>
      <c r="K58" s="8">
        <v>0</v>
      </c>
      <c r="L58" s="8">
        <v>7950</v>
      </c>
      <c r="M58" s="8"/>
      <c r="N58" s="8">
        <f>I58-L58</f>
        <v>7050</v>
      </c>
      <c r="O58" s="8">
        <v>0</v>
      </c>
      <c r="P58" s="8">
        <v>0</v>
      </c>
      <c r="Q58" s="8"/>
      <c r="R58" s="8">
        <v>0</v>
      </c>
      <c r="S58" s="8">
        <v>0</v>
      </c>
    </row>
    <row r="59" ht="31.5" customHeight="1" spans="1:19" x14ac:dyDescent="0.25">
      <c r="A59" s="5" t="s">
        <v>136</v>
      </c>
      <c r="B59" s="6" t="s">
        <v>137</v>
      </c>
      <c r="C59" s="6"/>
      <c r="D59" s="5" t="s">
        <v>138</v>
      </c>
      <c r="E59" s="5" t="s">
        <v>11</v>
      </c>
      <c r="F59" s="5" t="s">
        <v>11</v>
      </c>
      <c r="G59" s="5" t="s">
        <v>11</v>
      </c>
      <c r="H59" s="7">
        <v>1</v>
      </c>
      <c r="I59" s="8">
        <v>50000</v>
      </c>
      <c r="J59" s="8"/>
      <c r="K59" s="8">
        <v>0</v>
      </c>
      <c r="L59" s="8">
        <v>0</v>
      </c>
      <c r="M59" s="8"/>
      <c r="N59" s="8">
        <f>I59-L59</f>
        <v>50000</v>
      </c>
      <c r="O59" s="8">
        <v>0</v>
      </c>
      <c r="P59" s="8">
        <v>0</v>
      </c>
      <c r="Q59" s="8"/>
      <c r="R59" s="8">
        <v>0</v>
      </c>
      <c r="S59" s="8">
        <v>0</v>
      </c>
    </row>
    <row r="60" ht="31.5" customHeight="1" spans="1:19" x14ac:dyDescent="0.25">
      <c r="A60" s="5" t="s">
        <v>139</v>
      </c>
      <c r="B60" s="6" t="s">
        <v>140</v>
      </c>
      <c r="C60" s="6"/>
      <c r="D60" s="5" t="s">
        <v>138</v>
      </c>
      <c r="E60" s="5" t="s">
        <v>11</v>
      </c>
      <c r="F60" s="5" t="s">
        <v>11</v>
      </c>
      <c r="G60" s="5" t="s">
        <v>11</v>
      </c>
      <c r="H60" s="7">
        <v>4</v>
      </c>
      <c r="I60" s="8">
        <v>160000</v>
      </c>
      <c r="J60" s="8"/>
      <c r="K60" s="8">
        <v>0</v>
      </c>
      <c r="L60" s="8">
        <v>0</v>
      </c>
      <c r="M60" s="8"/>
      <c r="N60" s="8">
        <f>I60-L60</f>
        <v>160000</v>
      </c>
      <c r="O60" s="8">
        <v>0</v>
      </c>
      <c r="P60" s="8">
        <v>0</v>
      </c>
      <c r="Q60" s="8"/>
      <c r="R60" s="8">
        <v>0</v>
      </c>
      <c r="S60" s="8">
        <v>0</v>
      </c>
    </row>
    <row r="61" ht="31.5" customHeight="1" spans="1:19" x14ac:dyDescent="0.25">
      <c r="A61" s="5" t="s">
        <v>141</v>
      </c>
      <c r="B61" s="6" t="s">
        <v>142</v>
      </c>
      <c r="C61" s="6"/>
      <c r="D61" s="5" t="s">
        <v>138</v>
      </c>
      <c r="E61" s="5" t="s">
        <v>11</v>
      </c>
      <c r="F61" s="5" t="s">
        <v>11</v>
      </c>
      <c r="G61" s="5" t="s">
        <v>11</v>
      </c>
      <c r="H61" s="7">
        <v>1</v>
      </c>
      <c r="I61" s="8">
        <v>28000</v>
      </c>
      <c r="J61" s="8"/>
      <c r="K61" s="8">
        <v>0</v>
      </c>
      <c r="L61" s="8">
        <v>0</v>
      </c>
      <c r="M61" s="8"/>
      <c r="N61" s="8">
        <f>I61-L61</f>
        <v>28000</v>
      </c>
      <c r="O61" s="8">
        <v>0</v>
      </c>
      <c r="P61" s="8">
        <v>0</v>
      </c>
      <c r="Q61" s="8"/>
      <c r="R61" s="8">
        <v>0</v>
      </c>
      <c r="S61" s="8">
        <v>0</v>
      </c>
    </row>
    <row r="62" ht="31.5" customHeight="1" spans="1:19" x14ac:dyDescent="0.25">
      <c r="A62" s="5" t="s">
        <v>143</v>
      </c>
      <c r="B62" s="6" t="s">
        <v>144</v>
      </c>
      <c r="C62" s="6"/>
      <c r="D62" s="5" t="s">
        <v>138</v>
      </c>
      <c r="E62" s="5" t="s">
        <v>11</v>
      </c>
      <c r="F62" s="5" t="s">
        <v>11</v>
      </c>
      <c r="G62" s="5" t="s">
        <v>11</v>
      </c>
      <c r="H62" s="7">
        <v>1</v>
      </c>
      <c r="I62" s="8">
        <v>90000</v>
      </c>
      <c r="J62" s="8"/>
      <c r="K62" s="8">
        <v>0</v>
      </c>
      <c r="L62" s="8">
        <v>58472.73</v>
      </c>
      <c r="M62" s="8"/>
      <c r="N62" s="8">
        <f>I62-L62</f>
        <v>31527.269999999997</v>
      </c>
      <c r="O62" s="8">
        <v>0</v>
      </c>
      <c r="P62" s="8">
        <v>0</v>
      </c>
      <c r="Q62" s="8"/>
      <c r="R62" s="8">
        <v>0</v>
      </c>
      <c r="S62" s="8">
        <v>0</v>
      </c>
    </row>
    <row r="63" ht="31.5" customHeight="1" spans="1:19" x14ac:dyDescent="0.25">
      <c r="A63" s="5" t="s">
        <v>145</v>
      </c>
      <c r="B63" s="6" t="s">
        <v>146</v>
      </c>
      <c r="C63" s="6"/>
      <c r="D63" s="5" t="s">
        <v>138</v>
      </c>
      <c r="E63" s="5" t="s">
        <v>11</v>
      </c>
      <c r="F63" s="5" t="s">
        <v>11</v>
      </c>
      <c r="G63" s="5" t="s">
        <v>11</v>
      </c>
      <c r="H63" s="7">
        <v>1</v>
      </c>
      <c r="I63" s="8">
        <v>12000</v>
      </c>
      <c r="J63" s="8"/>
      <c r="K63" s="8">
        <v>0</v>
      </c>
      <c r="L63" s="8">
        <v>6250</v>
      </c>
      <c r="M63" s="8"/>
      <c r="N63" s="8">
        <f>I63-L63</f>
        <v>5750</v>
      </c>
      <c r="O63" s="8">
        <v>0</v>
      </c>
      <c r="P63" s="8">
        <v>0</v>
      </c>
      <c r="Q63" s="8"/>
      <c r="R63" s="8">
        <v>0</v>
      </c>
      <c r="S63" s="8">
        <v>0</v>
      </c>
    </row>
    <row r="64" ht="31.5" customHeight="1" spans="1:19" x14ac:dyDescent="0.25">
      <c r="A64" s="5" t="s">
        <v>147</v>
      </c>
      <c r="B64" s="6" t="s">
        <v>148</v>
      </c>
      <c r="C64" s="6"/>
      <c r="D64" s="5" t="s">
        <v>138</v>
      </c>
      <c r="E64" s="5" t="s">
        <v>11</v>
      </c>
      <c r="F64" s="5" t="s">
        <v>11</v>
      </c>
      <c r="G64" s="5" t="s">
        <v>11</v>
      </c>
      <c r="H64" s="7">
        <v>1</v>
      </c>
      <c r="I64" s="8">
        <v>20000</v>
      </c>
      <c r="J64" s="8"/>
      <c r="K64" s="8">
        <v>0</v>
      </c>
      <c r="L64" s="8">
        <v>10250</v>
      </c>
      <c r="M64" s="8"/>
      <c r="N64" s="8">
        <f>I64-L64</f>
        <v>9750</v>
      </c>
      <c r="O64" s="8">
        <v>0</v>
      </c>
      <c r="P64" s="8">
        <v>0</v>
      </c>
      <c r="Q64" s="8"/>
      <c r="R64" s="8">
        <v>0</v>
      </c>
      <c r="S64" s="8">
        <v>0</v>
      </c>
    </row>
    <row r="65" ht="31.5" customHeight="1" spans="1:19" x14ac:dyDescent="0.25">
      <c r="A65" s="5" t="s">
        <v>149</v>
      </c>
      <c r="B65" s="6" t="s">
        <v>150</v>
      </c>
      <c r="C65" s="6"/>
      <c r="D65" s="5" t="s">
        <v>138</v>
      </c>
      <c r="E65" s="5" t="s">
        <v>11</v>
      </c>
      <c r="F65" s="5" t="s">
        <v>11</v>
      </c>
      <c r="G65" s="5" t="s">
        <v>11</v>
      </c>
      <c r="H65" s="7">
        <v>7</v>
      </c>
      <c r="I65" s="8">
        <v>151000</v>
      </c>
      <c r="J65" s="8"/>
      <c r="K65" s="8">
        <v>0</v>
      </c>
      <c r="L65" s="8">
        <v>20837.18</v>
      </c>
      <c r="M65" s="8"/>
      <c r="N65" s="8">
        <f>I65-L65</f>
        <v>130162.82</v>
      </c>
      <c r="O65" s="8">
        <v>0</v>
      </c>
      <c r="P65" s="8">
        <v>0</v>
      </c>
      <c r="Q65" s="8"/>
      <c r="R65" s="8">
        <v>0</v>
      </c>
      <c r="S65" s="8">
        <v>0</v>
      </c>
    </row>
    <row r="66" ht="31.5" customHeight="1" spans="1:19" x14ac:dyDescent="0.25">
      <c r="A66" s="5" t="s">
        <v>151</v>
      </c>
      <c r="B66" s="6" t="s">
        <v>152</v>
      </c>
      <c r="C66" s="6"/>
      <c r="D66" s="5" t="s">
        <v>138</v>
      </c>
      <c r="E66" s="5" t="s">
        <v>11</v>
      </c>
      <c r="F66" s="5" t="s">
        <v>11</v>
      </c>
      <c r="G66" s="5" t="s">
        <v>11</v>
      </c>
      <c r="H66" s="7">
        <v>4</v>
      </c>
      <c r="I66" s="8">
        <v>810000</v>
      </c>
      <c r="J66" s="8"/>
      <c r="K66" s="8">
        <v>0</v>
      </c>
      <c r="L66" s="8">
        <v>0</v>
      </c>
      <c r="M66" s="8"/>
      <c r="N66" s="8">
        <f>I66-L66</f>
        <v>810000</v>
      </c>
      <c r="O66" s="8">
        <v>0</v>
      </c>
      <c r="P66" s="8">
        <v>0</v>
      </c>
      <c r="Q66" s="8"/>
      <c r="R66" s="8">
        <v>0</v>
      </c>
      <c r="S66" s="8">
        <v>0</v>
      </c>
    </row>
    <row r="67" ht="31.5" customHeight="1" spans="1:19" x14ac:dyDescent="0.25">
      <c r="A67" s="5" t="s">
        <v>153</v>
      </c>
      <c r="B67" s="6" t="s">
        <v>154</v>
      </c>
      <c r="C67" s="6"/>
      <c r="D67" s="5" t="s">
        <v>138</v>
      </c>
      <c r="E67" s="5" t="s">
        <v>11</v>
      </c>
      <c r="F67" s="5" t="s">
        <v>11</v>
      </c>
      <c r="G67" s="5" t="s">
        <v>11</v>
      </c>
      <c r="H67" s="7">
        <v>2</v>
      </c>
      <c r="I67" s="8">
        <v>22000</v>
      </c>
      <c r="J67" s="8"/>
      <c r="K67" s="8">
        <v>0</v>
      </c>
      <c r="L67" s="8">
        <v>8337.18</v>
      </c>
      <c r="M67" s="8"/>
      <c r="N67" s="8">
        <f>I67-L67</f>
        <v>13662.82</v>
      </c>
      <c r="O67" s="8">
        <v>0</v>
      </c>
      <c r="P67" s="8">
        <v>0</v>
      </c>
      <c r="Q67" s="8"/>
      <c r="R67" s="8">
        <v>0</v>
      </c>
      <c r="S67" s="8">
        <v>0</v>
      </c>
    </row>
    <row r="68" ht="31.5" customHeight="1" spans="1:19" x14ac:dyDescent="0.25">
      <c r="A68" s="5" t="s">
        <v>155</v>
      </c>
      <c r="B68" s="6" t="s">
        <v>156</v>
      </c>
      <c r="C68" s="6"/>
      <c r="D68" s="5" t="s">
        <v>138</v>
      </c>
      <c r="E68" s="5" t="s">
        <v>11</v>
      </c>
      <c r="F68" s="5" t="s">
        <v>11</v>
      </c>
      <c r="G68" s="5" t="s">
        <v>11</v>
      </c>
      <c r="H68" s="7">
        <v>2</v>
      </c>
      <c r="I68" s="8">
        <v>24000</v>
      </c>
      <c r="J68" s="8"/>
      <c r="K68" s="8">
        <v>0</v>
      </c>
      <c r="L68" s="8">
        <v>12500</v>
      </c>
      <c r="M68" s="8"/>
      <c r="N68" s="8">
        <f>I68-L68</f>
        <v>11500</v>
      </c>
      <c r="O68" s="8">
        <v>0</v>
      </c>
      <c r="P68" s="8">
        <v>0</v>
      </c>
      <c r="Q68" s="8"/>
      <c r="R68" s="8">
        <v>0</v>
      </c>
      <c r="S68" s="8">
        <v>0</v>
      </c>
    </row>
    <row r="69" ht="31.5" customHeight="1" spans="1:19" x14ac:dyDescent="0.25">
      <c r="A69" s="5" t="s">
        <v>157</v>
      </c>
      <c r="B69" s="6" t="s">
        <v>158</v>
      </c>
      <c r="C69" s="6"/>
      <c r="D69" s="5" t="s">
        <v>138</v>
      </c>
      <c r="E69" s="5" t="s">
        <v>11</v>
      </c>
      <c r="F69" s="5" t="s">
        <v>11</v>
      </c>
      <c r="G69" s="5" t="s">
        <v>11</v>
      </c>
      <c r="H69" s="7">
        <v>1</v>
      </c>
      <c r="I69" s="8">
        <v>25000</v>
      </c>
      <c r="J69" s="8"/>
      <c r="K69" s="8">
        <v>0</v>
      </c>
      <c r="L69" s="8">
        <v>0</v>
      </c>
      <c r="M69" s="8"/>
      <c r="N69" s="8">
        <f>I69-L69</f>
        <v>25000</v>
      </c>
      <c r="O69" s="8">
        <v>0</v>
      </c>
      <c r="P69" s="8">
        <v>0</v>
      </c>
      <c r="Q69" s="8"/>
      <c r="R69" s="8">
        <v>0</v>
      </c>
      <c r="S69" s="8">
        <v>0</v>
      </c>
    </row>
    <row r="70" ht="31.5" customHeight="1" spans="1:19" x14ac:dyDescent="0.25">
      <c r="A70" s="5" t="s">
        <v>159</v>
      </c>
      <c r="B70" s="6" t="s">
        <v>160</v>
      </c>
      <c r="C70" s="6"/>
      <c r="D70" s="5" t="s">
        <v>138</v>
      </c>
      <c r="E70" s="5" t="s">
        <v>11</v>
      </c>
      <c r="F70" s="5" t="s">
        <v>11</v>
      </c>
      <c r="G70" s="5" t="s">
        <v>11</v>
      </c>
      <c r="H70" s="7">
        <v>3</v>
      </c>
      <c r="I70" s="8">
        <v>80000</v>
      </c>
      <c r="J70" s="8"/>
      <c r="K70" s="8">
        <v>0</v>
      </c>
      <c r="L70" s="8">
        <v>12477.77</v>
      </c>
      <c r="M70" s="8"/>
      <c r="N70" s="8">
        <f>I70-L70</f>
        <v>67522.23</v>
      </c>
      <c r="O70" s="8">
        <v>0</v>
      </c>
      <c r="P70" s="8">
        <v>0</v>
      </c>
      <c r="Q70" s="8"/>
      <c r="R70" s="8">
        <v>0</v>
      </c>
      <c r="S70" s="8">
        <v>0</v>
      </c>
    </row>
    <row r="71" ht="31.5" customHeight="1" spans="1:19" x14ac:dyDescent="0.25">
      <c r="A71" s="5" t="s">
        <v>161</v>
      </c>
      <c r="B71" s="6" t="s">
        <v>162</v>
      </c>
      <c r="C71" s="6"/>
      <c r="D71" s="5" t="s">
        <v>138</v>
      </c>
      <c r="E71" s="5" t="s">
        <v>11</v>
      </c>
      <c r="F71" s="5" t="s">
        <v>11</v>
      </c>
      <c r="G71" s="5" t="s">
        <v>11</v>
      </c>
      <c r="H71" s="7">
        <v>4</v>
      </c>
      <c r="I71" s="8">
        <v>540000</v>
      </c>
      <c r="J71" s="8"/>
      <c r="K71" s="8">
        <v>0</v>
      </c>
      <c r="L71" s="8">
        <v>0</v>
      </c>
      <c r="M71" s="8"/>
      <c r="N71" s="8">
        <f>I71-L71</f>
        <v>540000</v>
      </c>
      <c r="O71" s="8">
        <v>0</v>
      </c>
      <c r="P71" s="8">
        <v>0</v>
      </c>
      <c r="Q71" s="8"/>
      <c r="R71" s="8">
        <v>0</v>
      </c>
      <c r="S71" s="8">
        <v>0</v>
      </c>
    </row>
    <row r="72" ht="31.5" customHeight="1" spans="1:19" x14ac:dyDescent="0.25">
      <c r="A72" s="5" t="s">
        <v>163</v>
      </c>
      <c r="B72" s="6" t="s">
        <v>164</v>
      </c>
      <c r="C72" s="6"/>
      <c r="D72" s="5" t="s">
        <v>138</v>
      </c>
      <c r="E72" s="5" t="s">
        <v>11</v>
      </c>
      <c r="F72" s="5" t="s">
        <v>11</v>
      </c>
      <c r="G72" s="5" t="s">
        <v>11</v>
      </c>
      <c r="H72" s="7">
        <v>4</v>
      </c>
      <c r="I72" s="8">
        <v>600000</v>
      </c>
      <c r="J72" s="8"/>
      <c r="K72" s="8">
        <v>0</v>
      </c>
      <c r="L72" s="8">
        <v>0</v>
      </c>
      <c r="M72" s="8"/>
      <c r="N72" s="8">
        <f>I72-L72</f>
        <v>600000</v>
      </c>
      <c r="O72" s="8">
        <v>0</v>
      </c>
      <c r="P72" s="8">
        <v>0</v>
      </c>
      <c r="Q72" s="8"/>
      <c r="R72" s="8">
        <v>0</v>
      </c>
      <c r="S72" s="8">
        <v>0</v>
      </c>
    </row>
    <row r="73" ht="31.5" customHeight="1" spans="1:19" x14ac:dyDescent="0.25">
      <c r="A73" s="5" t="s">
        <v>165</v>
      </c>
      <c r="B73" s="6" t="s">
        <v>166</v>
      </c>
      <c r="C73" s="6"/>
      <c r="D73" s="5" t="s">
        <v>138</v>
      </c>
      <c r="E73" s="5" t="s">
        <v>11</v>
      </c>
      <c r="F73" s="5" t="s">
        <v>11</v>
      </c>
      <c r="G73" s="5" t="s">
        <v>11</v>
      </c>
      <c r="H73" s="7">
        <v>2</v>
      </c>
      <c r="I73" s="8">
        <v>27000</v>
      </c>
      <c r="J73" s="8"/>
      <c r="K73" s="8">
        <v>0</v>
      </c>
      <c r="L73" s="8">
        <v>10777.77</v>
      </c>
      <c r="M73" s="8"/>
      <c r="N73" s="8">
        <f>I73-L73</f>
        <v>16222.23</v>
      </c>
      <c r="O73" s="8">
        <v>0</v>
      </c>
      <c r="P73" s="8">
        <v>0</v>
      </c>
      <c r="Q73" s="8"/>
      <c r="R73" s="8">
        <v>0</v>
      </c>
      <c r="S73" s="8">
        <v>0</v>
      </c>
    </row>
    <row r="74" ht="31.5" customHeight="1" spans="1:19" x14ac:dyDescent="0.25">
      <c r="A74" s="5" t="s">
        <v>167</v>
      </c>
      <c r="B74" s="6" t="s">
        <v>168</v>
      </c>
      <c r="C74" s="6"/>
      <c r="D74" s="5" t="s">
        <v>138</v>
      </c>
      <c r="E74" s="5" t="s">
        <v>11</v>
      </c>
      <c r="F74" s="5" t="s">
        <v>11</v>
      </c>
      <c r="G74" s="5" t="s">
        <v>11</v>
      </c>
      <c r="H74" s="7">
        <v>1</v>
      </c>
      <c r="I74" s="8">
        <v>15000</v>
      </c>
      <c r="J74" s="8"/>
      <c r="K74" s="8">
        <v>0</v>
      </c>
      <c r="L74" s="8">
        <v>4527.77</v>
      </c>
      <c r="M74" s="8"/>
      <c r="N74" s="8">
        <f>I74-L74</f>
        <v>10472.23</v>
      </c>
      <c r="O74" s="8">
        <v>0</v>
      </c>
      <c r="P74" s="8">
        <v>0</v>
      </c>
      <c r="Q74" s="8"/>
      <c r="R74" s="8">
        <v>0</v>
      </c>
      <c r="S74" s="8">
        <v>0</v>
      </c>
    </row>
    <row r="75" ht="31.5" customHeight="1" spans="1:19" x14ac:dyDescent="0.25">
      <c r="A75" s="5" t="s">
        <v>169</v>
      </c>
      <c r="B75" s="6" t="s">
        <v>170</v>
      </c>
      <c r="C75" s="6"/>
      <c r="D75" s="5" t="s">
        <v>138</v>
      </c>
      <c r="E75" s="5" t="s">
        <v>11</v>
      </c>
      <c r="F75" s="5" t="s">
        <v>11</v>
      </c>
      <c r="G75" s="5" t="s">
        <v>11</v>
      </c>
      <c r="H75" s="7">
        <v>1</v>
      </c>
      <c r="I75" s="8">
        <v>35000</v>
      </c>
      <c r="J75" s="8"/>
      <c r="K75" s="8">
        <v>0</v>
      </c>
      <c r="L75" s="8">
        <v>25000</v>
      </c>
      <c r="M75" s="8"/>
      <c r="N75" s="8">
        <f>I75-L75</f>
        <v>10000</v>
      </c>
      <c r="O75" s="8">
        <v>0</v>
      </c>
      <c r="P75" s="8">
        <v>0</v>
      </c>
      <c r="Q75" s="8"/>
      <c r="R75" s="8">
        <v>0</v>
      </c>
      <c r="S75" s="8">
        <v>0</v>
      </c>
    </row>
    <row r="76" ht="31.5" customHeight="1" spans="1:19" x14ac:dyDescent="0.25">
      <c r="A76" s="5" t="s">
        <v>171</v>
      </c>
      <c r="B76" s="6" t="s">
        <v>172</v>
      </c>
      <c r="C76" s="6"/>
      <c r="D76" s="5" t="s">
        <v>138</v>
      </c>
      <c r="E76" s="5" t="s">
        <v>11</v>
      </c>
      <c r="F76" s="5" t="s">
        <v>11</v>
      </c>
      <c r="G76" s="5" t="s">
        <v>11</v>
      </c>
      <c r="H76" s="7">
        <v>1</v>
      </c>
      <c r="I76" s="8">
        <v>20000</v>
      </c>
      <c r="J76" s="8"/>
      <c r="K76" s="8">
        <v>0</v>
      </c>
      <c r="L76" s="8">
        <v>10250</v>
      </c>
      <c r="M76" s="8"/>
      <c r="N76" s="8">
        <f>I76-L76</f>
        <v>9750</v>
      </c>
      <c r="O76" s="8">
        <v>0</v>
      </c>
      <c r="P76" s="8">
        <v>0</v>
      </c>
      <c r="Q76" s="8"/>
      <c r="R76" s="8">
        <v>0</v>
      </c>
      <c r="S76" s="8">
        <v>0</v>
      </c>
    </row>
    <row r="77" ht="31.5" customHeight="1" spans="1:19" x14ac:dyDescent="0.25">
      <c r="A77" s="5" t="s">
        <v>173</v>
      </c>
      <c r="B77" s="6" t="s">
        <v>174</v>
      </c>
      <c r="C77" s="6"/>
      <c r="D77" s="5" t="s">
        <v>138</v>
      </c>
      <c r="E77" s="5" t="s">
        <v>11</v>
      </c>
      <c r="F77" s="5" t="s">
        <v>11</v>
      </c>
      <c r="G77" s="5" t="s">
        <v>11</v>
      </c>
      <c r="H77" s="7">
        <v>1</v>
      </c>
      <c r="I77" s="8">
        <v>25000</v>
      </c>
      <c r="J77" s="8"/>
      <c r="K77" s="8">
        <v>0</v>
      </c>
      <c r="L77" s="8">
        <v>0</v>
      </c>
      <c r="M77" s="8"/>
      <c r="N77" s="8">
        <f>I77-L77</f>
        <v>25000</v>
      </c>
      <c r="O77" s="8">
        <v>0</v>
      </c>
      <c r="P77" s="8">
        <v>0</v>
      </c>
      <c r="Q77" s="8"/>
      <c r="R77" s="8">
        <v>0</v>
      </c>
      <c r="S77" s="8">
        <v>0</v>
      </c>
    </row>
    <row r="78" ht="31.5" customHeight="1" spans="1:19" x14ac:dyDescent="0.25">
      <c r="A78" s="5" t="s">
        <v>175</v>
      </c>
      <c r="B78" s="6" t="s">
        <v>176</v>
      </c>
      <c r="C78" s="6"/>
      <c r="D78" s="5" t="s">
        <v>138</v>
      </c>
      <c r="E78" s="5" t="s">
        <v>11</v>
      </c>
      <c r="F78" s="5" t="s">
        <v>11</v>
      </c>
      <c r="G78" s="5" t="s">
        <v>11</v>
      </c>
      <c r="H78" s="7">
        <v>1</v>
      </c>
      <c r="I78" s="8">
        <v>12000</v>
      </c>
      <c r="J78" s="8"/>
      <c r="K78" s="8">
        <v>0</v>
      </c>
      <c r="L78" s="8">
        <v>6250</v>
      </c>
      <c r="M78" s="8"/>
      <c r="N78" s="8">
        <f>I78-L78</f>
        <v>5750</v>
      </c>
      <c r="O78" s="8">
        <v>0</v>
      </c>
      <c r="P78" s="8">
        <v>0</v>
      </c>
      <c r="Q78" s="8"/>
      <c r="R78" s="8">
        <v>0</v>
      </c>
      <c r="S78" s="8">
        <v>0</v>
      </c>
    </row>
    <row r="79" ht="18" customHeight="1" spans="1:19" x14ac:dyDescent="0.25">
      <c r="A79" s="9" t="s">
        <v>177</v>
      </c>
      <c r="B79" s="9"/>
      <c r="C79" s="9"/>
      <c r="D79" s="9"/>
      <c r="E79" s="9"/>
      <c r="F79" s="9"/>
      <c r="G79" s="9"/>
      <c r="H79" s="10">
        <f>SUM(H5:H78)</f>
        <v>140</v>
      </c>
      <c r="I79" s="11">
        <f>SUM(I5:I78)</f>
        <v>6734000</v>
      </c>
      <c r="J79" s="11"/>
      <c r="K79" s="11">
        <v>0</v>
      </c>
      <c r="L79" s="11">
        <f>SUM(L5:L78)</f>
        <v>907222.8500000003</v>
      </c>
      <c r="M79" s="11"/>
      <c r="N79" s="11">
        <f>SUM(N5:N78)</f>
        <v>5826777.149999999</v>
      </c>
      <c r="O79" s="11">
        <v>0</v>
      </c>
      <c r="P79" s="11">
        <v>0</v>
      </c>
      <c r="Q79" s="11"/>
      <c r="R79" s="11">
        <f>SUM(R5:R78)</f>
        <v>0</v>
      </c>
      <c r="S79" s="11">
        <v>0</v>
      </c>
    </row>
  </sheetData>
  <mergeCells count="316">
    <mergeCell ref="A1:S1"/>
    <mergeCell ref="A2:B2"/>
    <mergeCell ref="C2:E2"/>
    <mergeCell ref="F2:I2"/>
    <mergeCell ref="J2:L2"/>
    <mergeCell ref="M2:P2"/>
    <mergeCell ref="Q2:S2"/>
    <mergeCell ref="A3:B3"/>
    <mergeCell ref="C3:E3"/>
    <mergeCell ref="F3:I3"/>
    <mergeCell ref="J3:L3"/>
    <mergeCell ref="M3:S3"/>
    <mergeCell ref="B4:C4"/>
    <mergeCell ref="I4:J4"/>
    <mergeCell ref="L4:M4"/>
    <mergeCell ref="P4:Q4"/>
    <mergeCell ref="B5:C5"/>
    <mergeCell ref="I5:J5"/>
    <mergeCell ref="L5:M5"/>
    <mergeCell ref="P5:Q5"/>
    <mergeCell ref="B6:C6"/>
    <mergeCell ref="I6:J6"/>
    <mergeCell ref="L6:M6"/>
    <mergeCell ref="P6:Q6"/>
    <mergeCell ref="B7:C7"/>
    <mergeCell ref="I7:J7"/>
    <mergeCell ref="L7:M7"/>
    <mergeCell ref="P7:Q7"/>
    <mergeCell ref="B8:C8"/>
    <mergeCell ref="I8:J8"/>
    <mergeCell ref="L8:M8"/>
    <mergeCell ref="P8:Q8"/>
    <mergeCell ref="B9:C9"/>
    <mergeCell ref="I9:J9"/>
    <mergeCell ref="L9:M9"/>
    <mergeCell ref="P9:Q9"/>
    <mergeCell ref="B10:C10"/>
    <mergeCell ref="I10:J10"/>
    <mergeCell ref="L10:M10"/>
    <mergeCell ref="P10:Q10"/>
    <mergeCell ref="B11:C11"/>
    <mergeCell ref="I11:J11"/>
    <mergeCell ref="L11:M11"/>
    <mergeCell ref="P11:Q11"/>
    <mergeCell ref="B12:C12"/>
    <mergeCell ref="I12:J12"/>
    <mergeCell ref="L12:M12"/>
    <mergeCell ref="P12:Q12"/>
    <mergeCell ref="B13:C13"/>
    <mergeCell ref="I13:J13"/>
    <mergeCell ref="L13:M13"/>
    <mergeCell ref="P13:Q13"/>
    <mergeCell ref="B14:C14"/>
    <mergeCell ref="I14:J14"/>
    <mergeCell ref="L14:M14"/>
    <mergeCell ref="P14:Q14"/>
    <mergeCell ref="B15:C15"/>
    <mergeCell ref="I15:J15"/>
    <mergeCell ref="L15:M15"/>
    <mergeCell ref="P15:Q15"/>
    <mergeCell ref="B16:C16"/>
    <mergeCell ref="I16:J16"/>
    <mergeCell ref="L16:M16"/>
    <mergeCell ref="P16:Q16"/>
    <mergeCell ref="B17:C17"/>
    <mergeCell ref="I17:J17"/>
    <mergeCell ref="L17:M17"/>
    <mergeCell ref="P17:Q17"/>
    <mergeCell ref="B18:C18"/>
    <mergeCell ref="I18:J18"/>
    <mergeCell ref="L18:M18"/>
    <mergeCell ref="P18:Q18"/>
    <mergeCell ref="B19:C19"/>
    <mergeCell ref="I19:J19"/>
    <mergeCell ref="L19:M19"/>
    <mergeCell ref="P19:Q19"/>
    <mergeCell ref="B20:C20"/>
    <mergeCell ref="I20:J20"/>
    <mergeCell ref="L20:M20"/>
    <mergeCell ref="P20:Q20"/>
    <mergeCell ref="B21:C21"/>
    <mergeCell ref="I21:J21"/>
    <mergeCell ref="L21:M21"/>
    <mergeCell ref="P21:Q21"/>
    <mergeCell ref="B22:C22"/>
    <mergeCell ref="I22:J22"/>
    <mergeCell ref="L22:M22"/>
    <mergeCell ref="P22:Q22"/>
    <mergeCell ref="B23:C23"/>
    <mergeCell ref="I23:J23"/>
    <mergeCell ref="L23:M23"/>
    <mergeCell ref="P23:Q23"/>
    <mergeCell ref="B24:C24"/>
    <mergeCell ref="I24:J24"/>
    <mergeCell ref="L24:M24"/>
    <mergeCell ref="P24:Q24"/>
    <mergeCell ref="B25:C25"/>
    <mergeCell ref="I25:J25"/>
    <mergeCell ref="L25:M25"/>
    <mergeCell ref="P25:Q25"/>
    <mergeCell ref="B26:C26"/>
    <mergeCell ref="I26:J26"/>
    <mergeCell ref="L26:M26"/>
    <mergeCell ref="P26:Q26"/>
    <mergeCell ref="B27:C27"/>
    <mergeCell ref="I27:J27"/>
    <mergeCell ref="L27:M27"/>
    <mergeCell ref="P27:Q27"/>
    <mergeCell ref="B28:C28"/>
    <mergeCell ref="I28:J28"/>
    <mergeCell ref="L28:M28"/>
    <mergeCell ref="P28:Q28"/>
    <mergeCell ref="B29:C29"/>
    <mergeCell ref="I29:J29"/>
    <mergeCell ref="L29:M29"/>
    <mergeCell ref="P29:Q29"/>
    <mergeCell ref="B30:C30"/>
    <mergeCell ref="I30:J30"/>
    <mergeCell ref="L30:M30"/>
    <mergeCell ref="P30:Q30"/>
    <mergeCell ref="B31:C31"/>
    <mergeCell ref="I31:J31"/>
    <mergeCell ref="L31:M31"/>
    <mergeCell ref="P31:Q31"/>
    <mergeCell ref="B32:C32"/>
    <mergeCell ref="I32:J32"/>
    <mergeCell ref="L32:M32"/>
    <mergeCell ref="P32:Q32"/>
    <mergeCell ref="B33:C33"/>
    <mergeCell ref="I33:J33"/>
    <mergeCell ref="L33:M33"/>
    <mergeCell ref="P33:Q33"/>
    <mergeCell ref="B34:C34"/>
    <mergeCell ref="I34:J34"/>
    <mergeCell ref="L34:M34"/>
    <mergeCell ref="P34:Q34"/>
    <mergeCell ref="B35:C35"/>
    <mergeCell ref="I35:J35"/>
    <mergeCell ref="L35:M35"/>
    <mergeCell ref="P35:Q35"/>
    <mergeCell ref="B36:C36"/>
    <mergeCell ref="I36:J36"/>
    <mergeCell ref="L36:M36"/>
    <mergeCell ref="P36:Q36"/>
    <mergeCell ref="B37:C37"/>
    <mergeCell ref="I37:J37"/>
    <mergeCell ref="L37:M37"/>
    <mergeCell ref="P37:Q37"/>
    <mergeCell ref="B38:C38"/>
    <mergeCell ref="I38:J38"/>
    <mergeCell ref="L38:M38"/>
    <mergeCell ref="P38:Q38"/>
    <mergeCell ref="B39:C39"/>
    <mergeCell ref="I39:J39"/>
    <mergeCell ref="L39:M39"/>
    <mergeCell ref="P39:Q39"/>
    <mergeCell ref="B40:C40"/>
    <mergeCell ref="I40:J40"/>
    <mergeCell ref="L40:M40"/>
    <mergeCell ref="P40:Q40"/>
    <mergeCell ref="B41:C41"/>
    <mergeCell ref="I41:J41"/>
    <mergeCell ref="L41:M41"/>
    <mergeCell ref="P41:Q41"/>
    <mergeCell ref="B42:C42"/>
    <mergeCell ref="I42:J42"/>
    <mergeCell ref="L42:M42"/>
    <mergeCell ref="P42:Q42"/>
    <mergeCell ref="B43:C43"/>
    <mergeCell ref="I43:J43"/>
    <mergeCell ref="L43:M43"/>
    <mergeCell ref="P43:Q43"/>
    <mergeCell ref="B44:C44"/>
    <mergeCell ref="I44:J44"/>
    <mergeCell ref="L44:M44"/>
    <mergeCell ref="P44:Q44"/>
    <mergeCell ref="B45:C45"/>
    <mergeCell ref="I45:J45"/>
    <mergeCell ref="L45:M45"/>
    <mergeCell ref="P45:Q45"/>
    <mergeCell ref="B46:C46"/>
    <mergeCell ref="I46:J46"/>
    <mergeCell ref="L46:M46"/>
    <mergeCell ref="P46:Q46"/>
    <mergeCell ref="B47:C47"/>
    <mergeCell ref="I47:J47"/>
    <mergeCell ref="L47:M47"/>
    <mergeCell ref="P47:Q47"/>
    <mergeCell ref="B48:C48"/>
    <mergeCell ref="I48:J48"/>
    <mergeCell ref="L48:M48"/>
    <mergeCell ref="P48:Q48"/>
    <mergeCell ref="B49:C49"/>
    <mergeCell ref="I49:J49"/>
    <mergeCell ref="L49:M49"/>
    <mergeCell ref="P49:Q49"/>
    <mergeCell ref="B50:C50"/>
    <mergeCell ref="I50:J50"/>
    <mergeCell ref="L50:M50"/>
    <mergeCell ref="P50:Q50"/>
    <mergeCell ref="B51:C51"/>
    <mergeCell ref="I51:J51"/>
    <mergeCell ref="L51:M51"/>
    <mergeCell ref="P51:Q51"/>
    <mergeCell ref="B52:C52"/>
    <mergeCell ref="I52:J52"/>
    <mergeCell ref="L52:M52"/>
    <mergeCell ref="P52:Q52"/>
    <mergeCell ref="B53:C53"/>
    <mergeCell ref="I53:J53"/>
    <mergeCell ref="L53:M53"/>
    <mergeCell ref="P53:Q53"/>
    <mergeCell ref="B54:C54"/>
    <mergeCell ref="I54:J54"/>
    <mergeCell ref="L54:M54"/>
    <mergeCell ref="P54:Q54"/>
    <mergeCell ref="B55:C55"/>
    <mergeCell ref="I55:J55"/>
    <mergeCell ref="L55:M55"/>
    <mergeCell ref="P55:Q55"/>
    <mergeCell ref="B56:C56"/>
    <mergeCell ref="I56:J56"/>
    <mergeCell ref="L56:M56"/>
    <mergeCell ref="P56:Q56"/>
    <mergeCell ref="B57:C57"/>
    <mergeCell ref="I57:J57"/>
    <mergeCell ref="L57:M57"/>
    <mergeCell ref="P57:Q57"/>
    <mergeCell ref="B58:C58"/>
    <mergeCell ref="I58:J58"/>
    <mergeCell ref="L58:M58"/>
    <mergeCell ref="P58:Q58"/>
    <mergeCell ref="B59:C59"/>
    <mergeCell ref="I59:J59"/>
    <mergeCell ref="L59:M59"/>
    <mergeCell ref="P59:Q59"/>
    <mergeCell ref="B60:C60"/>
    <mergeCell ref="I60:J60"/>
    <mergeCell ref="L60:M60"/>
    <mergeCell ref="P60:Q60"/>
    <mergeCell ref="B61:C61"/>
    <mergeCell ref="I61:J61"/>
    <mergeCell ref="L61:M61"/>
    <mergeCell ref="P61:Q61"/>
    <mergeCell ref="B62:C62"/>
    <mergeCell ref="I62:J62"/>
    <mergeCell ref="L62:M62"/>
    <mergeCell ref="P62:Q62"/>
    <mergeCell ref="B63:C63"/>
    <mergeCell ref="I63:J63"/>
    <mergeCell ref="L63:M63"/>
    <mergeCell ref="P63:Q63"/>
    <mergeCell ref="B64:C64"/>
    <mergeCell ref="I64:J64"/>
    <mergeCell ref="L64:M64"/>
    <mergeCell ref="P64:Q64"/>
    <mergeCell ref="B65:C65"/>
    <mergeCell ref="I65:J65"/>
    <mergeCell ref="L65:M65"/>
    <mergeCell ref="P65:Q65"/>
    <mergeCell ref="B66:C66"/>
    <mergeCell ref="I66:J66"/>
    <mergeCell ref="L66:M66"/>
    <mergeCell ref="P66:Q66"/>
    <mergeCell ref="B67:C67"/>
    <mergeCell ref="I67:J67"/>
    <mergeCell ref="L67:M67"/>
    <mergeCell ref="P67:Q67"/>
    <mergeCell ref="B68:C68"/>
    <mergeCell ref="I68:J68"/>
    <mergeCell ref="L68:M68"/>
    <mergeCell ref="P68:Q68"/>
    <mergeCell ref="B69:C69"/>
    <mergeCell ref="I69:J69"/>
    <mergeCell ref="L69:M69"/>
    <mergeCell ref="P69:Q69"/>
    <mergeCell ref="B70:C70"/>
    <mergeCell ref="I70:J70"/>
    <mergeCell ref="L70:M70"/>
    <mergeCell ref="P70:Q70"/>
    <mergeCell ref="B71:C71"/>
    <mergeCell ref="I71:J71"/>
    <mergeCell ref="L71:M71"/>
    <mergeCell ref="P71:Q71"/>
    <mergeCell ref="B72:C72"/>
    <mergeCell ref="I72:J72"/>
    <mergeCell ref="L72:M72"/>
    <mergeCell ref="P72:Q72"/>
    <mergeCell ref="B73:C73"/>
    <mergeCell ref="I73:J73"/>
    <mergeCell ref="L73:M73"/>
    <mergeCell ref="P73:Q73"/>
    <mergeCell ref="B74:C74"/>
    <mergeCell ref="I74:J74"/>
    <mergeCell ref="L74:M74"/>
    <mergeCell ref="P74:Q74"/>
    <mergeCell ref="B75:C75"/>
    <mergeCell ref="I75:J75"/>
    <mergeCell ref="L75:M75"/>
    <mergeCell ref="P75:Q75"/>
    <mergeCell ref="B76:C76"/>
    <mergeCell ref="I76:J76"/>
    <mergeCell ref="L76:M76"/>
    <mergeCell ref="P76:Q76"/>
    <mergeCell ref="B77:C77"/>
    <mergeCell ref="I77:J77"/>
    <mergeCell ref="L77:M77"/>
    <mergeCell ref="P77:Q77"/>
    <mergeCell ref="B78:C78"/>
    <mergeCell ref="I78:J78"/>
    <mergeCell ref="L78:M78"/>
    <mergeCell ref="P78:Q78"/>
    <mergeCell ref="A79:G79"/>
    <mergeCell ref="I79:J79"/>
    <mergeCell ref="L79:M79"/>
    <mergeCell ref="P79:Q79"/>
  </mergeCells>
  <pageMargins left="0.2" right="0.2" top="0.3" bottom="0.3" header="0.1" footer="0.1"/>
  <pageSetup paperSize="9" orientation="landscape" horizontalDpi="4294967295" verticalDpi="4294967295" scale="100" fitToWidth="1" fitToHeight="0"/>
  <headerFooter>
    <oddFooter>&amp;LGenerated by AYO Olsera&amp;CPage &amp;P of &amp;N&amp;R&amp;D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95"/>
  <sheetViews>
    <sheetView workbookViewId="0" zoomScale="80"/>
  </sheetViews>
  <sheetFormatPr defaultRowHeight="15.75" outlineLevelRow="0" outlineLevelCol="0" x14ac:dyDescent="55" customHeight="1"/>
  <cols>
    <col min="1" max="1" width="22" customWidth="1"/>
    <col min="2" max="2" width="12.1" hidden="1" customWidth="1"/>
    <col min="3" max="3" width="15.7" customWidth="1"/>
    <col min="4" max="4" width="17.4" customWidth="1"/>
    <col min="5" max="5" width="0.1" hidden="1" customWidth="1"/>
    <col min="6" max="6" width="16" customWidth="1"/>
    <col min="7" max="7" width="12" customWidth="1"/>
    <col min="9" max="9" width="14" customWidth="1"/>
    <col min="10" max="10" width="10" customWidth="1"/>
    <col min="12" max="12" width="9" hidden="1" customWidth="1"/>
    <col min="13" max="13" width="10" customWidth="1"/>
    <col min="14" max="14" width="15" customWidth="1"/>
    <col min="16" max="16" width="0.1" customWidth="1"/>
    <col min="17" max="18" width="10" customWidth="1"/>
    <col min="19" max="19" width="11" customWidth="1"/>
  </cols>
  <sheetData>
    <row r="1" ht="52.5" customHeight="1" spans="1:19" x14ac:dyDescent="0.25">
      <c r="A1" s="1" t="s">
        <v>178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8.5" customHeight="1" spans="1:19" x14ac:dyDescent="0.25">
      <c r="A2" s="2" t="s">
        <v>179</v>
      </c>
      <c r="B2" s="2"/>
      <c r="C2" s="2" t="s">
        <v>2</v>
      </c>
      <c r="D2" s="2"/>
      <c r="E2" s="2"/>
      <c r="F2" s="2" t="s">
        <v>180</v>
      </c>
      <c r="G2" s="2"/>
      <c r="H2" s="2"/>
      <c r="I2" s="2"/>
      <c r="J2" s="2" t="s">
        <v>181</v>
      </c>
      <c r="K2" s="2"/>
      <c r="L2" s="2"/>
      <c r="M2" s="2" t="s">
        <v>5</v>
      </c>
      <c r="N2" s="2"/>
      <c r="O2" s="2"/>
      <c r="P2" s="2"/>
      <c r="Q2" s="2" t="s">
        <v>6</v>
      </c>
      <c r="R2" s="2"/>
      <c r="S2" s="2"/>
    </row>
    <row r="3" ht="31.5" customHeight="1" spans="1:19" x14ac:dyDescent="0.25">
      <c r="A3" s="2" t="s">
        <v>7</v>
      </c>
      <c r="B3" s="2"/>
      <c r="C3" s="2" t="s">
        <v>8</v>
      </c>
      <c r="D3" s="2"/>
      <c r="E3" s="2"/>
      <c r="F3" s="2" t="s">
        <v>182</v>
      </c>
      <c r="G3" s="2"/>
      <c r="H3" s="2"/>
      <c r="I3" s="2"/>
      <c r="J3" s="2" t="s">
        <v>10</v>
      </c>
      <c r="K3" s="2"/>
      <c r="L3" s="2"/>
      <c r="M3" s="3" t="s">
        <v>11</v>
      </c>
      <c r="N3" s="3"/>
      <c r="O3" s="3"/>
      <c r="P3" s="3"/>
      <c r="Q3" s="3"/>
      <c r="R3" s="3"/>
      <c r="S3" s="3"/>
    </row>
    <row r="4" ht="25.5" customHeight="1" spans="1:19" x14ac:dyDescent="0.25">
      <c r="A4" s="4" t="s">
        <v>12</v>
      </c>
      <c r="B4" s="4" t="s">
        <v>13</v>
      </c>
      <c r="C4" s="4"/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/>
      <c r="K4" s="4" t="s">
        <v>20</v>
      </c>
      <c r="L4" s="4" t="s">
        <v>21</v>
      </c>
      <c r="M4" s="4"/>
      <c r="N4" s="4" t="s">
        <v>22</v>
      </c>
      <c r="O4" s="4" t="s">
        <v>23</v>
      </c>
      <c r="P4" s="4" t="s">
        <v>24</v>
      </c>
      <c r="Q4" s="4"/>
      <c r="R4" s="4" t="s">
        <v>25</v>
      </c>
      <c r="S4" s="4" t="s">
        <v>26</v>
      </c>
    </row>
    <row r="5" ht="31.5" customHeight="1" spans="1:19" x14ac:dyDescent="0.25">
      <c r="A5" s="5" t="s">
        <v>183</v>
      </c>
      <c r="B5" s="6" t="s">
        <v>184</v>
      </c>
      <c r="C5" s="6"/>
      <c r="D5" s="5" t="s">
        <v>29</v>
      </c>
      <c r="E5" s="5" t="s">
        <v>11</v>
      </c>
      <c r="F5" s="5" t="s">
        <v>11</v>
      </c>
      <c r="G5" s="5" t="s">
        <v>11</v>
      </c>
      <c r="H5" s="7">
        <v>5</v>
      </c>
      <c r="I5" s="8">
        <v>290000</v>
      </c>
      <c r="J5" s="8"/>
      <c r="K5" s="8">
        <v>0</v>
      </c>
      <c r="L5" s="8">
        <v>58472.73</v>
      </c>
      <c r="M5" s="8"/>
      <c r="N5" s="8">
        <f>I5-L5</f>
        <v>231527.27</v>
      </c>
      <c r="O5" s="8">
        <v>0</v>
      </c>
      <c r="P5" s="8">
        <v>0</v>
      </c>
      <c r="Q5" s="8"/>
      <c r="R5" s="8">
        <v>0</v>
      </c>
      <c r="S5" s="8">
        <v>0</v>
      </c>
    </row>
    <row r="6" ht="31.5" customHeight="1" spans="1:19" x14ac:dyDescent="0.25">
      <c r="A6" s="5" t="s">
        <v>185</v>
      </c>
      <c r="B6" s="6" t="s">
        <v>186</v>
      </c>
      <c r="C6" s="6"/>
      <c r="D6" s="5" t="s">
        <v>29</v>
      </c>
      <c r="E6" s="5" t="s">
        <v>11</v>
      </c>
      <c r="F6" s="5" t="s">
        <v>11</v>
      </c>
      <c r="G6" s="5" t="s">
        <v>11</v>
      </c>
      <c r="H6" s="7">
        <v>1</v>
      </c>
      <c r="I6" s="8">
        <v>20000</v>
      </c>
      <c r="J6" s="8"/>
      <c r="K6" s="8">
        <v>0</v>
      </c>
      <c r="L6" s="8">
        <v>10250</v>
      </c>
      <c r="M6" s="8"/>
      <c r="N6" s="8">
        <f>I6-L6</f>
        <v>9750</v>
      </c>
      <c r="O6" s="8">
        <v>0</v>
      </c>
      <c r="P6" s="8">
        <v>0</v>
      </c>
      <c r="Q6" s="8"/>
      <c r="R6" s="8">
        <v>0</v>
      </c>
      <c r="S6" s="8">
        <v>0</v>
      </c>
    </row>
    <row r="7" ht="31.5" customHeight="1" spans="1:19" x14ac:dyDescent="0.25">
      <c r="A7" s="5" t="s">
        <v>187</v>
      </c>
      <c r="B7" s="6" t="s">
        <v>188</v>
      </c>
      <c r="C7" s="6"/>
      <c r="D7" s="5" t="s">
        <v>29</v>
      </c>
      <c r="E7" s="5" t="s">
        <v>11</v>
      </c>
      <c r="F7" s="5" t="s">
        <v>11</v>
      </c>
      <c r="G7" s="5" t="s">
        <v>11</v>
      </c>
      <c r="H7" s="7">
        <v>1</v>
      </c>
      <c r="I7" s="8">
        <v>30000</v>
      </c>
      <c r="J7" s="8"/>
      <c r="K7" s="8">
        <v>0</v>
      </c>
      <c r="L7" s="8">
        <v>0</v>
      </c>
      <c r="M7" s="8"/>
      <c r="N7" s="8">
        <f>I7-L7</f>
        <v>30000</v>
      </c>
      <c r="O7" s="8">
        <v>0</v>
      </c>
      <c r="P7" s="8">
        <v>0</v>
      </c>
      <c r="Q7" s="8"/>
      <c r="R7" s="8">
        <v>0</v>
      </c>
      <c r="S7" s="8">
        <v>0</v>
      </c>
    </row>
    <row r="8" ht="31.5" customHeight="1" spans="1:19" x14ac:dyDescent="0.25">
      <c r="A8" s="5" t="s">
        <v>189</v>
      </c>
      <c r="B8" s="6" t="s">
        <v>190</v>
      </c>
      <c r="C8" s="6"/>
      <c r="D8" s="5" t="s">
        <v>29</v>
      </c>
      <c r="E8" s="5" t="s">
        <v>11</v>
      </c>
      <c r="F8" s="5" t="s">
        <v>11</v>
      </c>
      <c r="G8" s="5" t="s">
        <v>11</v>
      </c>
      <c r="H8" s="7">
        <v>1</v>
      </c>
      <c r="I8" s="8">
        <v>50000</v>
      </c>
      <c r="J8" s="8"/>
      <c r="K8" s="8">
        <v>0</v>
      </c>
      <c r="L8" s="8">
        <v>0</v>
      </c>
      <c r="M8" s="8"/>
      <c r="N8" s="8">
        <f>I8-L8</f>
        <v>50000</v>
      </c>
      <c r="O8" s="8">
        <v>0</v>
      </c>
      <c r="P8" s="8">
        <v>0</v>
      </c>
      <c r="Q8" s="8"/>
      <c r="R8" s="8">
        <v>0</v>
      </c>
      <c r="S8" s="8">
        <v>0</v>
      </c>
    </row>
    <row r="9" ht="31.5" customHeight="1" spans="1:19" x14ac:dyDescent="0.25">
      <c r="A9" s="5" t="s">
        <v>191</v>
      </c>
      <c r="B9" s="6" t="s">
        <v>192</v>
      </c>
      <c r="C9" s="6"/>
      <c r="D9" s="5" t="s">
        <v>29</v>
      </c>
      <c r="E9" s="5" t="s">
        <v>11</v>
      </c>
      <c r="F9" s="5" t="s">
        <v>11</v>
      </c>
      <c r="G9" s="5" t="s">
        <v>11</v>
      </c>
      <c r="H9" s="7">
        <v>3</v>
      </c>
      <c r="I9" s="8">
        <v>36000</v>
      </c>
      <c r="J9" s="8"/>
      <c r="K9" s="8">
        <v>0</v>
      </c>
      <c r="L9" s="8">
        <v>18750</v>
      </c>
      <c r="M9" s="8"/>
      <c r="N9" s="8">
        <f>I9-L9</f>
        <v>17250</v>
      </c>
      <c r="O9" s="8">
        <v>0</v>
      </c>
      <c r="P9" s="8">
        <v>0</v>
      </c>
      <c r="Q9" s="8"/>
      <c r="R9" s="8">
        <v>0</v>
      </c>
      <c r="S9" s="8">
        <v>0</v>
      </c>
    </row>
    <row r="10" ht="31.5" customHeight="1" spans="1:19" x14ac:dyDescent="0.25">
      <c r="A10" s="5" t="s">
        <v>193</v>
      </c>
      <c r="B10" s="6" t="s">
        <v>194</v>
      </c>
      <c r="C10" s="6"/>
      <c r="D10" s="5" t="s">
        <v>29</v>
      </c>
      <c r="E10" s="5" t="s">
        <v>11</v>
      </c>
      <c r="F10" s="5" t="s">
        <v>11</v>
      </c>
      <c r="G10" s="5" t="s">
        <v>11</v>
      </c>
      <c r="H10" s="7">
        <v>2</v>
      </c>
      <c r="I10" s="8">
        <v>60000</v>
      </c>
      <c r="J10" s="8"/>
      <c r="K10" s="8">
        <v>0</v>
      </c>
      <c r="L10" s="8">
        <v>0</v>
      </c>
      <c r="M10" s="8"/>
      <c r="N10" s="8">
        <f>I10-L10</f>
        <v>60000</v>
      </c>
      <c r="O10" s="8">
        <v>0</v>
      </c>
      <c r="P10" s="8">
        <v>0</v>
      </c>
      <c r="Q10" s="8"/>
      <c r="R10" s="8">
        <v>0</v>
      </c>
      <c r="S10" s="8">
        <v>0</v>
      </c>
    </row>
    <row r="11" ht="31.5" customHeight="1" spans="1:19" x14ac:dyDescent="0.25">
      <c r="A11" s="5" t="s">
        <v>195</v>
      </c>
      <c r="B11" s="6" t="s">
        <v>196</v>
      </c>
      <c r="C11" s="6"/>
      <c r="D11" s="5" t="s">
        <v>29</v>
      </c>
      <c r="E11" s="5" t="s">
        <v>11</v>
      </c>
      <c r="F11" s="5" t="s">
        <v>11</v>
      </c>
      <c r="G11" s="5" t="s">
        <v>11</v>
      </c>
      <c r="H11" s="7">
        <v>2</v>
      </c>
      <c r="I11" s="8">
        <v>350000</v>
      </c>
      <c r="J11" s="8"/>
      <c r="K11" s="8">
        <v>0</v>
      </c>
      <c r="L11" s="8">
        <v>0</v>
      </c>
      <c r="M11" s="8"/>
      <c r="N11" s="8">
        <f>I11-L11</f>
        <v>350000</v>
      </c>
      <c r="O11" s="8">
        <v>0</v>
      </c>
      <c r="P11" s="8">
        <v>0</v>
      </c>
      <c r="Q11" s="8"/>
      <c r="R11" s="8">
        <v>0</v>
      </c>
      <c r="S11" s="8">
        <v>0</v>
      </c>
    </row>
    <row r="12" ht="31.5" customHeight="1" spans="1:19" x14ac:dyDescent="0.25">
      <c r="A12" s="5" t="s">
        <v>197</v>
      </c>
      <c r="B12" s="6" t="s">
        <v>198</v>
      </c>
      <c r="C12" s="6"/>
      <c r="D12" s="5" t="s">
        <v>29</v>
      </c>
      <c r="E12" s="5" t="s">
        <v>11</v>
      </c>
      <c r="F12" s="5" t="s">
        <v>11</v>
      </c>
      <c r="G12" s="5" t="s">
        <v>11</v>
      </c>
      <c r="H12" s="7">
        <v>1</v>
      </c>
      <c r="I12" s="8">
        <v>30000</v>
      </c>
      <c r="J12" s="8"/>
      <c r="K12" s="8">
        <v>0</v>
      </c>
      <c r="L12" s="8">
        <v>0</v>
      </c>
      <c r="M12" s="8"/>
      <c r="N12" s="8">
        <f>I12-L12</f>
        <v>30000</v>
      </c>
      <c r="O12" s="8">
        <v>0</v>
      </c>
      <c r="P12" s="8">
        <v>0</v>
      </c>
      <c r="Q12" s="8"/>
      <c r="R12" s="8">
        <v>0</v>
      </c>
      <c r="S12" s="8">
        <v>0</v>
      </c>
    </row>
    <row r="13" ht="31.5" customHeight="1" spans="1:19" x14ac:dyDescent="0.25">
      <c r="A13" s="5" t="s">
        <v>199</v>
      </c>
      <c r="B13" s="6" t="s">
        <v>200</v>
      </c>
      <c r="C13" s="6"/>
      <c r="D13" s="5" t="s">
        <v>29</v>
      </c>
      <c r="E13" s="5" t="s">
        <v>11</v>
      </c>
      <c r="F13" s="5" t="s">
        <v>11</v>
      </c>
      <c r="G13" s="5" t="s">
        <v>11</v>
      </c>
      <c r="H13" s="7">
        <v>3</v>
      </c>
      <c r="I13" s="8">
        <v>62000</v>
      </c>
      <c r="J13" s="8"/>
      <c r="K13" s="8">
        <v>0</v>
      </c>
      <c r="L13" s="8">
        <v>6250</v>
      </c>
      <c r="M13" s="8"/>
      <c r="N13" s="8">
        <f>I13-L13</f>
        <v>55750</v>
      </c>
      <c r="O13" s="8">
        <v>0</v>
      </c>
      <c r="P13" s="8">
        <v>0</v>
      </c>
      <c r="Q13" s="8"/>
      <c r="R13" s="8">
        <v>0</v>
      </c>
      <c r="S13" s="8">
        <v>0</v>
      </c>
    </row>
    <row r="14" ht="31.5" customHeight="1" spans="1:19" x14ac:dyDescent="0.25">
      <c r="A14" s="5" t="s">
        <v>201</v>
      </c>
      <c r="B14" s="6" t="s">
        <v>202</v>
      </c>
      <c r="C14" s="6"/>
      <c r="D14" s="5" t="s">
        <v>29</v>
      </c>
      <c r="E14" s="5" t="s">
        <v>11</v>
      </c>
      <c r="F14" s="5" t="s">
        <v>11</v>
      </c>
      <c r="G14" s="5" t="s">
        <v>11</v>
      </c>
      <c r="H14" s="7">
        <v>2</v>
      </c>
      <c r="I14" s="8">
        <v>78000</v>
      </c>
      <c r="J14" s="8"/>
      <c r="K14" s="8">
        <v>0</v>
      </c>
      <c r="L14" s="8">
        <v>0</v>
      </c>
      <c r="M14" s="8"/>
      <c r="N14" s="8">
        <f>I14-L14</f>
        <v>78000</v>
      </c>
      <c r="O14" s="8">
        <v>0</v>
      </c>
      <c r="P14" s="8">
        <v>0</v>
      </c>
      <c r="Q14" s="8"/>
      <c r="R14" s="8">
        <v>0</v>
      </c>
      <c r="S14" s="8">
        <v>0</v>
      </c>
    </row>
    <row r="15" ht="31.5" customHeight="1" spans="1:19" x14ac:dyDescent="0.25">
      <c r="A15" s="5" t="s">
        <v>203</v>
      </c>
      <c r="B15" s="6" t="s">
        <v>204</v>
      </c>
      <c r="C15" s="6"/>
      <c r="D15" s="5" t="s">
        <v>29</v>
      </c>
      <c r="E15" s="5" t="s">
        <v>11</v>
      </c>
      <c r="F15" s="5" t="s">
        <v>11</v>
      </c>
      <c r="G15" s="5" t="s">
        <v>11</v>
      </c>
      <c r="H15" s="7">
        <v>1</v>
      </c>
      <c r="I15" s="8">
        <v>10000</v>
      </c>
      <c r="J15" s="8"/>
      <c r="K15" s="8">
        <v>0</v>
      </c>
      <c r="L15" s="8">
        <v>2087.18</v>
      </c>
      <c r="M15" s="8"/>
      <c r="N15" s="8">
        <f>I15-L15</f>
        <v>7912.82</v>
      </c>
      <c r="O15" s="8">
        <v>0</v>
      </c>
      <c r="P15" s="8">
        <v>0</v>
      </c>
      <c r="Q15" s="8"/>
      <c r="R15" s="8">
        <v>0</v>
      </c>
      <c r="S15" s="8">
        <v>0</v>
      </c>
    </row>
    <row r="16" ht="31.5" customHeight="1" spans="1:19" x14ac:dyDescent="0.25">
      <c r="A16" s="5" t="s">
        <v>205</v>
      </c>
      <c r="B16" s="6" t="s">
        <v>206</v>
      </c>
      <c r="C16" s="6"/>
      <c r="D16" s="5" t="s">
        <v>29</v>
      </c>
      <c r="E16" s="5" t="s">
        <v>11</v>
      </c>
      <c r="F16" s="5" t="s">
        <v>11</v>
      </c>
      <c r="G16" s="5" t="s">
        <v>11</v>
      </c>
      <c r="H16" s="7">
        <v>1</v>
      </c>
      <c r="I16" s="8">
        <v>28000</v>
      </c>
      <c r="J16" s="8"/>
      <c r="K16" s="8">
        <v>0</v>
      </c>
      <c r="L16" s="8">
        <v>0</v>
      </c>
      <c r="M16" s="8"/>
      <c r="N16" s="8">
        <f>I16-L16</f>
        <v>28000</v>
      </c>
      <c r="O16" s="8">
        <v>0</v>
      </c>
      <c r="P16" s="8">
        <v>0</v>
      </c>
      <c r="Q16" s="8"/>
      <c r="R16" s="8">
        <v>0</v>
      </c>
      <c r="S16" s="8">
        <v>0</v>
      </c>
    </row>
    <row r="17" ht="31.5" customHeight="1" spans="1:19" x14ac:dyDescent="0.25">
      <c r="A17" s="5" t="s">
        <v>207</v>
      </c>
      <c r="B17" s="6" t="s">
        <v>208</v>
      </c>
      <c r="C17" s="6"/>
      <c r="D17" s="5" t="s">
        <v>29</v>
      </c>
      <c r="E17" s="5" t="s">
        <v>11</v>
      </c>
      <c r="F17" s="5" t="s">
        <v>11</v>
      </c>
      <c r="G17" s="5" t="s">
        <v>11</v>
      </c>
      <c r="H17" s="7">
        <v>1</v>
      </c>
      <c r="I17" s="8">
        <v>50000</v>
      </c>
      <c r="J17" s="8"/>
      <c r="K17" s="8">
        <v>0</v>
      </c>
      <c r="L17" s="8">
        <v>0</v>
      </c>
      <c r="M17" s="8"/>
      <c r="N17" s="8">
        <f>I17-L17</f>
        <v>50000</v>
      </c>
      <c r="O17" s="8">
        <v>0</v>
      </c>
      <c r="P17" s="8">
        <v>0</v>
      </c>
      <c r="Q17" s="8"/>
      <c r="R17" s="8">
        <v>0</v>
      </c>
      <c r="S17" s="8">
        <v>0</v>
      </c>
    </row>
    <row r="18" ht="31.5" customHeight="1" spans="1:19" x14ac:dyDescent="0.25">
      <c r="A18" s="5" t="s">
        <v>209</v>
      </c>
      <c r="B18" s="6" t="s">
        <v>210</v>
      </c>
      <c r="C18" s="6"/>
      <c r="D18" s="5" t="s">
        <v>29</v>
      </c>
      <c r="E18" s="5" t="s">
        <v>11</v>
      </c>
      <c r="F18" s="5" t="s">
        <v>11</v>
      </c>
      <c r="G18" s="5" t="s">
        <v>11</v>
      </c>
      <c r="H18" s="7">
        <v>1</v>
      </c>
      <c r="I18" s="8">
        <v>28000</v>
      </c>
      <c r="J18" s="8"/>
      <c r="K18" s="8">
        <v>0</v>
      </c>
      <c r="L18" s="8">
        <v>0</v>
      </c>
      <c r="M18" s="8"/>
      <c r="N18" s="8">
        <f>I18-L18</f>
        <v>28000</v>
      </c>
      <c r="O18" s="8">
        <v>0</v>
      </c>
      <c r="P18" s="8">
        <v>0</v>
      </c>
      <c r="Q18" s="8"/>
      <c r="R18" s="8">
        <v>0</v>
      </c>
      <c r="S18" s="8">
        <v>0</v>
      </c>
    </row>
    <row r="19" ht="31.5" customHeight="1" spans="1:19" x14ac:dyDescent="0.25">
      <c r="A19" s="5" t="s">
        <v>211</v>
      </c>
      <c r="B19" s="6" t="s">
        <v>212</v>
      </c>
      <c r="C19" s="6"/>
      <c r="D19" s="5" t="s">
        <v>29</v>
      </c>
      <c r="E19" s="5" t="s">
        <v>11</v>
      </c>
      <c r="F19" s="5" t="s">
        <v>11</v>
      </c>
      <c r="G19" s="5" t="s">
        <v>11</v>
      </c>
      <c r="H19" s="7">
        <v>2</v>
      </c>
      <c r="I19" s="8">
        <v>118000</v>
      </c>
      <c r="J19" s="8"/>
      <c r="K19" s="8">
        <v>0</v>
      </c>
      <c r="L19" s="8">
        <v>58472.73</v>
      </c>
      <c r="M19" s="8"/>
      <c r="N19" s="8">
        <f>I19-L19</f>
        <v>59527.27</v>
      </c>
      <c r="O19" s="8">
        <v>0</v>
      </c>
      <c r="P19" s="8">
        <v>0</v>
      </c>
      <c r="Q19" s="8"/>
      <c r="R19" s="8">
        <v>0</v>
      </c>
      <c r="S19" s="8">
        <v>0</v>
      </c>
    </row>
    <row r="20" ht="31.5" customHeight="1" spans="1:19" x14ac:dyDescent="0.25">
      <c r="A20" s="5" t="s">
        <v>213</v>
      </c>
      <c r="B20" s="6" t="s">
        <v>214</v>
      </c>
      <c r="C20" s="6"/>
      <c r="D20" s="5" t="s">
        <v>29</v>
      </c>
      <c r="E20" s="5" t="s">
        <v>11</v>
      </c>
      <c r="F20" s="5" t="s">
        <v>11</v>
      </c>
      <c r="G20" s="5" t="s">
        <v>11</v>
      </c>
      <c r="H20" s="7">
        <v>1</v>
      </c>
      <c r="I20" s="8">
        <v>20000</v>
      </c>
      <c r="J20" s="8"/>
      <c r="K20" s="8">
        <v>0</v>
      </c>
      <c r="L20" s="8">
        <v>10250</v>
      </c>
      <c r="M20" s="8"/>
      <c r="N20" s="8">
        <f>I20-L20</f>
        <v>9750</v>
      </c>
      <c r="O20" s="8">
        <v>0</v>
      </c>
      <c r="P20" s="8">
        <v>0</v>
      </c>
      <c r="Q20" s="8"/>
      <c r="R20" s="8">
        <v>0</v>
      </c>
      <c r="S20" s="8">
        <v>0</v>
      </c>
    </row>
    <row r="21" ht="31.5" customHeight="1" spans="1:19" x14ac:dyDescent="0.25">
      <c r="A21" s="5" t="s">
        <v>215</v>
      </c>
      <c r="B21" s="6" t="s">
        <v>216</v>
      </c>
      <c r="C21" s="6"/>
      <c r="D21" s="5" t="s">
        <v>29</v>
      </c>
      <c r="E21" s="5" t="s">
        <v>11</v>
      </c>
      <c r="F21" s="5" t="s">
        <v>11</v>
      </c>
      <c r="G21" s="5" t="s">
        <v>11</v>
      </c>
      <c r="H21" s="7">
        <v>1</v>
      </c>
      <c r="I21" s="8">
        <v>15000</v>
      </c>
      <c r="J21" s="8"/>
      <c r="K21" s="8">
        <v>0</v>
      </c>
      <c r="L21" s="8">
        <v>4527.77</v>
      </c>
      <c r="M21" s="8"/>
      <c r="N21" s="8">
        <f>I21-L21</f>
        <v>10472.23</v>
      </c>
      <c r="O21" s="8">
        <v>0</v>
      </c>
      <c r="P21" s="8">
        <v>0</v>
      </c>
      <c r="Q21" s="8"/>
      <c r="R21" s="8">
        <v>0</v>
      </c>
      <c r="S21" s="8">
        <v>0</v>
      </c>
    </row>
    <row r="22" ht="31.5" customHeight="1" spans="1:19" x14ac:dyDescent="0.25">
      <c r="A22" s="5" t="s">
        <v>217</v>
      </c>
      <c r="B22" s="6" t="s">
        <v>218</v>
      </c>
      <c r="C22" s="6"/>
      <c r="D22" s="5" t="s">
        <v>29</v>
      </c>
      <c r="E22" s="5" t="s">
        <v>11</v>
      </c>
      <c r="F22" s="5" t="s">
        <v>11</v>
      </c>
      <c r="G22" s="5" t="s">
        <v>11</v>
      </c>
      <c r="H22" s="7">
        <v>4</v>
      </c>
      <c r="I22" s="8">
        <v>128000</v>
      </c>
      <c r="J22" s="8"/>
      <c r="K22" s="8">
        <v>0</v>
      </c>
      <c r="L22" s="8">
        <v>0</v>
      </c>
      <c r="M22" s="8"/>
      <c r="N22" s="8">
        <f>I22-L22</f>
        <v>128000</v>
      </c>
      <c r="O22" s="8">
        <v>0</v>
      </c>
      <c r="P22" s="8">
        <v>0</v>
      </c>
      <c r="Q22" s="8"/>
      <c r="R22" s="8">
        <v>0</v>
      </c>
      <c r="S22" s="8">
        <v>0</v>
      </c>
    </row>
    <row r="23" ht="31.5" customHeight="1" spans="1:19" x14ac:dyDescent="0.25">
      <c r="A23" s="5" t="s">
        <v>219</v>
      </c>
      <c r="B23" s="6" t="s">
        <v>220</v>
      </c>
      <c r="C23" s="6"/>
      <c r="D23" s="5" t="s">
        <v>29</v>
      </c>
      <c r="E23" s="5" t="s">
        <v>11</v>
      </c>
      <c r="F23" s="5" t="s">
        <v>11</v>
      </c>
      <c r="G23" s="5" t="s">
        <v>11</v>
      </c>
      <c r="H23" s="7">
        <v>1</v>
      </c>
      <c r="I23" s="8">
        <v>40000</v>
      </c>
      <c r="J23" s="8"/>
      <c r="K23" s="8">
        <v>0</v>
      </c>
      <c r="L23" s="8">
        <v>0</v>
      </c>
      <c r="M23" s="8"/>
      <c r="N23" s="8">
        <f>I23-L23</f>
        <v>40000</v>
      </c>
      <c r="O23" s="8">
        <v>0</v>
      </c>
      <c r="P23" s="8">
        <v>0</v>
      </c>
      <c r="Q23" s="8"/>
      <c r="R23" s="8">
        <v>0</v>
      </c>
      <c r="S23" s="8">
        <v>0</v>
      </c>
    </row>
    <row r="24" ht="31.5" customHeight="1" spans="1:19" x14ac:dyDescent="0.25">
      <c r="A24" s="5" t="s">
        <v>221</v>
      </c>
      <c r="B24" s="6" t="s">
        <v>222</v>
      </c>
      <c r="C24" s="6"/>
      <c r="D24" s="5" t="s">
        <v>29</v>
      </c>
      <c r="E24" s="5" t="s">
        <v>11</v>
      </c>
      <c r="F24" s="5" t="s">
        <v>11</v>
      </c>
      <c r="G24" s="5" t="s">
        <v>11</v>
      </c>
      <c r="H24" s="7">
        <v>1</v>
      </c>
      <c r="I24" s="8">
        <v>35000</v>
      </c>
      <c r="J24" s="8"/>
      <c r="K24" s="8">
        <v>0</v>
      </c>
      <c r="L24" s="8">
        <v>0</v>
      </c>
      <c r="M24" s="8"/>
      <c r="N24" s="8">
        <f>I24-L24</f>
        <v>35000</v>
      </c>
      <c r="O24" s="8">
        <v>0</v>
      </c>
      <c r="P24" s="8">
        <v>0</v>
      </c>
      <c r="Q24" s="8"/>
      <c r="R24" s="8">
        <v>0</v>
      </c>
      <c r="S24" s="8">
        <v>0</v>
      </c>
    </row>
    <row r="25" ht="31.5" customHeight="1" spans="1:19" x14ac:dyDescent="0.25">
      <c r="A25" s="5" t="s">
        <v>223</v>
      </c>
      <c r="B25" s="6" t="s">
        <v>224</v>
      </c>
      <c r="C25" s="6"/>
      <c r="D25" s="5" t="s">
        <v>29</v>
      </c>
      <c r="E25" s="5" t="s">
        <v>11</v>
      </c>
      <c r="F25" s="5" t="s">
        <v>11</v>
      </c>
      <c r="G25" s="5" t="s">
        <v>11</v>
      </c>
      <c r="H25" s="7">
        <v>1</v>
      </c>
      <c r="I25" s="8">
        <v>40000</v>
      </c>
      <c r="J25" s="8"/>
      <c r="K25" s="8">
        <v>0</v>
      </c>
      <c r="L25" s="8">
        <v>0</v>
      </c>
      <c r="M25" s="8"/>
      <c r="N25" s="8">
        <f>I25-L25</f>
        <v>40000</v>
      </c>
      <c r="O25" s="8">
        <v>0</v>
      </c>
      <c r="P25" s="8">
        <v>0</v>
      </c>
      <c r="Q25" s="8"/>
      <c r="R25" s="8">
        <v>0</v>
      </c>
      <c r="S25" s="8">
        <v>0</v>
      </c>
    </row>
    <row r="26" ht="31.5" customHeight="1" spans="1:19" x14ac:dyDescent="0.25">
      <c r="A26" s="5" t="s">
        <v>225</v>
      </c>
      <c r="B26" s="6" t="s">
        <v>226</v>
      </c>
      <c r="C26" s="6"/>
      <c r="D26" s="5" t="s">
        <v>29</v>
      </c>
      <c r="E26" s="5" t="s">
        <v>11</v>
      </c>
      <c r="F26" s="5" t="s">
        <v>11</v>
      </c>
      <c r="G26" s="5" t="s">
        <v>11</v>
      </c>
      <c r="H26" s="7">
        <v>2</v>
      </c>
      <c r="I26" s="8">
        <v>45000</v>
      </c>
      <c r="J26" s="8"/>
      <c r="K26" s="8">
        <v>0</v>
      </c>
      <c r="L26" s="8">
        <v>0</v>
      </c>
      <c r="M26" s="8"/>
      <c r="N26" s="8">
        <f>I26-L26</f>
        <v>45000</v>
      </c>
      <c r="O26" s="8">
        <v>0</v>
      </c>
      <c r="P26" s="8">
        <v>0</v>
      </c>
      <c r="Q26" s="8"/>
      <c r="R26" s="8">
        <v>0</v>
      </c>
      <c r="S26" s="8">
        <v>0</v>
      </c>
    </row>
    <row r="27" ht="31.5" customHeight="1" spans="1:19" x14ac:dyDescent="0.25">
      <c r="A27" s="5" t="s">
        <v>227</v>
      </c>
      <c r="B27" s="6" t="s">
        <v>228</v>
      </c>
      <c r="C27" s="6"/>
      <c r="D27" s="5" t="s">
        <v>29</v>
      </c>
      <c r="E27" s="5" t="s">
        <v>11</v>
      </c>
      <c r="F27" s="5" t="s">
        <v>11</v>
      </c>
      <c r="G27" s="5" t="s">
        <v>11</v>
      </c>
      <c r="H27" s="7">
        <v>1</v>
      </c>
      <c r="I27" s="8">
        <v>40000</v>
      </c>
      <c r="J27" s="8"/>
      <c r="K27" s="8">
        <v>0</v>
      </c>
      <c r="L27" s="8">
        <v>0</v>
      </c>
      <c r="M27" s="8"/>
      <c r="N27" s="8">
        <f>I27-L27</f>
        <v>40000</v>
      </c>
      <c r="O27" s="8">
        <v>0</v>
      </c>
      <c r="P27" s="8">
        <v>0</v>
      </c>
      <c r="Q27" s="8"/>
      <c r="R27" s="8">
        <v>0</v>
      </c>
      <c r="S27" s="8">
        <v>0</v>
      </c>
    </row>
    <row r="28" ht="31.5" customHeight="1" spans="1:19" x14ac:dyDescent="0.25">
      <c r="A28" s="5" t="s">
        <v>229</v>
      </c>
      <c r="B28" s="6" t="s">
        <v>230</v>
      </c>
      <c r="C28" s="6"/>
      <c r="D28" s="5" t="s">
        <v>29</v>
      </c>
      <c r="E28" s="5" t="s">
        <v>11</v>
      </c>
      <c r="F28" s="5" t="s">
        <v>11</v>
      </c>
      <c r="G28" s="5" t="s">
        <v>11</v>
      </c>
      <c r="H28" s="7">
        <v>1</v>
      </c>
      <c r="I28" s="8">
        <v>15000</v>
      </c>
      <c r="J28" s="8"/>
      <c r="K28" s="8">
        <v>0</v>
      </c>
      <c r="L28" s="8">
        <v>4527.77</v>
      </c>
      <c r="M28" s="8"/>
      <c r="N28" s="8">
        <f>I28-L28</f>
        <v>10472.23</v>
      </c>
      <c r="O28" s="8">
        <v>0</v>
      </c>
      <c r="P28" s="8">
        <v>0</v>
      </c>
      <c r="Q28" s="8"/>
      <c r="R28" s="8">
        <v>0</v>
      </c>
      <c r="S28" s="8">
        <v>0</v>
      </c>
    </row>
    <row r="29" ht="31.5" customHeight="1" spans="1:19" x14ac:dyDescent="0.25">
      <c r="A29" s="5" t="s">
        <v>231</v>
      </c>
      <c r="B29" s="6" t="s">
        <v>232</v>
      </c>
      <c r="C29" s="6"/>
      <c r="D29" s="5" t="s">
        <v>29</v>
      </c>
      <c r="E29" s="5" t="s">
        <v>11</v>
      </c>
      <c r="F29" s="5" t="s">
        <v>11</v>
      </c>
      <c r="G29" s="5" t="s">
        <v>11</v>
      </c>
      <c r="H29" s="7">
        <v>2</v>
      </c>
      <c r="I29" s="8">
        <v>27000</v>
      </c>
      <c r="J29" s="8"/>
      <c r="K29" s="8">
        <v>0</v>
      </c>
      <c r="L29" s="8">
        <v>10777.77</v>
      </c>
      <c r="M29" s="8"/>
      <c r="N29" s="8">
        <f>I29-L29</f>
        <v>16222.23</v>
      </c>
      <c r="O29" s="8">
        <v>0</v>
      </c>
      <c r="P29" s="8">
        <v>0</v>
      </c>
      <c r="Q29" s="8"/>
      <c r="R29" s="8">
        <v>0</v>
      </c>
      <c r="S29" s="8">
        <v>0</v>
      </c>
    </row>
    <row r="30" ht="31.5" customHeight="1" spans="1:19" x14ac:dyDescent="0.25">
      <c r="A30" s="5" t="s">
        <v>233</v>
      </c>
      <c r="B30" s="6" t="s">
        <v>234</v>
      </c>
      <c r="C30" s="6"/>
      <c r="D30" s="5" t="s">
        <v>29</v>
      </c>
      <c r="E30" s="5" t="s">
        <v>11</v>
      </c>
      <c r="F30" s="5" t="s">
        <v>11</v>
      </c>
      <c r="G30" s="5" t="s">
        <v>11</v>
      </c>
      <c r="H30" s="7">
        <v>1</v>
      </c>
      <c r="I30" s="8">
        <v>10000</v>
      </c>
      <c r="J30" s="8"/>
      <c r="K30" s="8">
        <v>0</v>
      </c>
      <c r="L30" s="8">
        <v>2087.18</v>
      </c>
      <c r="M30" s="8"/>
      <c r="N30" s="8">
        <f>I30-L30</f>
        <v>7912.82</v>
      </c>
      <c r="O30" s="8">
        <v>0</v>
      </c>
      <c r="P30" s="8">
        <v>0</v>
      </c>
      <c r="Q30" s="8"/>
      <c r="R30" s="8">
        <v>0</v>
      </c>
      <c r="S30" s="8">
        <v>0</v>
      </c>
    </row>
    <row r="31" ht="31.5" customHeight="1" spans="1:19" x14ac:dyDescent="0.25">
      <c r="A31" s="5" t="s">
        <v>235</v>
      </c>
      <c r="B31" s="6" t="s">
        <v>236</v>
      </c>
      <c r="C31" s="6"/>
      <c r="D31" s="5" t="s">
        <v>29</v>
      </c>
      <c r="E31" s="5" t="s">
        <v>11</v>
      </c>
      <c r="F31" s="5" t="s">
        <v>11</v>
      </c>
      <c r="G31" s="5" t="s">
        <v>11</v>
      </c>
      <c r="H31" s="7">
        <v>1</v>
      </c>
      <c r="I31" s="8">
        <v>35000</v>
      </c>
      <c r="J31" s="8"/>
      <c r="K31" s="8">
        <v>0</v>
      </c>
      <c r="L31" s="8">
        <v>0</v>
      </c>
      <c r="M31" s="8"/>
      <c r="N31" s="8">
        <f>I31-L31</f>
        <v>35000</v>
      </c>
      <c r="O31" s="8">
        <v>0</v>
      </c>
      <c r="P31" s="8">
        <v>0</v>
      </c>
      <c r="Q31" s="8"/>
      <c r="R31" s="8">
        <v>0</v>
      </c>
      <c r="S31" s="8">
        <v>0</v>
      </c>
    </row>
    <row r="32" ht="31.5" customHeight="1" spans="1:19" x14ac:dyDescent="0.25">
      <c r="A32" s="5" t="s">
        <v>237</v>
      </c>
      <c r="B32" s="6" t="s">
        <v>238</v>
      </c>
      <c r="C32" s="6"/>
      <c r="D32" s="5" t="s">
        <v>29</v>
      </c>
      <c r="E32" s="5" t="s">
        <v>11</v>
      </c>
      <c r="F32" s="5" t="s">
        <v>11</v>
      </c>
      <c r="G32" s="5" t="s">
        <v>11</v>
      </c>
      <c r="H32" s="7">
        <v>1</v>
      </c>
      <c r="I32" s="8">
        <v>30000</v>
      </c>
      <c r="J32" s="8"/>
      <c r="K32" s="8">
        <v>0</v>
      </c>
      <c r="L32" s="8">
        <v>0</v>
      </c>
      <c r="M32" s="8"/>
      <c r="N32" s="8">
        <f>I32-L32</f>
        <v>30000</v>
      </c>
      <c r="O32" s="8">
        <v>0</v>
      </c>
      <c r="P32" s="8">
        <v>0</v>
      </c>
      <c r="Q32" s="8"/>
      <c r="R32" s="8">
        <v>0</v>
      </c>
      <c r="S32" s="8">
        <v>0</v>
      </c>
    </row>
    <row r="33" ht="31.5" customHeight="1" spans="1:19" x14ac:dyDescent="0.25">
      <c r="A33" s="5" t="s">
        <v>239</v>
      </c>
      <c r="B33" s="6" t="s">
        <v>240</v>
      </c>
      <c r="C33" s="6"/>
      <c r="D33" s="5" t="s">
        <v>29</v>
      </c>
      <c r="E33" s="5" t="s">
        <v>11</v>
      </c>
      <c r="F33" s="5" t="s">
        <v>11</v>
      </c>
      <c r="G33" s="5" t="s">
        <v>11</v>
      </c>
      <c r="H33" s="7">
        <v>1</v>
      </c>
      <c r="I33" s="8">
        <v>40000</v>
      </c>
      <c r="J33" s="8"/>
      <c r="K33" s="8">
        <v>0</v>
      </c>
      <c r="L33" s="8">
        <v>0</v>
      </c>
      <c r="M33" s="8"/>
      <c r="N33" s="8">
        <f>I33-L33</f>
        <v>40000</v>
      </c>
      <c r="O33" s="8">
        <v>0</v>
      </c>
      <c r="P33" s="8">
        <v>0</v>
      </c>
      <c r="Q33" s="8"/>
      <c r="R33" s="8">
        <v>0</v>
      </c>
      <c r="S33" s="8">
        <v>0</v>
      </c>
    </row>
    <row r="34" ht="31.5" customHeight="1" spans="1:19" x14ac:dyDescent="0.25">
      <c r="A34" s="5" t="s">
        <v>241</v>
      </c>
      <c r="B34" s="6" t="s">
        <v>242</v>
      </c>
      <c r="C34" s="6"/>
      <c r="D34" s="5" t="s">
        <v>29</v>
      </c>
      <c r="E34" s="5" t="s">
        <v>11</v>
      </c>
      <c r="F34" s="5" t="s">
        <v>11</v>
      </c>
      <c r="G34" s="5" t="s">
        <v>11</v>
      </c>
      <c r="H34" s="7">
        <v>2</v>
      </c>
      <c r="I34" s="8">
        <v>200000</v>
      </c>
      <c r="J34" s="8"/>
      <c r="K34" s="8">
        <v>0</v>
      </c>
      <c r="L34" s="8">
        <v>0</v>
      </c>
      <c r="M34" s="8"/>
      <c r="N34" s="8">
        <f>I34-L34</f>
        <v>200000</v>
      </c>
      <c r="O34" s="8">
        <v>0</v>
      </c>
      <c r="P34" s="8">
        <v>0</v>
      </c>
      <c r="Q34" s="8"/>
      <c r="R34" s="8">
        <v>0</v>
      </c>
      <c r="S34" s="8">
        <v>0</v>
      </c>
    </row>
    <row r="35" ht="31.5" customHeight="1" spans="1:19" x14ac:dyDescent="0.25">
      <c r="A35" s="5" t="s">
        <v>243</v>
      </c>
      <c r="B35" s="6" t="s">
        <v>244</v>
      </c>
      <c r="C35" s="6"/>
      <c r="D35" s="5" t="s">
        <v>29</v>
      </c>
      <c r="E35" s="5" t="s">
        <v>11</v>
      </c>
      <c r="F35" s="5" t="s">
        <v>11</v>
      </c>
      <c r="G35" s="5" t="s">
        <v>11</v>
      </c>
      <c r="H35" s="7">
        <v>1</v>
      </c>
      <c r="I35" s="8">
        <v>10000</v>
      </c>
      <c r="J35" s="8"/>
      <c r="K35" s="8">
        <v>0</v>
      </c>
      <c r="L35" s="8">
        <v>2087.18</v>
      </c>
      <c r="M35" s="8"/>
      <c r="N35" s="8">
        <f>I35-L35</f>
        <v>7912.82</v>
      </c>
      <c r="O35" s="8">
        <v>0</v>
      </c>
      <c r="P35" s="8">
        <v>0</v>
      </c>
      <c r="Q35" s="8"/>
      <c r="R35" s="8">
        <v>0</v>
      </c>
      <c r="S35" s="8">
        <v>0</v>
      </c>
    </row>
    <row r="36" ht="31.5" customHeight="1" spans="1:19" x14ac:dyDescent="0.25">
      <c r="A36" s="5" t="s">
        <v>245</v>
      </c>
      <c r="B36" s="6" t="s">
        <v>246</v>
      </c>
      <c r="C36" s="6"/>
      <c r="D36" s="5" t="s">
        <v>29</v>
      </c>
      <c r="E36" s="5" t="s">
        <v>11</v>
      </c>
      <c r="F36" s="5" t="s">
        <v>11</v>
      </c>
      <c r="G36" s="5" t="s">
        <v>11</v>
      </c>
      <c r="H36" s="7">
        <v>2</v>
      </c>
      <c r="I36" s="8">
        <v>24000</v>
      </c>
      <c r="J36" s="8"/>
      <c r="K36" s="8">
        <v>0</v>
      </c>
      <c r="L36" s="8">
        <v>12500</v>
      </c>
      <c r="M36" s="8"/>
      <c r="N36" s="8">
        <f>I36-L36</f>
        <v>11500</v>
      </c>
      <c r="O36" s="8">
        <v>0</v>
      </c>
      <c r="P36" s="8">
        <v>0</v>
      </c>
      <c r="Q36" s="8"/>
      <c r="R36" s="8">
        <v>0</v>
      </c>
      <c r="S36" s="8">
        <v>0</v>
      </c>
    </row>
    <row r="37" ht="31.5" customHeight="1" spans="1:19" x14ac:dyDescent="0.25">
      <c r="A37" s="5" t="s">
        <v>247</v>
      </c>
      <c r="B37" s="6" t="s">
        <v>248</v>
      </c>
      <c r="C37" s="6"/>
      <c r="D37" s="5" t="s">
        <v>29</v>
      </c>
      <c r="E37" s="5" t="s">
        <v>11</v>
      </c>
      <c r="F37" s="5" t="s">
        <v>11</v>
      </c>
      <c r="G37" s="5" t="s">
        <v>11</v>
      </c>
      <c r="H37" s="7">
        <v>1</v>
      </c>
      <c r="I37" s="8">
        <v>70000</v>
      </c>
      <c r="J37" s="8"/>
      <c r="K37" s="8">
        <v>0</v>
      </c>
      <c r="L37" s="8">
        <v>39597.3</v>
      </c>
      <c r="M37" s="8"/>
      <c r="N37" s="8">
        <f>I37-L37</f>
        <v>30402.699999999997</v>
      </c>
      <c r="O37" s="8">
        <v>0</v>
      </c>
      <c r="P37" s="8">
        <v>0</v>
      </c>
      <c r="Q37" s="8"/>
      <c r="R37" s="8">
        <v>0</v>
      </c>
      <c r="S37" s="8">
        <v>0</v>
      </c>
    </row>
    <row r="38" ht="31.5" customHeight="1" spans="1:19" x14ac:dyDescent="0.25">
      <c r="A38" s="5" t="s">
        <v>249</v>
      </c>
      <c r="B38" s="6" t="s">
        <v>250</v>
      </c>
      <c r="C38" s="6"/>
      <c r="D38" s="5" t="s">
        <v>29</v>
      </c>
      <c r="E38" s="5" t="s">
        <v>11</v>
      </c>
      <c r="F38" s="5" t="s">
        <v>11</v>
      </c>
      <c r="G38" s="5" t="s">
        <v>11</v>
      </c>
      <c r="H38" s="7">
        <v>1</v>
      </c>
      <c r="I38" s="8">
        <v>50000</v>
      </c>
      <c r="J38" s="8"/>
      <c r="K38" s="8">
        <v>0</v>
      </c>
      <c r="L38" s="8">
        <v>0</v>
      </c>
      <c r="M38" s="8"/>
      <c r="N38" s="8">
        <f>I38-L38</f>
        <v>50000</v>
      </c>
      <c r="O38" s="8">
        <v>0</v>
      </c>
      <c r="P38" s="8">
        <v>0</v>
      </c>
      <c r="Q38" s="8"/>
      <c r="R38" s="8">
        <v>0</v>
      </c>
      <c r="S38" s="8">
        <v>0</v>
      </c>
    </row>
    <row r="39" ht="31.5" customHeight="1" spans="1:19" x14ac:dyDescent="0.25">
      <c r="A39" s="5" t="s">
        <v>251</v>
      </c>
      <c r="B39" s="6" t="s">
        <v>252</v>
      </c>
      <c r="C39" s="6"/>
      <c r="D39" s="5" t="s">
        <v>29</v>
      </c>
      <c r="E39" s="5" t="s">
        <v>11</v>
      </c>
      <c r="F39" s="5" t="s">
        <v>11</v>
      </c>
      <c r="G39" s="5" t="s">
        <v>11</v>
      </c>
      <c r="H39" s="7">
        <v>1</v>
      </c>
      <c r="I39" s="8">
        <v>150000</v>
      </c>
      <c r="J39" s="8"/>
      <c r="K39" s="8">
        <v>0</v>
      </c>
      <c r="L39" s="8">
        <v>0</v>
      </c>
      <c r="M39" s="8"/>
      <c r="N39" s="8">
        <f>I39-L39</f>
        <v>150000</v>
      </c>
      <c r="O39" s="8">
        <v>0</v>
      </c>
      <c r="P39" s="8">
        <v>0</v>
      </c>
      <c r="Q39" s="8"/>
      <c r="R39" s="8">
        <v>0</v>
      </c>
      <c r="S39" s="8">
        <v>0</v>
      </c>
    </row>
    <row r="40" ht="31.5" customHeight="1" spans="1:19" x14ac:dyDescent="0.25">
      <c r="A40" s="5" t="s">
        <v>253</v>
      </c>
      <c r="B40" s="6" t="s">
        <v>254</v>
      </c>
      <c r="C40" s="6"/>
      <c r="D40" s="5" t="s">
        <v>29</v>
      </c>
      <c r="E40" s="5" t="s">
        <v>11</v>
      </c>
      <c r="F40" s="5" t="s">
        <v>11</v>
      </c>
      <c r="G40" s="5" t="s">
        <v>11</v>
      </c>
      <c r="H40" s="7">
        <v>4</v>
      </c>
      <c r="I40" s="8">
        <v>120000</v>
      </c>
      <c r="J40" s="8"/>
      <c r="K40" s="8">
        <v>0</v>
      </c>
      <c r="L40" s="8">
        <v>0</v>
      </c>
      <c r="M40" s="8"/>
      <c r="N40" s="8">
        <f>I40-L40</f>
        <v>120000</v>
      </c>
      <c r="O40" s="8">
        <v>0</v>
      </c>
      <c r="P40" s="8">
        <v>0</v>
      </c>
      <c r="Q40" s="8"/>
      <c r="R40" s="8">
        <v>0</v>
      </c>
      <c r="S40" s="8">
        <v>0</v>
      </c>
    </row>
    <row r="41" ht="31.5" customHeight="1" spans="1:19" x14ac:dyDescent="0.25">
      <c r="A41" s="5" t="s">
        <v>255</v>
      </c>
      <c r="B41" s="6" t="s">
        <v>256</v>
      </c>
      <c r="C41" s="6"/>
      <c r="D41" s="5" t="s">
        <v>29</v>
      </c>
      <c r="E41" s="5" t="s">
        <v>11</v>
      </c>
      <c r="F41" s="5" t="s">
        <v>11</v>
      </c>
      <c r="G41" s="5" t="s">
        <v>11</v>
      </c>
      <c r="H41" s="7">
        <v>2</v>
      </c>
      <c r="I41" s="8">
        <v>100000</v>
      </c>
      <c r="J41" s="8"/>
      <c r="K41" s="8">
        <v>0</v>
      </c>
      <c r="L41" s="8">
        <v>0</v>
      </c>
      <c r="M41" s="8"/>
      <c r="N41" s="8">
        <f>I41-L41</f>
        <v>100000</v>
      </c>
      <c r="O41" s="8">
        <v>0</v>
      </c>
      <c r="P41" s="8">
        <v>0</v>
      </c>
      <c r="Q41" s="8"/>
      <c r="R41" s="8">
        <v>0</v>
      </c>
      <c r="S41" s="8">
        <v>0</v>
      </c>
    </row>
    <row r="42" ht="31.5" customHeight="1" spans="1:19" x14ac:dyDescent="0.25">
      <c r="A42" s="5" t="s">
        <v>257</v>
      </c>
      <c r="B42" s="6" t="s">
        <v>258</v>
      </c>
      <c r="C42" s="6"/>
      <c r="D42" s="5" t="s">
        <v>29</v>
      </c>
      <c r="E42" s="5" t="s">
        <v>11</v>
      </c>
      <c r="F42" s="5" t="s">
        <v>11</v>
      </c>
      <c r="G42" s="5" t="s">
        <v>11</v>
      </c>
      <c r="H42" s="7">
        <v>2</v>
      </c>
      <c r="I42" s="8">
        <v>70000</v>
      </c>
      <c r="J42" s="8"/>
      <c r="K42" s="8">
        <v>0</v>
      </c>
      <c r="L42" s="8">
        <v>10250</v>
      </c>
      <c r="M42" s="8"/>
      <c r="N42" s="8">
        <f>I42-L42</f>
        <v>59750</v>
      </c>
      <c r="O42" s="8">
        <v>0</v>
      </c>
      <c r="P42" s="8">
        <v>0</v>
      </c>
      <c r="Q42" s="8"/>
      <c r="R42" s="8">
        <v>0</v>
      </c>
      <c r="S42" s="8">
        <v>0</v>
      </c>
    </row>
    <row r="43" ht="31.5" customHeight="1" spans="1:19" x14ac:dyDescent="0.25">
      <c r="A43" s="5" t="s">
        <v>259</v>
      </c>
      <c r="B43" s="6" t="s">
        <v>260</v>
      </c>
      <c r="C43" s="6"/>
      <c r="D43" s="5" t="s">
        <v>29</v>
      </c>
      <c r="E43" s="5" t="s">
        <v>11</v>
      </c>
      <c r="F43" s="5" t="s">
        <v>11</v>
      </c>
      <c r="G43" s="5" t="s">
        <v>11</v>
      </c>
      <c r="H43" s="7">
        <v>1</v>
      </c>
      <c r="I43" s="8">
        <v>90000</v>
      </c>
      <c r="J43" s="8"/>
      <c r="K43" s="8">
        <v>0</v>
      </c>
      <c r="L43" s="8">
        <v>58472.73</v>
      </c>
      <c r="M43" s="8"/>
      <c r="N43" s="8">
        <f>I43-L43</f>
        <v>31527.269999999997</v>
      </c>
      <c r="O43" s="8">
        <v>0</v>
      </c>
      <c r="P43" s="8">
        <v>0</v>
      </c>
      <c r="Q43" s="8"/>
      <c r="R43" s="8">
        <v>0</v>
      </c>
      <c r="S43" s="8">
        <v>0</v>
      </c>
    </row>
    <row r="44" ht="31.5" customHeight="1" spans="1:19" x14ac:dyDescent="0.25">
      <c r="A44" s="5" t="s">
        <v>261</v>
      </c>
      <c r="B44" s="6" t="s">
        <v>262</v>
      </c>
      <c r="C44" s="6"/>
      <c r="D44" s="5" t="s">
        <v>29</v>
      </c>
      <c r="E44" s="5" t="s">
        <v>11</v>
      </c>
      <c r="F44" s="5" t="s">
        <v>11</v>
      </c>
      <c r="G44" s="5" t="s">
        <v>11</v>
      </c>
      <c r="H44" s="7">
        <v>3</v>
      </c>
      <c r="I44" s="8">
        <v>150000</v>
      </c>
      <c r="J44" s="8"/>
      <c r="K44" s="8">
        <v>0</v>
      </c>
      <c r="L44" s="8">
        <v>0</v>
      </c>
      <c r="M44" s="8"/>
      <c r="N44" s="8">
        <f>I44-L44</f>
        <v>150000</v>
      </c>
      <c r="O44" s="8">
        <v>0</v>
      </c>
      <c r="P44" s="8">
        <v>0</v>
      </c>
      <c r="Q44" s="8"/>
      <c r="R44" s="8">
        <v>0</v>
      </c>
      <c r="S44" s="8">
        <v>0</v>
      </c>
    </row>
    <row r="45" ht="31.5" customHeight="1" spans="1:19" x14ac:dyDescent="0.25">
      <c r="A45" s="5" t="s">
        <v>263</v>
      </c>
      <c r="B45" s="6" t="s">
        <v>264</v>
      </c>
      <c r="C45" s="6"/>
      <c r="D45" s="5" t="s">
        <v>29</v>
      </c>
      <c r="E45" s="5" t="s">
        <v>11</v>
      </c>
      <c r="F45" s="5" t="s">
        <v>11</v>
      </c>
      <c r="G45" s="5" t="s">
        <v>11</v>
      </c>
      <c r="H45" s="7">
        <v>1</v>
      </c>
      <c r="I45" s="8">
        <v>25000</v>
      </c>
      <c r="J45" s="8"/>
      <c r="K45" s="8">
        <v>0</v>
      </c>
      <c r="L45" s="8">
        <v>0</v>
      </c>
      <c r="M45" s="8"/>
      <c r="N45" s="8">
        <f>I45-L45</f>
        <v>25000</v>
      </c>
      <c r="O45" s="8">
        <v>0</v>
      </c>
      <c r="P45" s="8">
        <v>0</v>
      </c>
      <c r="Q45" s="8"/>
      <c r="R45" s="8">
        <v>0</v>
      </c>
      <c r="S45" s="8">
        <v>0</v>
      </c>
    </row>
    <row r="46" ht="31.5" customHeight="1" spans="1:19" x14ac:dyDescent="0.25">
      <c r="A46" s="5" t="s">
        <v>265</v>
      </c>
      <c r="B46" s="6" t="s">
        <v>266</v>
      </c>
      <c r="C46" s="6"/>
      <c r="D46" s="5" t="s">
        <v>29</v>
      </c>
      <c r="E46" s="5" t="s">
        <v>11</v>
      </c>
      <c r="F46" s="5" t="s">
        <v>11</v>
      </c>
      <c r="G46" s="5" t="s">
        <v>11</v>
      </c>
      <c r="H46" s="7">
        <v>1</v>
      </c>
      <c r="I46" s="8">
        <v>20000</v>
      </c>
      <c r="J46" s="8"/>
      <c r="K46" s="8">
        <v>0</v>
      </c>
      <c r="L46" s="8">
        <v>10250</v>
      </c>
      <c r="M46" s="8"/>
      <c r="N46" s="8">
        <f>I46-L46</f>
        <v>9750</v>
      </c>
      <c r="O46" s="8">
        <v>0</v>
      </c>
      <c r="P46" s="8">
        <v>0</v>
      </c>
      <c r="Q46" s="8"/>
      <c r="R46" s="8">
        <v>0</v>
      </c>
      <c r="S46" s="8">
        <v>0</v>
      </c>
    </row>
    <row r="47" ht="31.5" customHeight="1" spans="1:19" x14ac:dyDescent="0.25">
      <c r="A47" s="5" t="s">
        <v>267</v>
      </c>
      <c r="B47" s="6" t="s">
        <v>268</v>
      </c>
      <c r="C47" s="6"/>
      <c r="D47" s="5" t="s">
        <v>29</v>
      </c>
      <c r="E47" s="5" t="s">
        <v>11</v>
      </c>
      <c r="F47" s="5" t="s">
        <v>11</v>
      </c>
      <c r="G47" s="5" t="s">
        <v>11</v>
      </c>
      <c r="H47" s="7">
        <v>2</v>
      </c>
      <c r="I47" s="8">
        <v>80000</v>
      </c>
      <c r="J47" s="8"/>
      <c r="K47" s="8">
        <v>0</v>
      </c>
      <c r="L47" s="8">
        <v>0</v>
      </c>
      <c r="M47" s="8"/>
      <c r="N47" s="8">
        <f>I47-L47</f>
        <v>80000</v>
      </c>
      <c r="O47" s="8">
        <v>0</v>
      </c>
      <c r="P47" s="8">
        <v>0</v>
      </c>
      <c r="Q47" s="8"/>
      <c r="R47" s="8">
        <v>0</v>
      </c>
      <c r="S47" s="8">
        <v>0</v>
      </c>
    </row>
    <row r="48" ht="31.5" customHeight="1" spans="1:19" x14ac:dyDescent="0.25">
      <c r="A48" s="5" t="s">
        <v>269</v>
      </c>
      <c r="B48" s="6" t="s">
        <v>270</v>
      </c>
      <c r="C48" s="6"/>
      <c r="D48" s="5" t="s">
        <v>29</v>
      </c>
      <c r="E48" s="5" t="s">
        <v>11</v>
      </c>
      <c r="F48" s="5" t="s">
        <v>11</v>
      </c>
      <c r="G48" s="5" t="s">
        <v>11</v>
      </c>
      <c r="H48" s="7">
        <v>2</v>
      </c>
      <c r="I48" s="8">
        <v>60000</v>
      </c>
      <c r="J48" s="8"/>
      <c r="K48" s="8">
        <v>0</v>
      </c>
      <c r="L48" s="8">
        <v>10250</v>
      </c>
      <c r="M48" s="8"/>
      <c r="N48" s="8">
        <f>I48-L48</f>
        <v>49750</v>
      </c>
      <c r="O48" s="8">
        <v>0</v>
      </c>
      <c r="P48" s="8">
        <v>0</v>
      </c>
      <c r="Q48" s="8"/>
      <c r="R48" s="8">
        <v>0</v>
      </c>
      <c r="S48" s="8">
        <v>0</v>
      </c>
    </row>
    <row r="49" ht="31.5" customHeight="1" spans="1:19" x14ac:dyDescent="0.25">
      <c r="A49" s="5" t="s">
        <v>271</v>
      </c>
      <c r="B49" s="6" t="s">
        <v>272</v>
      </c>
      <c r="C49" s="6"/>
      <c r="D49" s="5" t="s">
        <v>29</v>
      </c>
      <c r="E49" s="5" t="s">
        <v>11</v>
      </c>
      <c r="F49" s="5" t="s">
        <v>11</v>
      </c>
      <c r="G49" s="5" t="s">
        <v>11</v>
      </c>
      <c r="H49" s="7">
        <v>1</v>
      </c>
      <c r="I49" s="8">
        <v>30000</v>
      </c>
      <c r="J49" s="8"/>
      <c r="K49" s="8">
        <v>0</v>
      </c>
      <c r="L49" s="8">
        <v>0</v>
      </c>
      <c r="M49" s="8"/>
      <c r="N49" s="8">
        <f>I49-L49</f>
        <v>30000</v>
      </c>
      <c r="O49" s="8">
        <v>0</v>
      </c>
      <c r="P49" s="8">
        <v>0</v>
      </c>
      <c r="Q49" s="8"/>
      <c r="R49" s="8">
        <v>0</v>
      </c>
      <c r="S49" s="8">
        <v>0</v>
      </c>
    </row>
    <row r="50" ht="31.5" customHeight="1" spans="1:19" x14ac:dyDescent="0.25">
      <c r="A50" s="5" t="s">
        <v>273</v>
      </c>
      <c r="B50" s="6" t="s">
        <v>274</v>
      </c>
      <c r="C50" s="6"/>
      <c r="D50" s="5" t="s">
        <v>29</v>
      </c>
      <c r="E50" s="5" t="s">
        <v>11</v>
      </c>
      <c r="F50" s="5" t="s">
        <v>11</v>
      </c>
      <c r="G50" s="5" t="s">
        <v>11</v>
      </c>
      <c r="H50" s="7">
        <v>5</v>
      </c>
      <c r="I50" s="8">
        <v>136000</v>
      </c>
      <c r="J50" s="8"/>
      <c r="K50" s="8">
        <v>0</v>
      </c>
      <c r="L50" s="8">
        <v>18750</v>
      </c>
      <c r="M50" s="8"/>
      <c r="N50" s="8">
        <f>I50-L50</f>
        <v>117250</v>
      </c>
      <c r="O50" s="8">
        <v>0</v>
      </c>
      <c r="P50" s="8">
        <v>0</v>
      </c>
      <c r="Q50" s="8"/>
      <c r="R50" s="8">
        <v>0</v>
      </c>
      <c r="S50" s="8">
        <v>0</v>
      </c>
    </row>
    <row r="51" ht="31.5" customHeight="1" spans="1:19" x14ac:dyDescent="0.25">
      <c r="A51" s="5" t="s">
        <v>275</v>
      </c>
      <c r="B51" s="6" t="s">
        <v>276</v>
      </c>
      <c r="C51" s="6"/>
      <c r="D51" s="5" t="s">
        <v>29</v>
      </c>
      <c r="E51" s="5" t="s">
        <v>11</v>
      </c>
      <c r="F51" s="5" t="s">
        <v>11</v>
      </c>
      <c r="G51" s="5" t="s">
        <v>11</v>
      </c>
      <c r="H51" s="7">
        <v>1</v>
      </c>
      <c r="I51" s="8">
        <v>20000</v>
      </c>
      <c r="J51" s="8"/>
      <c r="K51" s="8">
        <v>0</v>
      </c>
      <c r="L51" s="8">
        <v>10250</v>
      </c>
      <c r="M51" s="8"/>
      <c r="N51" s="8">
        <f>I51-L51</f>
        <v>9750</v>
      </c>
      <c r="O51" s="8">
        <v>0</v>
      </c>
      <c r="P51" s="8">
        <v>0</v>
      </c>
      <c r="Q51" s="8"/>
      <c r="R51" s="8">
        <v>0</v>
      </c>
      <c r="S51" s="8">
        <v>0</v>
      </c>
    </row>
    <row r="52" ht="31.5" customHeight="1" spans="1:19" x14ac:dyDescent="0.25">
      <c r="A52" s="5" t="s">
        <v>277</v>
      </c>
      <c r="B52" s="6" t="s">
        <v>278</v>
      </c>
      <c r="C52" s="6"/>
      <c r="D52" s="5" t="s">
        <v>29</v>
      </c>
      <c r="E52" s="5" t="s">
        <v>11</v>
      </c>
      <c r="F52" s="5" t="s">
        <v>11</v>
      </c>
      <c r="G52" s="5" t="s">
        <v>11</v>
      </c>
      <c r="H52" s="7">
        <v>2</v>
      </c>
      <c r="I52" s="8">
        <v>20000</v>
      </c>
      <c r="J52" s="8"/>
      <c r="K52" s="8">
        <v>0</v>
      </c>
      <c r="L52" s="8">
        <v>4174.36</v>
      </c>
      <c r="M52" s="8"/>
      <c r="N52" s="8">
        <f>I52-L52</f>
        <v>15825.64</v>
      </c>
      <c r="O52" s="8">
        <v>0</v>
      </c>
      <c r="P52" s="8">
        <v>0</v>
      </c>
      <c r="Q52" s="8"/>
      <c r="R52" s="8">
        <v>0</v>
      </c>
      <c r="S52" s="8">
        <v>0</v>
      </c>
    </row>
    <row r="53" ht="31.5" customHeight="1" spans="1:19" x14ac:dyDescent="0.25">
      <c r="A53" s="5" t="s">
        <v>279</v>
      </c>
      <c r="B53" s="6" t="s">
        <v>280</v>
      </c>
      <c r="C53" s="6"/>
      <c r="D53" s="5" t="s">
        <v>29</v>
      </c>
      <c r="E53" s="5" t="s">
        <v>11</v>
      </c>
      <c r="F53" s="5" t="s">
        <v>11</v>
      </c>
      <c r="G53" s="5" t="s">
        <v>11</v>
      </c>
      <c r="H53" s="7">
        <v>1</v>
      </c>
      <c r="I53" s="8">
        <v>12000</v>
      </c>
      <c r="J53" s="8"/>
      <c r="K53" s="8">
        <v>0</v>
      </c>
      <c r="L53" s="8">
        <v>6250</v>
      </c>
      <c r="M53" s="8"/>
      <c r="N53" s="8">
        <f>I53-L53</f>
        <v>5750</v>
      </c>
      <c r="O53" s="8">
        <v>0</v>
      </c>
      <c r="P53" s="8">
        <v>0</v>
      </c>
      <c r="Q53" s="8"/>
      <c r="R53" s="8">
        <v>0</v>
      </c>
      <c r="S53" s="8">
        <v>0</v>
      </c>
    </row>
    <row r="54" ht="31.5" customHeight="1" spans="1:19" x14ac:dyDescent="0.25">
      <c r="A54" s="5" t="s">
        <v>281</v>
      </c>
      <c r="B54" s="6" t="s">
        <v>282</v>
      </c>
      <c r="C54" s="6"/>
      <c r="D54" s="5" t="s">
        <v>29</v>
      </c>
      <c r="E54" s="5" t="s">
        <v>11</v>
      </c>
      <c r="F54" s="5" t="s">
        <v>11</v>
      </c>
      <c r="G54" s="5" t="s">
        <v>11</v>
      </c>
      <c r="H54" s="7">
        <v>1</v>
      </c>
      <c r="I54" s="8">
        <v>50000</v>
      </c>
      <c r="J54" s="8"/>
      <c r="K54" s="8">
        <v>0</v>
      </c>
      <c r="L54" s="8">
        <v>0</v>
      </c>
      <c r="M54" s="8"/>
      <c r="N54" s="8">
        <f>I54-L54</f>
        <v>50000</v>
      </c>
      <c r="O54" s="8">
        <v>0</v>
      </c>
      <c r="P54" s="8">
        <v>0</v>
      </c>
      <c r="Q54" s="8"/>
      <c r="R54" s="8">
        <v>0</v>
      </c>
      <c r="S54" s="8">
        <v>0</v>
      </c>
    </row>
    <row r="55" ht="31.5" customHeight="1" spans="1:19" x14ac:dyDescent="0.25">
      <c r="A55" s="5" t="s">
        <v>283</v>
      </c>
      <c r="B55" s="6" t="s">
        <v>284</v>
      </c>
      <c r="C55" s="6"/>
      <c r="D55" s="5" t="s">
        <v>29</v>
      </c>
      <c r="E55" s="5" t="s">
        <v>11</v>
      </c>
      <c r="F55" s="5" t="s">
        <v>11</v>
      </c>
      <c r="G55" s="5" t="s">
        <v>11</v>
      </c>
      <c r="H55" s="7">
        <v>1</v>
      </c>
      <c r="I55" s="8">
        <v>12000</v>
      </c>
      <c r="J55" s="8"/>
      <c r="K55" s="8">
        <v>0</v>
      </c>
      <c r="L55" s="8">
        <v>6250</v>
      </c>
      <c r="M55" s="8"/>
      <c r="N55" s="8">
        <f>I55-L55</f>
        <v>5750</v>
      </c>
      <c r="O55" s="8">
        <v>0</v>
      </c>
      <c r="P55" s="8">
        <v>0</v>
      </c>
      <c r="Q55" s="8"/>
      <c r="R55" s="8">
        <v>0</v>
      </c>
      <c r="S55" s="8">
        <v>0</v>
      </c>
    </row>
    <row r="56" ht="31.5" customHeight="1" spans="1:19" x14ac:dyDescent="0.25">
      <c r="A56" s="5" t="s">
        <v>285</v>
      </c>
      <c r="B56" s="6" t="s">
        <v>286</v>
      </c>
      <c r="C56" s="6"/>
      <c r="D56" s="5" t="s">
        <v>29</v>
      </c>
      <c r="E56" s="5" t="s">
        <v>11</v>
      </c>
      <c r="F56" s="5" t="s">
        <v>11</v>
      </c>
      <c r="G56" s="5" t="s">
        <v>11</v>
      </c>
      <c r="H56" s="7">
        <v>2</v>
      </c>
      <c r="I56" s="8">
        <v>50000</v>
      </c>
      <c r="J56" s="8"/>
      <c r="K56" s="8">
        <v>0</v>
      </c>
      <c r="L56" s="8">
        <v>0</v>
      </c>
      <c r="M56" s="8"/>
      <c r="N56" s="8">
        <f>I56-L56</f>
        <v>50000</v>
      </c>
      <c r="O56" s="8">
        <v>0</v>
      </c>
      <c r="P56" s="8">
        <v>0</v>
      </c>
      <c r="Q56" s="8"/>
      <c r="R56" s="8">
        <v>0</v>
      </c>
      <c r="S56" s="8">
        <v>0</v>
      </c>
    </row>
    <row r="57" ht="31.5" customHeight="1" spans="1:19" x14ac:dyDescent="0.25">
      <c r="A57" s="5" t="s">
        <v>287</v>
      </c>
      <c r="B57" s="6" t="s">
        <v>288</v>
      </c>
      <c r="C57" s="6"/>
      <c r="D57" s="5" t="s">
        <v>29</v>
      </c>
      <c r="E57" s="5" t="s">
        <v>11</v>
      </c>
      <c r="F57" s="5" t="s">
        <v>11</v>
      </c>
      <c r="G57" s="5" t="s">
        <v>11</v>
      </c>
      <c r="H57" s="7">
        <v>2</v>
      </c>
      <c r="I57" s="8">
        <v>24000</v>
      </c>
      <c r="J57" s="8"/>
      <c r="K57" s="8">
        <v>0</v>
      </c>
      <c r="L57" s="8">
        <v>12500</v>
      </c>
      <c r="M57" s="8"/>
      <c r="N57" s="8">
        <f>I57-L57</f>
        <v>11500</v>
      </c>
      <c r="O57" s="8">
        <v>0</v>
      </c>
      <c r="P57" s="8">
        <v>0</v>
      </c>
      <c r="Q57" s="8"/>
      <c r="R57" s="8">
        <v>0</v>
      </c>
      <c r="S57" s="8">
        <v>0</v>
      </c>
    </row>
    <row r="58" ht="31.5" customHeight="1" spans="1:19" x14ac:dyDescent="0.25">
      <c r="A58" s="5" t="s">
        <v>289</v>
      </c>
      <c r="B58" s="6" t="s">
        <v>290</v>
      </c>
      <c r="C58" s="6"/>
      <c r="D58" s="5" t="s">
        <v>29</v>
      </c>
      <c r="E58" s="5" t="s">
        <v>11</v>
      </c>
      <c r="F58" s="5" t="s">
        <v>11</v>
      </c>
      <c r="G58" s="5" t="s">
        <v>11</v>
      </c>
      <c r="H58" s="7">
        <v>2</v>
      </c>
      <c r="I58" s="8">
        <v>60000</v>
      </c>
      <c r="J58" s="8"/>
      <c r="K58" s="8">
        <v>0</v>
      </c>
      <c r="L58" s="8">
        <v>0</v>
      </c>
      <c r="M58" s="8"/>
      <c r="N58" s="8">
        <f>I58-L58</f>
        <v>60000</v>
      </c>
      <c r="O58" s="8">
        <v>0</v>
      </c>
      <c r="P58" s="8">
        <v>0</v>
      </c>
      <c r="Q58" s="8"/>
      <c r="R58" s="8">
        <v>0</v>
      </c>
      <c r="S58" s="8">
        <v>0</v>
      </c>
    </row>
    <row r="59" ht="31.5" customHeight="1" spans="1:19" x14ac:dyDescent="0.25">
      <c r="A59" s="5" t="s">
        <v>291</v>
      </c>
      <c r="B59" s="6" t="s">
        <v>292</v>
      </c>
      <c r="C59" s="6"/>
      <c r="D59" s="5" t="s">
        <v>29</v>
      </c>
      <c r="E59" s="5" t="s">
        <v>11</v>
      </c>
      <c r="F59" s="5" t="s">
        <v>11</v>
      </c>
      <c r="G59" s="5" t="s">
        <v>11</v>
      </c>
      <c r="H59" s="7">
        <v>2</v>
      </c>
      <c r="I59" s="8">
        <v>22000</v>
      </c>
      <c r="J59" s="8"/>
      <c r="K59" s="8">
        <v>0</v>
      </c>
      <c r="L59" s="8">
        <v>8337.18</v>
      </c>
      <c r="M59" s="8"/>
      <c r="N59" s="8">
        <f>I59-L59</f>
        <v>13662.82</v>
      </c>
      <c r="O59" s="8">
        <v>0</v>
      </c>
      <c r="P59" s="8">
        <v>0</v>
      </c>
      <c r="Q59" s="8"/>
      <c r="R59" s="8">
        <v>0</v>
      </c>
      <c r="S59" s="8">
        <v>0</v>
      </c>
    </row>
    <row r="60" ht="31.5" customHeight="1" spans="1:19" x14ac:dyDescent="0.25">
      <c r="A60" s="5" t="s">
        <v>293</v>
      </c>
      <c r="B60" s="6" t="s">
        <v>294</v>
      </c>
      <c r="C60" s="6"/>
      <c r="D60" s="5" t="s">
        <v>29</v>
      </c>
      <c r="E60" s="5" t="s">
        <v>11</v>
      </c>
      <c r="F60" s="5" t="s">
        <v>11</v>
      </c>
      <c r="G60" s="5" t="s">
        <v>11</v>
      </c>
      <c r="H60" s="7">
        <v>2</v>
      </c>
      <c r="I60" s="8">
        <v>65000</v>
      </c>
      <c r="J60" s="8"/>
      <c r="K60" s="8">
        <v>0</v>
      </c>
      <c r="L60" s="8">
        <v>4527.77</v>
      </c>
      <c r="M60" s="8"/>
      <c r="N60" s="8">
        <f>I60-L60</f>
        <v>60472.229999999996</v>
      </c>
      <c r="O60" s="8">
        <v>0</v>
      </c>
      <c r="P60" s="8">
        <v>0</v>
      </c>
      <c r="Q60" s="8"/>
      <c r="R60" s="8">
        <v>0</v>
      </c>
      <c r="S60" s="8">
        <v>0</v>
      </c>
    </row>
    <row r="61" ht="31.5" customHeight="1" spans="1:19" x14ac:dyDescent="0.25">
      <c r="A61" s="5" t="s">
        <v>295</v>
      </c>
      <c r="B61" s="6" t="s">
        <v>296</v>
      </c>
      <c r="C61" s="6"/>
      <c r="D61" s="5" t="s">
        <v>29</v>
      </c>
      <c r="E61" s="5" t="s">
        <v>11</v>
      </c>
      <c r="F61" s="5" t="s">
        <v>11</v>
      </c>
      <c r="G61" s="5" t="s">
        <v>11</v>
      </c>
      <c r="H61" s="7">
        <v>5</v>
      </c>
      <c r="I61" s="8">
        <v>148000</v>
      </c>
      <c r="J61" s="8"/>
      <c r="K61" s="8">
        <v>0</v>
      </c>
      <c r="L61" s="8">
        <v>0</v>
      </c>
      <c r="M61" s="8"/>
      <c r="N61" s="8">
        <f>I61-L61</f>
        <v>148000</v>
      </c>
      <c r="O61" s="8">
        <v>0</v>
      </c>
      <c r="P61" s="8">
        <v>0</v>
      </c>
      <c r="Q61" s="8"/>
      <c r="R61" s="8">
        <v>0</v>
      </c>
      <c r="S61" s="8">
        <v>0</v>
      </c>
    </row>
    <row r="62" ht="31.5" customHeight="1" spans="1:19" x14ac:dyDescent="0.25">
      <c r="A62" s="5" t="s">
        <v>297</v>
      </c>
      <c r="B62" s="6" t="s">
        <v>298</v>
      </c>
      <c r="C62" s="6"/>
      <c r="D62" s="5" t="s">
        <v>29</v>
      </c>
      <c r="E62" s="5" t="s">
        <v>11</v>
      </c>
      <c r="F62" s="5" t="s">
        <v>11</v>
      </c>
      <c r="G62" s="5" t="s">
        <v>11</v>
      </c>
      <c r="H62" s="7">
        <v>1</v>
      </c>
      <c r="I62" s="8">
        <v>12000</v>
      </c>
      <c r="J62" s="8"/>
      <c r="K62" s="8">
        <v>0</v>
      </c>
      <c r="L62" s="8">
        <v>6250</v>
      </c>
      <c r="M62" s="8"/>
      <c r="N62" s="8">
        <f>I62-L62</f>
        <v>5750</v>
      </c>
      <c r="O62" s="8">
        <v>0</v>
      </c>
      <c r="P62" s="8">
        <v>0</v>
      </c>
      <c r="Q62" s="8"/>
      <c r="R62" s="8">
        <v>0</v>
      </c>
      <c r="S62" s="8">
        <v>0</v>
      </c>
    </row>
    <row r="63" ht="31.5" customHeight="1" spans="1:19" x14ac:dyDescent="0.25">
      <c r="A63" s="5" t="s">
        <v>299</v>
      </c>
      <c r="B63" s="6" t="s">
        <v>300</v>
      </c>
      <c r="C63" s="6"/>
      <c r="D63" s="5" t="s">
        <v>138</v>
      </c>
      <c r="E63" s="5" t="s">
        <v>11</v>
      </c>
      <c r="F63" s="5" t="s">
        <v>11</v>
      </c>
      <c r="G63" s="5" t="s">
        <v>11</v>
      </c>
      <c r="H63" s="7">
        <v>4</v>
      </c>
      <c r="I63" s="8">
        <v>54000</v>
      </c>
      <c r="J63" s="8"/>
      <c r="K63" s="8">
        <v>0</v>
      </c>
      <c r="L63" s="8">
        <v>4174.36</v>
      </c>
      <c r="M63" s="8"/>
      <c r="N63" s="8">
        <f>I63-L63</f>
        <v>49825.64</v>
      </c>
      <c r="O63" s="8">
        <v>0</v>
      </c>
      <c r="P63" s="8">
        <v>0</v>
      </c>
      <c r="Q63" s="8"/>
      <c r="R63" s="8">
        <v>0</v>
      </c>
      <c r="S63" s="8">
        <v>0</v>
      </c>
    </row>
    <row r="64" ht="31.5" customHeight="1" spans="1:19" x14ac:dyDescent="0.25">
      <c r="A64" s="5" t="s">
        <v>301</v>
      </c>
      <c r="B64" s="6" t="s">
        <v>302</v>
      </c>
      <c r="C64" s="6"/>
      <c r="D64" s="5" t="s">
        <v>138</v>
      </c>
      <c r="E64" s="5" t="s">
        <v>11</v>
      </c>
      <c r="F64" s="5" t="s">
        <v>11</v>
      </c>
      <c r="G64" s="5" t="s">
        <v>11</v>
      </c>
      <c r="H64" s="7">
        <v>2</v>
      </c>
      <c r="I64" s="8">
        <v>56000</v>
      </c>
      <c r="J64" s="8"/>
      <c r="K64" s="8">
        <v>0</v>
      </c>
      <c r="L64" s="8">
        <v>0</v>
      </c>
      <c r="M64" s="8"/>
      <c r="N64" s="8">
        <f>I64-L64</f>
        <v>56000</v>
      </c>
      <c r="O64" s="8">
        <v>0</v>
      </c>
      <c r="P64" s="8">
        <v>0</v>
      </c>
      <c r="Q64" s="8"/>
      <c r="R64" s="8">
        <v>0</v>
      </c>
      <c r="S64" s="8">
        <v>0</v>
      </c>
    </row>
    <row r="65" ht="31.5" customHeight="1" spans="1:19" x14ac:dyDescent="0.25">
      <c r="A65" s="5" t="s">
        <v>303</v>
      </c>
      <c r="B65" s="6" t="s">
        <v>304</v>
      </c>
      <c r="C65" s="6"/>
      <c r="D65" s="5" t="s">
        <v>138</v>
      </c>
      <c r="E65" s="5" t="s">
        <v>11</v>
      </c>
      <c r="F65" s="5" t="s">
        <v>11</v>
      </c>
      <c r="G65" s="5" t="s">
        <v>11</v>
      </c>
      <c r="H65" s="7">
        <v>2</v>
      </c>
      <c r="I65" s="8">
        <v>30000</v>
      </c>
      <c r="J65" s="8"/>
      <c r="K65" s="8">
        <v>0</v>
      </c>
      <c r="L65" s="8">
        <v>9055.54</v>
      </c>
      <c r="M65" s="8"/>
      <c r="N65" s="8">
        <f>I65-L65</f>
        <v>20944.46</v>
      </c>
      <c r="O65" s="8">
        <v>0</v>
      </c>
      <c r="P65" s="8">
        <v>0</v>
      </c>
      <c r="Q65" s="8"/>
      <c r="R65" s="8">
        <v>0</v>
      </c>
      <c r="S65" s="8">
        <v>0</v>
      </c>
    </row>
    <row r="66" ht="31.5" customHeight="1" spans="1:19" x14ac:dyDescent="0.25">
      <c r="A66" s="5" t="s">
        <v>305</v>
      </c>
      <c r="B66" s="6" t="s">
        <v>306</v>
      </c>
      <c r="C66" s="6"/>
      <c r="D66" s="5" t="s">
        <v>138</v>
      </c>
      <c r="E66" s="5" t="s">
        <v>11</v>
      </c>
      <c r="F66" s="5" t="s">
        <v>11</v>
      </c>
      <c r="G66" s="5" t="s">
        <v>11</v>
      </c>
      <c r="H66" s="7">
        <v>1</v>
      </c>
      <c r="I66" s="8">
        <v>15000</v>
      </c>
      <c r="J66" s="8"/>
      <c r="K66" s="8">
        <v>0</v>
      </c>
      <c r="L66" s="8">
        <v>4527.77</v>
      </c>
      <c r="M66" s="8"/>
      <c r="N66" s="8">
        <f>I66-L66</f>
        <v>10472.23</v>
      </c>
      <c r="O66" s="8">
        <v>0</v>
      </c>
      <c r="P66" s="8">
        <v>0</v>
      </c>
      <c r="Q66" s="8"/>
      <c r="R66" s="8">
        <v>0</v>
      </c>
      <c r="S66" s="8">
        <v>0</v>
      </c>
    </row>
    <row r="67" ht="31.5" customHeight="1" spans="1:19" x14ac:dyDescent="0.25">
      <c r="A67" s="5" t="s">
        <v>307</v>
      </c>
      <c r="B67" s="6" t="s">
        <v>308</v>
      </c>
      <c r="C67" s="6"/>
      <c r="D67" s="5" t="s">
        <v>138</v>
      </c>
      <c r="E67" s="5" t="s">
        <v>11</v>
      </c>
      <c r="F67" s="5" t="s">
        <v>11</v>
      </c>
      <c r="G67" s="5" t="s">
        <v>11</v>
      </c>
      <c r="H67" s="7">
        <v>2</v>
      </c>
      <c r="I67" s="8">
        <v>550000</v>
      </c>
      <c r="J67" s="8"/>
      <c r="K67" s="8">
        <v>0</v>
      </c>
      <c r="L67" s="8">
        <v>0</v>
      </c>
      <c r="M67" s="8"/>
      <c r="N67" s="8">
        <f>I67-L67</f>
        <v>550000</v>
      </c>
      <c r="O67" s="8">
        <v>0</v>
      </c>
      <c r="P67" s="8">
        <v>0</v>
      </c>
      <c r="Q67" s="8"/>
      <c r="R67" s="8">
        <v>0</v>
      </c>
      <c r="S67" s="8">
        <v>0</v>
      </c>
    </row>
    <row r="68" ht="31.5" customHeight="1" spans="1:19" x14ac:dyDescent="0.25">
      <c r="A68" s="5" t="s">
        <v>309</v>
      </c>
      <c r="B68" s="6" t="s">
        <v>310</v>
      </c>
      <c r="C68" s="6"/>
      <c r="D68" s="5" t="s">
        <v>138</v>
      </c>
      <c r="E68" s="5" t="s">
        <v>11</v>
      </c>
      <c r="F68" s="5" t="s">
        <v>11</v>
      </c>
      <c r="G68" s="5" t="s">
        <v>11</v>
      </c>
      <c r="H68" s="7">
        <v>1</v>
      </c>
      <c r="I68" s="8">
        <v>10000</v>
      </c>
      <c r="J68" s="8"/>
      <c r="K68" s="8">
        <v>0</v>
      </c>
      <c r="L68" s="8">
        <v>2087.18</v>
      </c>
      <c r="M68" s="8"/>
      <c r="N68" s="8">
        <f>I68-L68</f>
        <v>7912.82</v>
      </c>
      <c r="O68" s="8">
        <v>0</v>
      </c>
      <c r="P68" s="8">
        <v>0</v>
      </c>
      <c r="Q68" s="8"/>
      <c r="R68" s="8">
        <v>0</v>
      </c>
      <c r="S68" s="8">
        <v>0</v>
      </c>
    </row>
    <row r="69" ht="31.5" customHeight="1" spans="1:19" x14ac:dyDescent="0.25">
      <c r="A69" s="5" t="s">
        <v>311</v>
      </c>
      <c r="B69" s="6" t="s">
        <v>312</v>
      </c>
      <c r="C69" s="6"/>
      <c r="D69" s="5" t="s">
        <v>138</v>
      </c>
      <c r="E69" s="5" t="s">
        <v>11</v>
      </c>
      <c r="F69" s="5" t="s">
        <v>11</v>
      </c>
      <c r="G69" s="5" t="s">
        <v>11</v>
      </c>
      <c r="H69" s="7">
        <v>2</v>
      </c>
      <c r="I69" s="8">
        <v>65000</v>
      </c>
      <c r="J69" s="8"/>
      <c r="K69" s="8">
        <v>0</v>
      </c>
      <c r="L69" s="8">
        <v>4527.77</v>
      </c>
      <c r="M69" s="8"/>
      <c r="N69" s="8">
        <f>I69-L69</f>
        <v>60472.229999999996</v>
      </c>
      <c r="O69" s="8">
        <v>0</v>
      </c>
      <c r="P69" s="8">
        <v>0</v>
      </c>
      <c r="Q69" s="8"/>
      <c r="R69" s="8">
        <v>0</v>
      </c>
      <c r="S69" s="8">
        <v>0</v>
      </c>
    </row>
    <row r="70" ht="31.5" customHeight="1" spans="1:19" x14ac:dyDescent="0.25">
      <c r="A70" s="5" t="s">
        <v>313</v>
      </c>
      <c r="B70" s="6" t="s">
        <v>314</v>
      </c>
      <c r="C70" s="6"/>
      <c r="D70" s="5" t="s">
        <v>138</v>
      </c>
      <c r="E70" s="5" t="s">
        <v>11</v>
      </c>
      <c r="F70" s="5" t="s">
        <v>11</v>
      </c>
      <c r="G70" s="5" t="s">
        <v>11</v>
      </c>
      <c r="H70" s="7">
        <v>1</v>
      </c>
      <c r="I70" s="8">
        <v>50000</v>
      </c>
      <c r="J70" s="8"/>
      <c r="K70" s="8">
        <v>0</v>
      </c>
      <c r="L70" s="8">
        <v>0</v>
      </c>
      <c r="M70" s="8"/>
      <c r="N70" s="8">
        <f>I70-L70</f>
        <v>50000</v>
      </c>
      <c r="O70" s="8">
        <v>0</v>
      </c>
      <c r="P70" s="8">
        <v>0</v>
      </c>
      <c r="Q70" s="8"/>
      <c r="R70" s="8">
        <v>0</v>
      </c>
      <c r="S70" s="8">
        <v>0</v>
      </c>
    </row>
    <row r="71" ht="31.5" customHeight="1" spans="1:19" x14ac:dyDescent="0.25">
      <c r="A71" s="5" t="s">
        <v>315</v>
      </c>
      <c r="B71" s="6" t="s">
        <v>316</v>
      </c>
      <c r="C71" s="6"/>
      <c r="D71" s="5" t="s">
        <v>138</v>
      </c>
      <c r="E71" s="5" t="s">
        <v>11</v>
      </c>
      <c r="F71" s="5" t="s">
        <v>11</v>
      </c>
      <c r="G71" s="5" t="s">
        <v>11</v>
      </c>
      <c r="H71" s="7">
        <v>2</v>
      </c>
      <c r="I71" s="8">
        <v>55000</v>
      </c>
      <c r="J71" s="8"/>
      <c r="K71" s="8">
        <v>0</v>
      </c>
      <c r="L71" s="8">
        <v>4527.77</v>
      </c>
      <c r="M71" s="8"/>
      <c r="N71" s="8">
        <f>I71-L71</f>
        <v>50472.229999999996</v>
      </c>
      <c r="O71" s="8">
        <v>0</v>
      </c>
      <c r="P71" s="8">
        <v>0</v>
      </c>
      <c r="Q71" s="8"/>
      <c r="R71" s="8">
        <v>0</v>
      </c>
      <c r="S71" s="8">
        <v>0</v>
      </c>
    </row>
    <row r="72" ht="31.5" customHeight="1" spans="1:19" x14ac:dyDescent="0.25">
      <c r="A72" s="5" t="s">
        <v>317</v>
      </c>
      <c r="B72" s="6" t="s">
        <v>318</v>
      </c>
      <c r="C72" s="6"/>
      <c r="D72" s="5" t="s">
        <v>138</v>
      </c>
      <c r="E72" s="5" t="s">
        <v>11</v>
      </c>
      <c r="F72" s="5" t="s">
        <v>11</v>
      </c>
      <c r="G72" s="5" t="s">
        <v>11</v>
      </c>
      <c r="H72" s="7">
        <v>5</v>
      </c>
      <c r="I72" s="8">
        <v>250000</v>
      </c>
      <c r="J72" s="8"/>
      <c r="K72" s="8">
        <v>0</v>
      </c>
      <c r="L72" s="8">
        <v>58472.73</v>
      </c>
      <c r="M72" s="8"/>
      <c r="N72" s="8">
        <f>I72-L72</f>
        <v>191527.27</v>
      </c>
      <c r="O72" s="8">
        <v>0</v>
      </c>
      <c r="P72" s="8">
        <v>0</v>
      </c>
      <c r="Q72" s="8"/>
      <c r="R72" s="8">
        <v>0</v>
      </c>
      <c r="S72" s="8">
        <v>0</v>
      </c>
    </row>
    <row r="73" ht="31.5" customHeight="1" spans="1:19" x14ac:dyDescent="0.25">
      <c r="A73" s="5" t="s">
        <v>319</v>
      </c>
      <c r="B73" s="6" t="s">
        <v>320</v>
      </c>
      <c r="C73" s="6"/>
      <c r="D73" s="5" t="s">
        <v>138</v>
      </c>
      <c r="E73" s="5" t="s">
        <v>11</v>
      </c>
      <c r="F73" s="5" t="s">
        <v>11</v>
      </c>
      <c r="G73" s="5" t="s">
        <v>11</v>
      </c>
      <c r="H73" s="7">
        <v>4</v>
      </c>
      <c r="I73" s="8">
        <v>180000</v>
      </c>
      <c r="J73" s="8"/>
      <c r="K73" s="8">
        <v>0</v>
      </c>
      <c r="L73" s="8">
        <v>0</v>
      </c>
      <c r="M73" s="8"/>
      <c r="N73" s="8">
        <f>I73-L73</f>
        <v>180000</v>
      </c>
      <c r="O73" s="8">
        <v>0</v>
      </c>
      <c r="P73" s="8">
        <v>0</v>
      </c>
      <c r="Q73" s="8"/>
      <c r="R73" s="8">
        <v>0</v>
      </c>
      <c r="S73" s="8">
        <v>0</v>
      </c>
    </row>
    <row r="74" ht="31.5" customHeight="1" spans="1:19" x14ac:dyDescent="0.25">
      <c r="A74" s="5" t="s">
        <v>321</v>
      </c>
      <c r="B74" s="6" t="s">
        <v>322</v>
      </c>
      <c r="C74" s="6"/>
      <c r="D74" s="5" t="s">
        <v>138</v>
      </c>
      <c r="E74" s="5" t="s">
        <v>11</v>
      </c>
      <c r="F74" s="5" t="s">
        <v>11</v>
      </c>
      <c r="G74" s="5" t="s">
        <v>11</v>
      </c>
      <c r="H74" s="7">
        <v>1</v>
      </c>
      <c r="I74" s="8">
        <v>25000</v>
      </c>
      <c r="J74" s="8"/>
      <c r="K74" s="8">
        <v>0</v>
      </c>
      <c r="L74" s="8">
        <v>0</v>
      </c>
      <c r="M74" s="8"/>
      <c r="N74" s="8">
        <f>I74-L74</f>
        <v>25000</v>
      </c>
      <c r="O74" s="8">
        <v>0</v>
      </c>
      <c r="P74" s="8">
        <v>0</v>
      </c>
      <c r="Q74" s="8"/>
      <c r="R74" s="8">
        <v>0</v>
      </c>
      <c r="S74" s="8">
        <v>0</v>
      </c>
    </row>
    <row r="75" ht="31.5" customHeight="1" spans="1:19" x14ac:dyDescent="0.25">
      <c r="A75" s="5" t="s">
        <v>323</v>
      </c>
      <c r="B75" s="6" t="s">
        <v>324</v>
      </c>
      <c r="C75" s="6"/>
      <c r="D75" s="5" t="s">
        <v>138</v>
      </c>
      <c r="E75" s="5" t="s">
        <v>11</v>
      </c>
      <c r="F75" s="5" t="s">
        <v>11</v>
      </c>
      <c r="G75" s="5" t="s">
        <v>11</v>
      </c>
      <c r="H75" s="7">
        <v>1</v>
      </c>
      <c r="I75" s="8">
        <v>15000</v>
      </c>
      <c r="J75" s="8"/>
      <c r="K75" s="8">
        <v>0</v>
      </c>
      <c r="L75" s="8">
        <v>4527.77</v>
      </c>
      <c r="M75" s="8"/>
      <c r="N75" s="8">
        <f>I75-L75</f>
        <v>10472.23</v>
      </c>
      <c r="O75" s="8">
        <v>0</v>
      </c>
      <c r="P75" s="8">
        <v>0</v>
      </c>
      <c r="Q75" s="8"/>
      <c r="R75" s="8">
        <v>0</v>
      </c>
      <c r="S75" s="8">
        <v>0</v>
      </c>
    </row>
    <row r="76" ht="31.5" customHeight="1" spans="1:19" x14ac:dyDescent="0.25">
      <c r="A76" s="5" t="s">
        <v>325</v>
      </c>
      <c r="B76" s="6" t="s">
        <v>326</v>
      </c>
      <c r="C76" s="6"/>
      <c r="D76" s="5" t="s">
        <v>138</v>
      </c>
      <c r="E76" s="5" t="s">
        <v>11</v>
      </c>
      <c r="F76" s="5" t="s">
        <v>11</v>
      </c>
      <c r="G76" s="5" t="s">
        <v>11</v>
      </c>
      <c r="H76" s="7">
        <v>3</v>
      </c>
      <c r="I76" s="8">
        <v>62000</v>
      </c>
      <c r="J76" s="8"/>
      <c r="K76" s="8">
        <v>0</v>
      </c>
      <c r="L76" s="8">
        <v>6250</v>
      </c>
      <c r="M76" s="8"/>
      <c r="N76" s="8">
        <f>I76-L76</f>
        <v>55750</v>
      </c>
      <c r="O76" s="8">
        <v>0</v>
      </c>
      <c r="P76" s="8">
        <v>0</v>
      </c>
      <c r="Q76" s="8"/>
      <c r="R76" s="8">
        <v>0</v>
      </c>
      <c r="S76" s="8">
        <v>0</v>
      </c>
    </row>
    <row r="77" ht="31.5" customHeight="1" spans="1:19" x14ac:dyDescent="0.25">
      <c r="A77" s="5" t="s">
        <v>327</v>
      </c>
      <c r="B77" s="6" t="s">
        <v>328</v>
      </c>
      <c r="C77" s="6"/>
      <c r="D77" s="5" t="s">
        <v>138</v>
      </c>
      <c r="E77" s="5" t="s">
        <v>11</v>
      </c>
      <c r="F77" s="5" t="s">
        <v>11</v>
      </c>
      <c r="G77" s="5" t="s">
        <v>11</v>
      </c>
      <c r="H77" s="7">
        <v>2</v>
      </c>
      <c r="I77" s="8">
        <v>55000</v>
      </c>
      <c r="J77" s="8"/>
      <c r="K77" s="8">
        <v>0</v>
      </c>
      <c r="L77" s="8">
        <v>4527.77</v>
      </c>
      <c r="M77" s="8"/>
      <c r="N77" s="8">
        <f>I77-L77</f>
        <v>50472.229999999996</v>
      </c>
      <c r="O77" s="8">
        <v>0</v>
      </c>
      <c r="P77" s="8">
        <v>0</v>
      </c>
      <c r="Q77" s="8"/>
      <c r="R77" s="8">
        <v>0</v>
      </c>
      <c r="S77" s="8">
        <v>0</v>
      </c>
    </row>
    <row r="78" ht="31.5" customHeight="1" spans="1:19" x14ac:dyDescent="0.25">
      <c r="A78" s="5" t="s">
        <v>329</v>
      </c>
      <c r="B78" s="6" t="s">
        <v>330</v>
      </c>
      <c r="C78" s="6"/>
      <c r="D78" s="5" t="s">
        <v>138</v>
      </c>
      <c r="E78" s="5" t="s">
        <v>11</v>
      </c>
      <c r="F78" s="5" t="s">
        <v>11</v>
      </c>
      <c r="G78" s="5" t="s">
        <v>11</v>
      </c>
      <c r="H78" s="7">
        <v>2</v>
      </c>
      <c r="I78" s="8">
        <v>24000</v>
      </c>
      <c r="J78" s="8"/>
      <c r="K78" s="8">
        <v>0</v>
      </c>
      <c r="L78" s="8">
        <v>12500</v>
      </c>
      <c r="M78" s="8"/>
      <c r="N78" s="8">
        <f>I78-L78</f>
        <v>11500</v>
      </c>
      <c r="O78" s="8">
        <v>0</v>
      </c>
      <c r="P78" s="8">
        <v>0</v>
      </c>
      <c r="Q78" s="8"/>
      <c r="R78" s="8">
        <v>0</v>
      </c>
      <c r="S78" s="8">
        <v>0</v>
      </c>
    </row>
    <row r="79" ht="31.5" customHeight="1" spans="1:19" x14ac:dyDescent="0.25">
      <c r="A79" s="5" t="s">
        <v>331</v>
      </c>
      <c r="B79" s="6" t="s">
        <v>332</v>
      </c>
      <c r="C79" s="6"/>
      <c r="D79" s="5" t="s">
        <v>138</v>
      </c>
      <c r="E79" s="5" t="s">
        <v>11</v>
      </c>
      <c r="F79" s="5" t="s">
        <v>11</v>
      </c>
      <c r="G79" s="5" t="s">
        <v>11</v>
      </c>
      <c r="H79" s="7">
        <v>1</v>
      </c>
      <c r="I79" s="8">
        <v>17000</v>
      </c>
      <c r="J79" s="8"/>
      <c r="K79" s="8">
        <v>0</v>
      </c>
      <c r="L79" s="8">
        <v>0</v>
      </c>
      <c r="M79" s="8"/>
      <c r="N79" s="8">
        <f>I79-L79</f>
        <v>17000</v>
      </c>
      <c r="O79" s="8">
        <v>0</v>
      </c>
      <c r="P79" s="8">
        <v>0</v>
      </c>
      <c r="Q79" s="8"/>
      <c r="R79" s="8">
        <v>0</v>
      </c>
      <c r="S79" s="8">
        <v>0</v>
      </c>
    </row>
    <row r="80" ht="31.5" customHeight="1" spans="1:19" x14ac:dyDescent="0.25">
      <c r="A80" s="5" t="s">
        <v>333</v>
      </c>
      <c r="B80" s="6" t="s">
        <v>334</v>
      </c>
      <c r="C80" s="6"/>
      <c r="D80" s="5" t="s">
        <v>138</v>
      </c>
      <c r="E80" s="5" t="s">
        <v>11</v>
      </c>
      <c r="F80" s="5" t="s">
        <v>11</v>
      </c>
      <c r="G80" s="5" t="s">
        <v>11</v>
      </c>
      <c r="H80" s="7">
        <v>2</v>
      </c>
      <c r="I80" s="8">
        <v>25000</v>
      </c>
      <c r="J80" s="8"/>
      <c r="K80" s="8">
        <v>0</v>
      </c>
      <c r="L80" s="8">
        <v>10037.18</v>
      </c>
      <c r="M80" s="8"/>
      <c r="N80" s="8">
        <f>I80-L80</f>
        <v>14962.82</v>
      </c>
      <c r="O80" s="8">
        <v>0</v>
      </c>
      <c r="P80" s="8">
        <v>0</v>
      </c>
      <c r="Q80" s="8"/>
      <c r="R80" s="8">
        <v>0</v>
      </c>
      <c r="S80" s="8">
        <v>0</v>
      </c>
    </row>
    <row r="81" ht="31.5" customHeight="1" spans="1:19" x14ac:dyDescent="0.25">
      <c r="A81" s="5" t="s">
        <v>335</v>
      </c>
      <c r="B81" s="6" t="s">
        <v>336</v>
      </c>
      <c r="C81" s="6"/>
      <c r="D81" s="5" t="s">
        <v>138</v>
      </c>
      <c r="E81" s="5" t="s">
        <v>11</v>
      </c>
      <c r="F81" s="5" t="s">
        <v>11</v>
      </c>
      <c r="G81" s="5" t="s">
        <v>11</v>
      </c>
      <c r="H81" s="7">
        <v>1</v>
      </c>
      <c r="I81" s="8">
        <v>10000</v>
      </c>
      <c r="J81" s="8"/>
      <c r="K81" s="8">
        <v>0</v>
      </c>
      <c r="L81" s="8">
        <v>2087.18</v>
      </c>
      <c r="M81" s="8"/>
      <c r="N81" s="8">
        <f>I81-L81</f>
        <v>7912.82</v>
      </c>
      <c r="O81" s="8">
        <v>0</v>
      </c>
      <c r="P81" s="8">
        <v>0</v>
      </c>
      <c r="Q81" s="8"/>
      <c r="R81" s="8">
        <v>0</v>
      </c>
      <c r="S81" s="8">
        <v>0</v>
      </c>
    </row>
    <row r="82" ht="31.5" customHeight="1" spans="1:19" x14ac:dyDescent="0.25">
      <c r="A82" s="5" t="s">
        <v>337</v>
      </c>
      <c r="B82" s="6" t="s">
        <v>338</v>
      </c>
      <c r="C82" s="6"/>
      <c r="D82" s="5" t="s">
        <v>138</v>
      </c>
      <c r="E82" s="5" t="s">
        <v>11</v>
      </c>
      <c r="F82" s="5" t="s">
        <v>11</v>
      </c>
      <c r="G82" s="5" t="s">
        <v>11</v>
      </c>
      <c r="H82" s="7">
        <v>1</v>
      </c>
      <c r="I82" s="8">
        <v>12000</v>
      </c>
      <c r="J82" s="8"/>
      <c r="K82" s="8">
        <v>0</v>
      </c>
      <c r="L82" s="8">
        <v>6250</v>
      </c>
      <c r="M82" s="8"/>
      <c r="N82" s="8">
        <f>I82-L82</f>
        <v>5750</v>
      </c>
      <c r="O82" s="8">
        <v>0</v>
      </c>
      <c r="P82" s="8">
        <v>0</v>
      </c>
      <c r="Q82" s="8"/>
      <c r="R82" s="8">
        <v>0</v>
      </c>
      <c r="S82" s="8">
        <v>0</v>
      </c>
    </row>
    <row r="83" ht="31.5" customHeight="1" spans="1:19" x14ac:dyDescent="0.25">
      <c r="A83" s="5" t="s">
        <v>339</v>
      </c>
      <c r="B83" s="6" t="s">
        <v>340</v>
      </c>
      <c r="C83" s="6"/>
      <c r="D83" s="5" t="s">
        <v>138</v>
      </c>
      <c r="E83" s="5" t="s">
        <v>11</v>
      </c>
      <c r="F83" s="5" t="s">
        <v>11</v>
      </c>
      <c r="G83" s="5" t="s">
        <v>11</v>
      </c>
      <c r="H83" s="7">
        <v>3</v>
      </c>
      <c r="I83" s="8">
        <v>59000</v>
      </c>
      <c r="J83" s="8"/>
      <c r="K83" s="8">
        <v>0</v>
      </c>
      <c r="L83" s="8">
        <v>12500</v>
      </c>
      <c r="M83" s="8"/>
      <c r="N83" s="8">
        <f>I83-L83</f>
        <v>46500</v>
      </c>
      <c r="O83" s="8">
        <v>0</v>
      </c>
      <c r="P83" s="8">
        <v>0</v>
      </c>
      <c r="Q83" s="8"/>
      <c r="R83" s="8">
        <v>0</v>
      </c>
      <c r="S83" s="8">
        <v>0</v>
      </c>
    </row>
    <row r="84" ht="31.5" customHeight="1" spans="1:19" x14ac:dyDescent="0.25">
      <c r="A84" s="5" t="s">
        <v>341</v>
      </c>
      <c r="B84" s="6" t="s">
        <v>342</v>
      </c>
      <c r="C84" s="6"/>
      <c r="D84" s="5" t="s">
        <v>138</v>
      </c>
      <c r="E84" s="5" t="s">
        <v>11</v>
      </c>
      <c r="F84" s="5" t="s">
        <v>11</v>
      </c>
      <c r="G84" s="5" t="s">
        <v>11</v>
      </c>
      <c r="H84" s="7">
        <v>1</v>
      </c>
      <c r="I84" s="8">
        <v>17000</v>
      </c>
      <c r="J84" s="8"/>
      <c r="K84" s="8">
        <v>0</v>
      </c>
      <c r="L84" s="8">
        <v>0</v>
      </c>
      <c r="M84" s="8"/>
      <c r="N84" s="8">
        <f>I84-L84</f>
        <v>17000</v>
      </c>
      <c r="O84" s="8">
        <v>0</v>
      </c>
      <c r="P84" s="8">
        <v>0</v>
      </c>
      <c r="Q84" s="8"/>
      <c r="R84" s="8">
        <v>0</v>
      </c>
      <c r="S84" s="8">
        <v>0</v>
      </c>
    </row>
    <row r="85" ht="31.5" customHeight="1" spans="1:19" x14ac:dyDescent="0.25">
      <c r="A85" s="5" t="s">
        <v>343</v>
      </c>
      <c r="B85" s="6" t="s">
        <v>344</v>
      </c>
      <c r="C85" s="6"/>
      <c r="D85" s="5" t="s">
        <v>138</v>
      </c>
      <c r="E85" s="5" t="s">
        <v>11</v>
      </c>
      <c r="F85" s="5" t="s">
        <v>11</v>
      </c>
      <c r="G85" s="5" t="s">
        <v>11</v>
      </c>
      <c r="H85" s="7">
        <v>2</v>
      </c>
      <c r="I85" s="8">
        <v>275000</v>
      </c>
      <c r="J85" s="8"/>
      <c r="K85" s="8">
        <v>0</v>
      </c>
      <c r="L85" s="8">
        <v>0</v>
      </c>
      <c r="M85" s="8"/>
      <c r="N85" s="8">
        <f>I85-L85</f>
        <v>275000</v>
      </c>
      <c r="O85" s="8">
        <v>0</v>
      </c>
      <c r="P85" s="8">
        <v>0</v>
      </c>
      <c r="Q85" s="8"/>
      <c r="R85" s="8">
        <v>0</v>
      </c>
      <c r="S85" s="8">
        <v>0</v>
      </c>
    </row>
    <row r="86" ht="31.5" customHeight="1" spans="1:19" x14ac:dyDescent="0.25">
      <c r="A86" s="5" t="s">
        <v>345</v>
      </c>
      <c r="B86" s="6" t="s">
        <v>346</v>
      </c>
      <c r="C86" s="6"/>
      <c r="D86" s="5" t="s">
        <v>138</v>
      </c>
      <c r="E86" s="5" t="s">
        <v>11</v>
      </c>
      <c r="F86" s="5" t="s">
        <v>11</v>
      </c>
      <c r="G86" s="5" t="s">
        <v>11</v>
      </c>
      <c r="H86" s="7">
        <v>2</v>
      </c>
      <c r="I86" s="8">
        <v>50000</v>
      </c>
      <c r="J86" s="8"/>
      <c r="K86" s="8">
        <v>0</v>
      </c>
      <c r="L86" s="8">
        <v>0</v>
      </c>
      <c r="M86" s="8"/>
      <c r="N86" s="8">
        <f>I86-L86</f>
        <v>50000</v>
      </c>
      <c r="O86" s="8">
        <v>0</v>
      </c>
      <c r="P86" s="8">
        <v>0</v>
      </c>
      <c r="Q86" s="8"/>
      <c r="R86" s="8">
        <v>0</v>
      </c>
      <c r="S86" s="8">
        <v>0</v>
      </c>
    </row>
    <row r="87" ht="31.5" customHeight="1" spans="1:19" x14ac:dyDescent="0.25">
      <c r="A87" s="5" t="s">
        <v>347</v>
      </c>
      <c r="B87" s="6" t="s">
        <v>348</v>
      </c>
      <c r="C87" s="6"/>
      <c r="D87" s="5" t="s">
        <v>138</v>
      </c>
      <c r="E87" s="5" t="s">
        <v>11</v>
      </c>
      <c r="F87" s="5" t="s">
        <v>11</v>
      </c>
      <c r="G87" s="5" t="s">
        <v>11</v>
      </c>
      <c r="H87" s="7">
        <v>1</v>
      </c>
      <c r="I87" s="8">
        <v>15000</v>
      </c>
      <c r="J87" s="8"/>
      <c r="K87" s="8">
        <v>0</v>
      </c>
      <c r="L87" s="8">
        <v>4527.77</v>
      </c>
      <c r="M87" s="8"/>
      <c r="N87" s="8">
        <f>I87-L87</f>
        <v>10472.23</v>
      </c>
      <c r="O87" s="8">
        <v>0</v>
      </c>
      <c r="P87" s="8">
        <v>0</v>
      </c>
      <c r="Q87" s="8"/>
      <c r="R87" s="8">
        <v>0</v>
      </c>
      <c r="S87" s="8">
        <v>0</v>
      </c>
    </row>
    <row r="88" ht="31.5" customHeight="1" spans="1:19" x14ac:dyDescent="0.25">
      <c r="A88" s="5" t="s">
        <v>349</v>
      </c>
      <c r="B88" s="6" t="s">
        <v>350</v>
      </c>
      <c r="C88" s="6"/>
      <c r="D88" s="5" t="s">
        <v>138</v>
      </c>
      <c r="E88" s="5" t="s">
        <v>11</v>
      </c>
      <c r="F88" s="5" t="s">
        <v>11</v>
      </c>
      <c r="G88" s="5" t="s">
        <v>11</v>
      </c>
      <c r="H88" s="7">
        <v>1</v>
      </c>
      <c r="I88" s="8">
        <v>150000</v>
      </c>
      <c r="J88" s="8"/>
      <c r="K88" s="8">
        <v>0</v>
      </c>
      <c r="L88" s="8">
        <v>0</v>
      </c>
      <c r="M88" s="8"/>
      <c r="N88" s="8">
        <f>I88-L88</f>
        <v>150000</v>
      </c>
      <c r="O88" s="8">
        <v>0</v>
      </c>
      <c r="P88" s="8">
        <v>0</v>
      </c>
      <c r="Q88" s="8"/>
      <c r="R88" s="8">
        <v>0</v>
      </c>
      <c r="S88" s="8">
        <v>0</v>
      </c>
    </row>
    <row r="89" ht="31.5" customHeight="1" spans="1:19" x14ac:dyDescent="0.25">
      <c r="A89" s="5" t="s">
        <v>351</v>
      </c>
      <c r="B89" s="6" t="s">
        <v>352</v>
      </c>
      <c r="C89" s="6"/>
      <c r="D89" s="5" t="s">
        <v>138</v>
      </c>
      <c r="E89" s="5" t="s">
        <v>11</v>
      </c>
      <c r="F89" s="5" t="s">
        <v>11</v>
      </c>
      <c r="G89" s="5" t="s">
        <v>11</v>
      </c>
      <c r="H89" s="7">
        <v>1</v>
      </c>
      <c r="I89" s="8">
        <v>12000</v>
      </c>
      <c r="J89" s="8"/>
      <c r="K89" s="8">
        <v>0</v>
      </c>
      <c r="L89" s="8">
        <v>6250</v>
      </c>
      <c r="M89" s="8"/>
      <c r="N89" s="8">
        <f>I89-L89</f>
        <v>5750</v>
      </c>
      <c r="O89" s="8">
        <v>0</v>
      </c>
      <c r="P89" s="8">
        <v>0</v>
      </c>
      <c r="Q89" s="8"/>
      <c r="R89" s="8">
        <v>0</v>
      </c>
      <c r="S89" s="8">
        <v>0</v>
      </c>
    </row>
    <row r="90" ht="31.5" customHeight="1" spans="1:19" x14ac:dyDescent="0.25">
      <c r="A90" s="5" t="s">
        <v>353</v>
      </c>
      <c r="B90" s="6" t="s">
        <v>354</v>
      </c>
      <c r="C90" s="6"/>
      <c r="D90" s="5" t="s">
        <v>138</v>
      </c>
      <c r="E90" s="5" t="s">
        <v>11</v>
      </c>
      <c r="F90" s="5" t="s">
        <v>11</v>
      </c>
      <c r="G90" s="5" t="s">
        <v>11</v>
      </c>
      <c r="H90" s="7">
        <v>1</v>
      </c>
      <c r="I90" s="8">
        <v>15000</v>
      </c>
      <c r="J90" s="8"/>
      <c r="K90" s="8">
        <v>0</v>
      </c>
      <c r="L90" s="8">
        <v>4527.77</v>
      </c>
      <c r="M90" s="8"/>
      <c r="N90" s="8">
        <f>I90-L90</f>
        <v>10472.23</v>
      </c>
      <c r="O90" s="8">
        <v>0</v>
      </c>
      <c r="P90" s="8">
        <v>0</v>
      </c>
      <c r="Q90" s="8"/>
      <c r="R90" s="8">
        <v>0</v>
      </c>
      <c r="S90" s="8">
        <v>0</v>
      </c>
    </row>
    <row r="91" ht="31.5" customHeight="1" spans="1:19" x14ac:dyDescent="0.25">
      <c r="A91" s="5" t="s">
        <v>355</v>
      </c>
      <c r="B91" s="6" t="s">
        <v>356</v>
      </c>
      <c r="C91" s="6"/>
      <c r="D91" s="5" t="s">
        <v>138</v>
      </c>
      <c r="E91" s="5" t="s">
        <v>11</v>
      </c>
      <c r="F91" s="5" t="s">
        <v>11</v>
      </c>
      <c r="G91" s="5" t="s">
        <v>11</v>
      </c>
      <c r="H91" s="7">
        <v>1</v>
      </c>
      <c r="I91" s="8">
        <v>25000</v>
      </c>
      <c r="J91" s="8"/>
      <c r="K91" s="8">
        <v>0</v>
      </c>
      <c r="L91" s="8">
        <v>0</v>
      </c>
      <c r="M91" s="8"/>
      <c r="N91" s="8">
        <f>I91-L91</f>
        <v>25000</v>
      </c>
      <c r="O91" s="8">
        <v>0</v>
      </c>
      <c r="P91" s="8">
        <v>0</v>
      </c>
      <c r="Q91" s="8"/>
      <c r="R91" s="8">
        <v>0</v>
      </c>
      <c r="S91" s="8">
        <v>0</v>
      </c>
    </row>
    <row r="92" ht="31.5" customHeight="1" spans="1:19" x14ac:dyDescent="0.25">
      <c r="A92" s="5" t="s">
        <v>357</v>
      </c>
      <c r="B92" s="6" t="s">
        <v>358</v>
      </c>
      <c r="C92" s="6"/>
      <c r="D92" s="5" t="s">
        <v>138</v>
      </c>
      <c r="E92" s="5" t="s">
        <v>11</v>
      </c>
      <c r="F92" s="5" t="s">
        <v>11</v>
      </c>
      <c r="G92" s="5" t="s">
        <v>11</v>
      </c>
      <c r="H92" s="7">
        <v>1</v>
      </c>
      <c r="I92" s="8">
        <v>15000</v>
      </c>
      <c r="J92" s="8"/>
      <c r="K92" s="8">
        <v>0</v>
      </c>
      <c r="L92" s="8">
        <v>4527.77</v>
      </c>
      <c r="M92" s="8"/>
      <c r="N92" s="8">
        <f>I92-L92</f>
        <v>10472.23</v>
      </c>
      <c r="O92" s="8">
        <v>0</v>
      </c>
      <c r="P92" s="8">
        <v>0</v>
      </c>
      <c r="Q92" s="8"/>
      <c r="R92" s="8">
        <v>0</v>
      </c>
      <c r="S92" s="8">
        <v>0</v>
      </c>
    </row>
    <row r="93" ht="31.5" customHeight="1" spans="1:19" x14ac:dyDescent="0.25">
      <c r="A93" s="5" t="s">
        <v>359</v>
      </c>
      <c r="B93" s="6" t="s">
        <v>360</v>
      </c>
      <c r="C93" s="6"/>
      <c r="D93" s="5" t="s">
        <v>138</v>
      </c>
      <c r="E93" s="5" t="s">
        <v>11</v>
      </c>
      <c r="F93" s="5" t="s">
        <v>11</v>
      </c>
      <c r="G93" s="5" t="s">
        <v>11</v>
      </c>
      <c r="H93" s="7">
        <v>2</v>
      </c>
      <c r="I93" s="8">
        <v>30000</v>
      </c>
      <c r="J93" s="8"/>
      <c r="K93" s="8">
        <v>0</v>
      </c>
      <c r="L93" s="8">
        <v>12337.18</v>
      </c>
      <c r="M93" s="8"/>
      <c r="N93" s="8">
        <f>I93-L93</f>
        <v>17662.82</v>
      </c>
      <c r="O93" s="8">
        <v>0</v>
      </c>
      <c r="P93" s="8">
        <v>0</v>
      </c>
      <c r="Q93" s="8"/>
      <c r="R93" s="8">
        <v>0</v>
      </c>
      <c r="S93" s="8">
        <v>0</v>
      </c>
    </row>
    <row r="94" ht="31.5" customHeight="1" spans="1:19" x14ac:dyDescent="0.25">
      <c r="A94" s="5" t="s">
        <v>361</v>
      </c>
      <c r="B94" s="6" t="s">
        <v>362</v>
      </c>
      <c r="C94" s="6"/>
      <c r="D94" s="5" t="s">
        <v>363</v>
      </c>
      <c r="E94" s="5" t="s">
        <v>11</v>
      </c>
      <c r="F94" s="5" t="s">
        <v>11</v>
      </c>
      <c r="G94" s="5" t="s">
        <v>11</v>
      </c>
      <c r="H94" s="7">
        <v>2</v>
      </c>
      <c r="I94" s="8">
        <v>300000</v>
      </c>
      <c r="J94" s="8"/>
      <c r="K94" s="8">
        <v>0</v>
      </c>
      <c r="L94" s="8">
        <v>0</v>
      </c>
      <c r="M94" s="8"/>
      <c r="N94" s="8">
        <f>I94-L94</f>
        <v>300000</v>
      </c>
      <c r="O94" s="8">
        <v>0</v>
      </c>
      <c r="P94" s="8">
        <v>0</v>
      </c>
      <c r="Q94" s="8"/>
      <c r="R94" s="8">
        <v>0</v>
      </c>
      <c r="S94" s="8">
        <v>0</v>
      </c>
    </row>
    <row r="95" ht="18" customHeight="1" spans="1:19" x14ac:dyDescent="0.25">
      <c r="A95" s="9" t="s">
        <v>177</v>
      </c>
      <c r="B95" s="9"/>
      <c r="C95" s="9"/>
      <c r="D95" s="9"/>
      <c r="E95" s="9"/>
      <c r="F95" s="9"/>
      <c r="G95" s="9"/>
      <c r="H95" s="10">
        <f>SUM(H5:H94)</f>
        <v>158</v>
      </c>
      <c r="I95" s="11">
        <f>SUM(I5:I94)</f>
        <v>6163000</v>
      </c>
      <c r="J95" s="11"/>
      <c r="K95" s="11">
        <v>0</v>
      </c>
      <c r="L95" s="11">
        <f>SUM(L5:L94)</f>
        <v>585373.1600000001</v>
      </c>
      <c r="M95" s="11"/>
      <c r="N95" s="11">
        <f>SUM(N5:N94)</f>
        <v>5577626.84</v>
      </c>
      <c r="O95" s="11">
        <v>0</v>
      </c>
      <c r="P95" s="11">
        <v>0</v>
      </c>
      <c r="Q95" s="11"/>
      <c r="R95" s="11">
        <f>SUM(R5:R94)</f>
        <v>0</v>
      </c>
      <c r="S95" s="11">
        <v>0</v>
      </c>
    </row>
  </sheetData>
  <mergeCells count="380">
    <mergeCell ref="A1:S1"/>
    <mergeCell ref="A2:B2"/>
    <mergeCell ref="C2:E2"/>
    <mergeCell ref="F2:I2"/>
    <mergeCell ref="J2:L2"/>
    <mergeCell ref="M2:P2"/>
    <mergeCell ref="Q2:S2"/>
    <mergeCell ref="A3:B3"/>
    <mergeCell ref="C3:E3"/>
    <mergeCell ref="F3:I3"/>
    <mergeCell ref="J3:L3"/>
    <mergeCell ref="M3:S3"/>
    <mergeCell ref="B4:C4"/>
    <mergeCell ref="I4:J4"/>
    <mergeCell ref="L4:M4"/>
    <mergeCell ref="P4:Q4"/>
    <mergeCell ref="B5:C5"/>
    <mergeCell ref="I5:J5"/>
    <mergeCell ref="L5:M5"/>
    <mergeCell ref="P5:Q5"/>
    <mergeCell ref="B6:C6"/>
    <mergeCell ref="I6:J6"/>
    <mergeCell ref="L6:M6"/>
    <mergeCell ref="P6:Q6"/>
    <mergeCell ref="B7:C7"/>
    <mergeCell ref="I7:J7"/>
    <mergeCell ref="L7:M7"/>
    <mergeCell ref="P7:Q7"/>
    <mergeCell ref="B8:C8"/>
    <mergeCell ref="I8:J8"/>
    <mergeCell ref="L8:M8"/>
    <mergeCell ref="P8:Q8"/>
    <mergeCell ref="B9:C9"/>
    <mergeCell ref="I9:J9"/>
    <mergeCell ref="L9:M9"/>
    <mergeCell ref="P9:Q9"/>
    <mergeCell ref="B10:C10"/>
    <mergeCell ref="I10:J10"/>
    <mergeCell ref="L10:M10"/>
    <mergeCell ref="P10:Q10"/>
    <mergeCell ref="B11:C11"/>
    <mergeCell ref="I11:J11"/>
    <mergeCell ref="L11:M11"/>
    <mergeCell ref="P11:Q11"/>
    <mergeCell ref="B12:C12"/>
    <mergeCell ref="I12:J12"/>
    <mergeCell ref="L12:M12"/>
    <mergeCell ref="P12:Q12"/>
    <mergeCell ref="B13:C13"/>
    <mergeCell ref="I13:J13"/>
    <mergeCell ref="L13:M13"/>
    <mergeCell ref="P13:Q13"/>
    <mergeCell ref="B14:C14"/>
    <mergeCell ref="I14:J14"/>
    <mergeCell ref="L14:M14"/>
    <mergeCell ref="P14:Q14"/>
    <mergeCell ref="B15:C15"/>
    <mergeCell ref="I15:J15"/>
    <mergeCell ref="L15:M15"/>
    <mergeCell ref="P15:Q15"/>
    <mergeCell ref="B16:C16"/>
    <mergeCell ref="I16:J16"/>
    <mergeCell ref="L16:M16"/>
    <mergeCell ref="P16:Q16"/>
    <mergeCell ref="B17:C17"/>
    <mergeCell ref="I17:J17"/>
    <mergeCell ref="L17:M17"/>
    <mergeCell ref="P17:Q17"/>
    <mergeCell ref="B18:C18"/>
    <mergeCell ref="I18:J18"/>
    <mergeCell ref="L18:M18"/>
    <mergeCell ref="P18:Q18"/>
    <mergeCell ref="B19:C19"/>
    <mergeCell ref="I19:J19"/>
    <mergeCell ref="L19:M19"/>
    <mergeCell ref="P19:Q19"/>
    <mergeCell ref="B20:C20"/>
    <mergeCell ref="I20:J20"/>
    <mergeCell ref="L20:M20"/>
    <mergeCell ref="P20:Q20"/>
    <mergeCell ref="B21:C21"/>
    <mergeCell ref="I21:J21"/>
    <mergeCell ref="L21:M21"/>
    <mergeCell ref="P21:Q21"/>
    <mergeCell ref="B22:C22"/>
    <mergeCell ref="I22:J22"/>
    <mergeCell ref="L22:M22"/>
    <mergeCell ref="P22:Q22"/>
    <mergeCell ref="B23:C23"/>
    <mergeCell ref="I23:J23"/>
    <mergeCell ref="L23:M23"/>
    <mergeCell ref="P23:Q23"/>
    <mergeCell ref="B24:C24"/>
    <mergeCell ref="I24:J24"/>
    <mergeCell ref="L24:M24"/>
    <mergeCell ref="P24:Q24"/>
    <mergeCell ref="B25:C25"/>
    <mergeCell ref="I25:J25"/>
    <mergeCell ref="L25:M25"/>
    <mergeCell ref="P25:Q25"/>
    <mergeCell ref="B26:C26"/>
    <mergeCell ref="I26:J26"/>
    <mergeCell ref="L26:M26"/>
    <mergeCell ref="P26:Q26"/>
    <mergeCell ref="B27:C27"/>
    <mergeCell ref="I27:J27"/>
    <mergeCell ref="L27:M27"/>
    <mergeCell ref="P27:Q27"/>
    <mergeCell ref="B28:C28"/>
    <mergeCell ref="I28:J28"/>
    <mergeCell ref="L28:M28"/>
    <mergeCell ref="P28:Q28"/>
    <mergeCell ref="B29:C29"/>
    <mergeCell ref="I29:J29"/>
    <mergeCell ref="L29:M29"/>
    <mergeCell ref="P29:Q29"/>
    <mergeCell ref="B30:C30"/>
    <mergeCell ref="I30:J30"/>
    <mergeCell ref="L30:M30"/>
    <mergeCell ref="P30:Q30"/>
    <mergeCell ref="B31:C31"/>
    <mergeCell ref="I31:J31"/>
    <mergeCell ref="L31:M31"/>
    <mergeCell ref="P31:Q31"/>
    <mergeCell ref="B32:C32"/>
    <mergeCell ref="I32:J32"/>
    <mergeCell ref="L32:M32"/>
    <mergeCell ref="P32:Q32"/>
    <mergeCell ref="B33:C33"/>
    <mergeCell ref="I33:J33"/>
    <mergeCell ref="L33:M33"/>
    <mergeCell ref="P33:Q33"/>
    <mergeCell ref="B34:C34"/>
    <mergeCell ref="I34:J34"/>
    <mergeCell ref="L34:M34"/>
    <mergeCell ref="P34:Q34"/>
    <mergeCell ref="B35:C35"/>
    <mergeCell ref="I35:J35"/>
    <mergeCell ref="L35:M35"/>
    <mergeCell ref="P35:Q35"/>
    <mergeCell ref="B36:C36"/>
    <mergeCell ref="I36:J36"/>
    <mergeCell ref="L36:M36"/>
    <mergeCell ref="P36:Q36"/>
    <mergeCell ref="B37:C37"/>
    <mergeCell ref="I37:J37"/>
    <mergeCell ref="L37:M37"/>
    <mergeCell ref="P37:Q37"/>
    <mergeCell ref="B38:C38"/>
    <mergeCell ref="I38:J38"/>
    <mergeCell ref="L38:M38"/>
    <mergeCell ref="P38:Q38"/>
    <mergeCell ref="B39:C39"/>
    <mergeCell ref="I39:J39"/>
    <mergeCell ref="L39:M39"/>
    <mergeCell ref="P39:Q39"/>
    <mergeCell ref="B40:C40"/>
    <mergeCell ref="I40:J40"/>
    <mergeCell ref="L40:M40"/>
    <mergeCell ref="P40:Q40"/>
    <mergeCell ref="B41:C41"/>
    <mergeCell ref="I41:J41"/>
    <mergeCell ref="L41:M41"/>
    <mergeCell ref="P41:Q41"/>
    <mergeCell ref="B42:C42"/>
    <mergeCell ref="I42:J42"/>
    <mergeCell ref="L42:M42"/>
    <mergeCell ref="P42:Q42"/>
    <mergeCell ref="B43:C43"/>
    <mergeCell ref="I43:J43"/>
    <mergeCell ref="L43:M43"/>
    <mergeCell ref="P43:Q43"/>
    <mergeCell ref="B44:C44"/>
    <mergeCell ref="I44:J44"/>
    <mergeCell ref="L44:M44"/>
    <mergeCell ref="P44:Q44"/>
    <mergeCell ref="B45:C45"/>
    <mergeCell ref="I45:J45"/>
    <mergeCell ref="L45:M45"/>
    <mergeCell ref="P45:Q45"/>
    <mergeCell ref="B46:C46"/>
    <mergeCell ref="I46:J46"/>
    <mergeCell ref="L46:M46"/>
    <mergeCell ref="P46:Q46"/>
    <mergeCell ref="B47:C47"/>
    <mergeCell ref="I47:J47"/>
    <mergeCell ref="L47:M47"/>
    <mergeCell ref="P47:Q47"/>
    <mergeCell ref="B48:C48"/>
    <mergeCell ref="I48:J48"/>
    <mergeCell ref="L48:M48"/>
    <mergeCell ref="P48:Q48"/>
    <mergeCell ref="B49:C49"/>
    <mergeCell ref="I49:J49"/>
    <mergeCell ref="L49:M49"/>
    <mergeCell ref="P49:Q49"/>
    <mergeCell ref="B50:C50"/>
    <mergeCell ref="I50:J50"/>
    <mergeCell ref="L50:M50"/>
    <mergeCell ref="P50:Q50"/>
    <mergeCell ref="B51:C51"/>
    <mergeCell ref="I51:J51"/>
    <mergeCell ref="L51:M51"/>
    <mergeCell ref="P51:Q51"/>
    <mergeCell ref="B52:C52"/>
    <mergeCell ref="I52:J52"/>
    <mergeCell ref="L52:M52"/>
    <mergeCell ref="P52:Q52"/>
    <mergeCell ref="B53:C53"/>
    <mergeCell ref="I53:J53"/>
    <mergeCell ref="L53:M53"/>
    <mergeCell ref="P53:Q53"/>
    <mergeCell ref="B54:C54"/>
    <mergeCell ref="I54:J54"/>
    <mergeCell ref="L54:M54"/>
    <mergeCell ref="P54:Q54"/>
    <mergeCell ref="B55:C55"/>
    <mergeCell ref="I55:J55"/>
    <mergeCell ref="L55:M55"/>
    <mergeCell ref="P55:Q55"/>
    <mergeCell ref="B56:C56"/>
    <mergeCell ref="I56:J56"/>
    <mergeCell ref="L56:M56"/>
    <mergeCell ref="P56:Q56"/>
    <mergeCell ref="B57:C57"/>
    <mergeCell ref="I57:J57"/>
    <mergeCell ref="L57:M57"/>
    <mergeCell ref="P57:Q57"/>
    <mergeCell ref="B58:C58"/>
    <mergeCell ref="I58:J58"/>
    <mergeCell ref="L58:M58"/>
    <mergeCell ref="P58:Q58"/>
    <mergeCell ref="B59:C59"/>
    <mergeCell ref="I59:J59"/>
    <mergeCell ref="L59:M59"/>
    <mergeCell ref="P59:Q59"/>
    <mergeCell ref="B60:C60"/>
    <mergeCell ref="I60:J60"/>
    <mergeCell ref="L60:M60"/>
    <mergeCell ref="P60:Q60"/>
    <mergeCell ref="B61:C61"/>
    <mergeCell ref="I61:J61"/>
    <mergeCell ref="L61:M61"/>
    <mergeCell ref="P61:Q61"/>
    <mergeCell ref="B62:C62"/>
    <mergeCell ref="I62:J62"/>
    <mergeCell ref="L62:M62"/>
    <mergeCell ref="P62:Q62"/>
    <mergeCell ref="B63:C63"/>
    <mergeCell ref="I63:J63"/>
    <mergeCell ref="L63:M63"/>
    <mergeCell ref="P63:Q63"/>
    <mergeCell ref="B64:C64"/>
    <mergeCell ref="I64:J64"/>
    <mergeCell ref="L64:M64"/>
    <mergeCell ref="P64:Q64"/>
    <mergeCell ref="B65:C65"/>
    <mergeCell ref="I65:J65"/>
    <mergeCell ref="L65:M65"/>
    <mergeCell ref="P65:Q65"/>
    <mergeCell ref="B66:C66"/>
    <mergeCell ref="I66:J66"/>
    <mergeCell ref="L66:M66"/>
    <mergeCell ref="P66:Q66"/>
    <mergeCell ref="B67:C67"/>
    <mergeCell ref="I67:J67"/>
    <mergeCell ref="L67:M67"/>
    <mergeCell ref="P67:Q67"/>
    <mergeCell ref="B68:C68"/>
    <mergeCell ref="I68:J68"/>
    <mergeCell ref="L68:M68"/>
    <mergeCell ref="P68:Q68"/>
    <mergeCell ref="B69:C69"/>
    <mergeCell ref="I69:J69"/>
    <mergeCell ref="L69:M69"/>
    <mergeCell ref="P69:Q69"/>
    <mergeCell ref="B70:C70"/>
    <mergeCell ref="I70:J70"/>
    <mergeCell ref="L70:M70"/>
    <mergeCell ref="P70:Q70"/>
    <mergeCell ref="B71:C71"/>
    <mergeCell ref="I71:J71"/>
    <mergeCell ref="L71:M71"/>
    <mergeCell ref="P71:Q71"/>
    <mergeCell ref="B72:C72"/>
    <mergeCell ref="I72:J72"/>
    <mergeCell ref="L72:M72"/>
    <mergeCell ref="P72:Q72"/>
    <mergeCell ref="B73:C73"/>
    <mergeCell ref="I73:J73"/>
    <mergeCell ref="L73:M73"/>
    <mergeCell ref="P73:Q73"/>
    <mergeCell ref="B74:C74"/>
    <mergeCell ref="I74:J74"/>
    <mergeCell ref="L74:M74"/>
    <mergeCell ref="P74:Q74"/>
    <mergeCell ref="B75:C75"/>
    <mergeCell ref="I75:J75"/>
    <mergeCell ref="L75:M75"/>
    <mergeCell ref="P75:Q75"/>
    <mergeCell ref="B76:C76"/>
    <mergeCell ref="I76:J76"/>
    <mergeCell ref="L76:M76"/>
    <mergeCell ref="P76:Q76"/>
    <mergeCell ref="B77:C77"/>
    <mergeCell ref="I77:J77"/>
    <mergeCell ref="L77:M77"/>
    <mergeCell ref="P77:Q77"/>
    <mergeCell ref="B78:C78"/>
    <mergeCell ref="I78:J78"/>
    <mergeCell ref="L78:M78"/>
    <mergeCell ref="P78:Q78"/>
    <mergeCell ref="B79:C79"/>
    <mergeCell ref="I79:J79"/>
    <mergeCell ref="L79:M79"/>
    <mergeCell ref="P79:Q79"/>
    <mergeCell ref="B80:C80"/>
    <mergeCell ref="I80:J80"/>
    <mergeCell ref="L80:M80"/>
    <mergeCell ref="P80:Q80"/>
    <mergeCell ref="B81:C81"/>
    <mergeCell ref="I81:J81"/>
    <mergeCell ref="L81:M81"/>
    <mergeCell ref="P81:Q81"/>
    <mergeCell ref="B82:C82"/>
    <mergeCell ref="I82:J82"/>
    <mergeCell ref="L82:M82"/>
    <mergeCell ref="P82:Q82"/>
    <mergeCell ref="B83:C83"/>
    <mergeCell ref="I83:J83"/>
    <mergeCell ref="L83:M83"/>
    <mergeCell ref="P83:Q83"/>
    <mergeCell ref="B84:C84"/>
    <mergeCell ref="I84:J84"/>
    <mergeCell ref="L84:M84"/>
    <mergeCell ref="P84:Q84"/>
    <mergeCell ref="B85:C85"/>
    <mergeCell ref="I85:J85"/>
    <mergeCell ref="L85:M85"/>
    <mergeCell ref="P85:Q85"/>
    <mergeCell ref="B86:C86"/>
    <mergeCell ref="I86:J86"/>
    <mergeCell ref="L86:M86"/>
    <mergeCell ref="P86:Q86"/>
    <mergeCell ref="B87:C87"/>
    <mergeCell ref="I87:J87"/>
    <mergeCell ref="L87:M87"/>
    <mergeCell ref="P87:Q87"/>
    <mergeCell ref="B88:C88"/>
    <mergeCell ref="I88:J88"/>
    <mergeCell ref="L88:M88"/>
    <mergeCell ref="P88:Q88"/>
    <mergeCell ref="B89:C89"/>
    <mergeCell ref="I89:J89"/>
    <mergeCell ref="L89:M89"/>
    <mergeCell ref="P89:Q89"/>
    <mergeCell ref="B90:C90"/>
    <mergeCell ref="I90:J90"/>
    <mergeCell ref="L90:M90"/>
    <mergeCell ref="P90:Q90"/>
    <mergeCell ref="B91:C91"/>
    <mergeCell ref="I91:J91"/>
    <mergeCell ref="L91:M91"/>
    <mergeCell ref="P91:Q91"/>
    <mergeCell ref="B92:C92"/>
    <mergeCell ref="I92:J92"/>
    <mergeCell ref="L92:M92"/>
    <mergeCell ref="P92:Q92"/>
    <mergeCell ref="B93:C93"/>
    <mergeCell ref="I93:J93"/>
    <mergeCell ref="L93:M93"/>
    <mergeCell ref="P93:Q93"/>
    <mergeCell ref="B94:C94"/>
    <mergeCell ref="I94:J94"/>
    <mergeCell ref="L94:M94"/>
    <mergeCell ref="P94:Q94"/>
    <mergeCell ref="A95:G95"/>
    <mergeCell ref="I95:J95"/>
    <mergeCell ref="L95:M95"/>
    <mergeCell ref="P95:Q95"/>
  </mergeCells>
  <pageMargins left="0.2" right="0.2" top="0.3" bottom="0.3" header="0.1" footer="0.1"/>
  <pageSetup paperSize="9" orientation="landscape" horizontalDpi="4294967295" verticalDpi="4294967295" scale="100" fitToWidth="1" fitToHeight="0"/>
  <headerFooter>
    <oddFooter>&amp;LGenerated by AYO Olsera&amp;CPage &amp;P of &amp;N&amp;R&amp;D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03"/>
  <sheetViews>
    <sheetView workbookViewId="0" zoomScale="80"/>
  </sheetViews>
  <sheetFormatPr defaultRowHeight="15.75" outlineLevelRow="0" outlineLevelCol="0" x14ac:dyDescent="55" customHeight="1"/>
  <cols>
    <col min="1" max="1" width="22" customWidth="1"/>
    <col min="2" max="2" width="12.1" hidden="1" customWidth="1"/>
    <col min="3" max="3" width="15.7" customWidth="1"/>
    <col min="4" max="4" width="17.4" customWidth="1"/>
    <col min="5" max="5" width="0.1" hidden="1" customWidth="1"/>
    <col min="6" max="6" width="16" customWidth="1"/>
    <col min="7" max="7" width="12" customWidth="1"/>
    <col min="9" max="9" width="14" customWidth="1"/>
    <col min="10" max="10" width="10" customWidth="1"/>
    <col min="12" max="12" width="9" hidden="1" customWidth="1"/>
    <col min="13" max="13" width="10" customWidth="1"/>
    <col min="14" max="14" width="15" customWidth="1"/>
    <col min="16" max="16" width="0.1" customWidth="1"/>
    <col min="17" max="18" width="10" customWidth="1"/>
    <col min="19" max="19" width="11" customWidth="1"/>
  </cols>
  <sheetData>
    <row r="1" ht="52.5" customHeight="1" spans="1:19" x14ac:dyDescent="0.25">
      <c r="A1" s="1" t="s">
        <v>364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8.5" customHeight="1" spans="1:19" x14ac:dyDescent="0.25">
      <c r="A2" s="2" t="s">
        <v>365</v>
      </c>
      <c r="B2" s="2"/>
      <c r="C2" s="2" t="s">
        <v>2</v>
      </c>
      <c r="D2" s="2"/>
      <c r="E2" s="2"/>
      <c r="F2" s="2" t="s">
        <v>366</v>
      </c>
      <c r="G2" s="2"/>
      <c r="H2" s="2"/>
      <c r="I2" s="2"/>
      <c r="J2" s="2" t="s">
        <v>367</v>
      </c>
      <c r="K2" s="2"/>
      <c r="L2" s="2"/>
      <c r="M2" s="2" t="s">
        <v>5</v>
      </c>
      <c r="N2" s="2"/>
      <c r="O2" s="2"/>
      <c r="P2" s="2"/>
      <c r="Q2" s="2" t="s">
        <v>6</v>
      </c>
      <c r="R2" s="2"/>
      <c r="S2" s="2"/>
    </row>
    <row r="3" ht="31.5" customHeight="1" spans="1:19" x14ac:dyDescent="0.25">
      <c r="A3" s="2" t="s">
        <v>7</v>
      </c>
      <c r="B3" s="2"/>
      <c r="C3" s="2" t="s">
        <v>8</v>
      </c>
      <c r="D3" s="2"/>
      <c r="E3" s="2"/>
      <c r="F3" s="2" t="s">
        <v>368</v>
      </c>
      <c r="G3" s="2"/>
      <c r="H3" s="2"/>
      <c r="I3" s="2"/>
      <c r="J3" s="2" t="s">
        <v>10</v>
      </c>
      <c r="K3" s="2"/>
      <c r="L3" s="2"/>
      <c r="M3" s="3" t="s">
        <v>11</v>
      </c>
      <c r="N3" s="3"/>
      <c r="O3" s="3"/>
      <c r="P3" s="3"/>
      <c r="Q3" s="3"/>
      <c r="R3" s="3"/>
      <c r="S3" s="3"/>
    </row>
    <row r="4" ht="25.5" customHeight="1" spans="1:19" x14ac:dyDescent="0.25">
      <c r="A4" s="4" t="s">
        <v>12</v>
      </c>
      <c r="B4" s="4" t="s">
        <v>13</v>
      </c>
      <c r="C4" s="4"/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/>
      <c r="K4" s="4" t="s">
        <v>20</v>
      </c>
      <c r="L4" s="4" t="s">
        <v>21</v>
      </c>
      <c r="M4" s="4"/>
      <c r="N4" s="4" t="s">
        <v>22</v>
      </c>
      <c r="O4" s="4" t="s">
        <v>23</v>
      </c>
      <c r="P4" s="4" t="s">
        <v>24</v>
      </c>
      <c r="Q4" s="4"/>
      <c r="R4" s="4" t="s">
        <v>25</v>
      </c>
      <c r="S4" s="4" t="s">
        <v>26</v>
      </c>
    </row>
    <row r="5" ht="31.5" customHeight="1" spans="1:19" x14ac:dyDescent="0.25">
      <c r="A5" s="5" t="s">
        <v>369</v>
      </c>
      <c r="B5" s="6" t="s">
        <v>370</v>
      </c>
      <c r="C5" s="6"/>
      <c r="D5" s="5" t="s">
        <v>29</v>
      </c>
      <c r="E5" s="5" t="s">
        <v>11</v>
      </c>
      <c r="F5" s="5" t="s">
        <v>11</v>
      </c>
      <c r="G5" s="5" t="s">
        <v>11</v>
      </c>
      <c r="H5" s="7">
        <v>3</v>
      </c>
      <c r="I5" s="8">
        <v>150000</v>
      </c>
      <c r="J5" s="8"/>
      <c r="K5" s="8">
        <v>0</v>
      </c>
      <c r="L5" s="8">
        <v>58472.73</v>
      </c>
      <c r="M5" s="8"/>
      <c r="N5" s="8">
        <f>I5-L5</f>
        <v>91527.26999999999</v>
      </c>
      <c r="O5" s="8">
        <v>0</v>
      </c>
      <c r="P5" s="8">
        <v>0</v>
      </c>
      <c r="Q5" s="8"/>
      <c r="R5" s="8">
        <v>0</v>
      </c>
      <c r="S5" s="8">
        <v>0</v>
      </c>
    </row>
    <row r="6" ht="31.5" customHeight="1" spans="1:19" x14ac:dyDescent="0.25">
      <c r="A6" s="5" t="s">
        <v>371</v>
      </c>
      <c r="B6" s="6" t="s">
        <v>372</v>
      </c>
      <c r="C6" s="6"/>
      <c r="D6" s="5" t="s">
        <v>29</v>
      </c>
      <c r="E6" s="5" t="s">
        <v>11</v>
      </c>
      <c r="F6" s="5" t="s">
        <v>11</v>
      </c>
      <c r="G6" s="5" t="s">
        <v>11</v>
      </c>
      <c r="H6" s="7">
        <v>1</v>
      </c>
      <c r="I6" s="8">
        <v>30000</v>
      </c>
      <c r="J6" s="8"/>
      <c r="K6" s="8">
        <v>0</v>
      </c>
      <c r="L6" s="8">
        <v>0</v>
      </c>
      <c r="M6" s="8"/>
      <c r="N6" s="8">
        <f>I6-L6</f>
        <v>30000</v>
      </c>
      <c r="O6" s="8">
        <v>0</v>
      </c>
      <c r="P6" s="8">
        <v>0</v>
      </c>
      <c r="Q6" s="8"/>
      <c r="R6" s="8">
        <v>0</v>
      </c>
      <c r="S6" s="8">
        <v>0</v>
      </c>
    </row>
    <row r="7" ht="31.5" customHeight="1" spans="1:19" x14ac:dyDescent="0.25">
      <c r="A7" s="5" t="s">
        <v>373</v>
      </c>
      <c r="B7" s="6" t="s">
        <v>374</v>
      </c>
      <c r="C7" s="6"/>
      <c r="D7" s="5" t="s">
        <v>29</v>
      </c>
      <c r="E7" s="5" t="s">
        <v>11</v>
      </c>
      <c r="F7" s="5" t="s">
        <v>11</v>
      </c>
      <c r="G7" s="5" t="s">
        <v>11</v>
      </c>
      <c r="H7" s="7">
        <v>1</v>
      </c>
      <c r="I7" s="8">
        <v>30000</v>
      </c>
      <c r="J7" s="8"/>
      <c r="K7" s="8">
        <v>0</v>
      </c>
      <c r="L7" s="8">
        <v>0</v>
      </c>
      <c r="M7" s="8"/>
      <c r="N7" s="8">
        <f>I7-L7</f>
        <v>30000</v>
      </c>
      <c r="O7" s="8">
        <v>0</v>
      </c>
      <c r="P7" s="8">
        <v>0</v>
      </c>
      <c r="Q7" s="8"/>
      <c r="R7" s="8">
        <v>0</v>
      </c>
      <c r="S7" s="8">
        <v>0</v>
      </c>
    </row>
    <row r="8" ht="31.5" customHeight="1" spans="1:19" x14ac:dyDescent="0.25">
      <c r="A8" s="5" t="s">
        <v>375</v>
      </c>
      <c r="B8" s="6" t="s">
        <v>376</v>
      </c>
      <c r="C8" s="6"/>
      <c r="D8" s="5" t="s">
        <v>29</v>
      </c>
      <c r="E8" s="5" t="s">
        <v>11</v>
      </c>
      <c r="F8" s="5" t="s">
        <v>11</v>
      </c>
      <c r="G8" s="5" t="s">
        <v>11</v>
      </c>
      <c r="H8" s="7">
        <v>2</v>
      </c>
      <c r="I8" s="8">
        <v>70000</v>
      </c>
      <c r="J8" s="8"/>
      <c r="K8" s="8">
        <v>0</v>
      </c>
      <c r="L8" s="8">
        <v>10250</v>
      </c>
      <c r="M8" s="8"/>
      <c r="N8" s="8">
        <f>I8-L8</f>
        <v>59750</v>
      </c>
      <c r="O8" s="8">
        <v>0</v>
      </c>
      <c r="P8" s="8">
        <v>0</v>
      </c>
      <c r="Q8" s="8"/>
      <c r="R8" s="8">
        <v>0</v>
      </c>
      <c r="S8" s="8">
        <v>0</v>
      </c>
    </row>
    <row r="9" ht="31.5" customHeight="1" spans="1:19" x14ac:dyDescent="0.25">
      <c r="A9" s="5" t="s">
        <v>377</v>
      </c>
      <c r="B9" s="6" t="s">
        <v>378</v>
      </c>
      <c r="C9" s="6"/>
      <c r="D9" s="5" t="s">
        <v>29</v>
      </c>
      <c r="E9" s="5" t="s">
        <v>11</v>
      </c>
      <c r="F9" s="5" t="s">
        <v>11</v>
      </c>
      <c r="G9" s="5" t="s">
        <v>11</v>
      </c>
      <c r="H9" s="7">
        <v>1</v>
      </c>
      <c r="I9" s="8">
        <v>50000</v>
      </c>
      <c r="J9" s="8"/>
      <c r="K9" s="8">
        <v>0</v>
      </c>
      <c r="L9" s="8">
        <v>0</v>
      </c>
      <c r="M9" s="8"/>
      <c r="N9" s="8">
        <f>I9-L9</f>
        <v>50000</v>
      </c>
      <c r="O9" s="8">
        <v>0</v>
      </c>
      <c r="P9" s="8">
        <v>0</v>
      </c>
      <c r="Q9" s="8"/>
      <c r="R9" s="8">
        <v>0</v>
      </c>
      <c r="S9" s="8">
        <v>0</v>
      </c>
    </row>
    <row r="10" ht="31.5" customHeight="1" spans="1:19" x14ac:dyDescent="0.25">
      <c r="A10" s="5" t="s">
        <v>379</v>
      </c>
      <c r="B10" s="6" t="s">
        <v>380</v>
      </c>
      <c r="C10" s="6"/>
      <c r="D10" s="5" t="s">
        <v>29</v>
      </c>
      <c r="E10" s="5" t="s">
        <v>11</v>
      </c>
      <c r="F10" s="5" t="s">
        <v>11</v>
      </c>
      <c r="G10" s="5" t="s">
        <v>11</v>
      </c>
      <c r="H10" s="7">
        <v>2</v>
      </c>
      <c r="I10" s="8">
        <v>100000</v>
      </c>
      <c r="J10" s="8"/>
      <c r="K10" s="8">
        <v>0</v>
      </c>
      <c r="L10" s="8">
        <v>0</v>
      </c>
      <c r="M10" s="8"/>
      <c r="N10" s="8">
        <f>I10-L10</f>
        <v>100000</v>
      </c>
      <c r="O10" s="8">
        <v>0</v>
      </c>
      <c r="P10" s="8">
        <v>0</v>
      </c>
      <c r="Q10" s="8"/>
      <c r="R10" s="8">
        <v>0</v>
      </c>
      <c r="S10" s="8">
        <v>0</v>
      </c>
    </row>
    <row r="11" ht="31.5" customHeight="1" spans="1:19" x14ac:dyDescent="0.25">
      <c r="A11" s="5" t="s">
        <v>381</v>
      </c>
      <c r="B11" s="6" t="s">
        <v>382</v>
      </c>
      <c r="C11" s="6"/>
      <c r="D11" s="5" t="s">
        <v>29</v>
      </c>
      <c r="E11" s="5" t="s">
        <v>11</v>
      </c>
      <c r="F11" s="5" t="s">
        <v>11</v>
      </c>
      <c r="G11" s="5" t="s">
        <v>11</v>
      </c>
      <c r="H11" s="7">
        <v>2</v>
      </c>
      <c r="I11" s="8">
        <v>100000</v>
      </c>
      <c r="J11" s="8"/>
      <c r="K11" s="8">
        <v>0</v>
      </c>
      <c r="L11" s="8">
        <v>0</v>
      </c>
      <c r="M11" s="8"/>
      <c r="N11" s="8">
        <f>I11-L11</f>
        <v>100000</v>
      </c>
      <c r="O11" s="8">
        <v>0</v>
      </c>
      <c r="P11" s="8">
        <v>0</v>
      </c>
      <c r="Q11" s="8"/>
      <c r="R11" s="8">
        <v>0</v>
      </c>
      <c r="S11" s="8">
        <v>0</v>
      </c>
    </row>
    <row r="12" ht="31.5" customHeight="1" spans="1:19" x14ac:dyDescent="0.25">
      <c r="A12" s="5" t="s">
        <v>383</v>
      </c>
      <c r="B12" s="6" t="s">
        <v>384</v>
      </c>
      <c r="C12" s="6"/>
      <c r="D12" s="5" t="s">
        <v>29</v>
      </c>
      <c r="E12" s="5" t="s">
        <v>11</v>
      </c>
      <c r="F12" s="5" t="s">
        <v>11</v>
      </c>
      <c r="G12" s="5" t="s">
        <v>11</v>
      </c>
      <c r="H12" s="7">
        <v>1</v>
      </c>
      <c r="I12" s="8">
        <v>50000</v>
      </c>
      <c r="J12" s="8"/>
      <c r="K12" s="8">
        <v>0</v>
      </c>
      <c r="L12" s="8">
        <v>0</v>
      </c>
      <c r="M12" s="8"/>
      <c r="N12" s="8">
        <f>I12-L12</f>
        <v>50000</v>
      </c>
      <c r="O12" s="8">
        <v>0</v>
      </c>
      <c r="P12" s="8">
        <v>0</v>
      </c>
      <c r="Q12" s="8"/>
      <c r="R12" s="8">
        <v>0</v>
      </c>
      <c r="S12" s="8">
        <v>0</v>
      </c>
    </row>
    <row r="13" ht="31.5" customHeight="1" spans="1:19" x14ac:dyDescent="0.25">
      <c r="A13" s="5" t="s">
        <v>385</v>
      </c>
      <c r="B13" s="6" t="s">
        <v>386</v>
      </c>
      <c r="C13" s="6"/>
      <c r="D13" s="5" t="s">
        <v>29</v>
      </c>
      <c r="E13" s="5" t="s">
        <v>11</v>
      </c>
      <c r="F13" s="5" t="s">
        <v>11</v>
      </c>
      <c r="G13" s="5" t="s">
        <v>11</v>
      </c>
      <c r="H13" s="7">
        <v>1</v>
      </c>
      <c r="I13" s="8">
        <v>50000</v>
      </c>
      <c r="J13" s="8"/>
      <c r="K13" s="8">
        <v>0</v>
      </c>
      <c r="L13" s="8">
        <v>0</v>
      </c>
      <c r="M13" s="8"/>
      <c r="N13" s="8">
        <f>I13-L13</f>
        <v>50000</v>
      </c>
      <c r="O13" s="8">
        <v>0</v>
      </c>
      <c r="P13" s="8">
        <v>0</v>
      </c>
      <c r="Q13" s="8"/>
      <c r="R13" s="8">
        <v>0</v>
      </c>
      <c r="S13" s="8">
        <v>0</v>
      </c>
    </row>
    <row r="14" ht="31.5" customHeight="1" spans="1:19" x14ac:dyDescent="0.25">
      <c r="A14" s="5" t="s">
        <v>387</v>
      </c>
      <c r="B14" s="6" t="s">
        <v>388</v>
      </c>
      <c r="C14" s="6"/>
      <c r="D14" s="5" t="s">
        <v>29</v>
      </c>
      <c r="E14" s="5" t="s">
        <v>11</v>
      </c>
      <c r="F14" s="5" t="s">
        <v>11</v>
      </c>
      <c r="G14" s="5" t="s">
        <v>11</v>
      </c>
      <c r="H14" s="7">
        <v>1</v>
      </c>
      <c r="I14" s="8">
        <v>30000</v>
      </c>
      <c r="J14" s="8"/>
      <c r="K14" s="8">
        <v>0</v>
      </c>
      <c r="L14" s="8">
        <v>0</v>
      </c>
      <c r="M14" s="8"/>
      <c r="N14" s="8">
        <f>I14-L14</f>
        <v>30000</v>
      </c>
      <c r="O14" s="8">
        <v>0</v>
      </c>
      <c r="P14" s="8">
        <v>0</v>
      </c>
      <c r="Q14" s="8"/>
      <c r="R14" s="8">
        <v>0</v>
      </c>
      <c r="S14" s="8">
        <v>0</v>
      </c>
    </row>
    <row r="15" ht="31.5" customHeight="1" spans="1:19" x14ac:dyDescent="0.25">
      <c r="A15" s="5" t="s">
        <v>389</v>
      </c>
      <c r="B15" s="6" t="s">
        <v>390</v>
      </c>
      <c r="C15" s="6"/>
      <c r="D15" s="5" t="s">
        <v>29</v>
      </c>
      <c r="E15" s="5" t="s">
        <v>11</v>
      </c>
      <c r="F15" s="5" t="s">
        <v>11</v>
      </c>
      <c r="G15" s="5" t="s">
        <v>11</v>
      </c>
      <c r="H15" s="7">
        <v>1</v>
      </c>
      <c r="I15" s="8">
        <v>30000</v>
      </c>
      <c r="J15" s="8"/>
      <c r="K15" s="8">
        <v>0</v>
      </c>
      <c r="L15" s="8">
        <v>0</v>
      </c>
      <c r="M15" s="8"/>
      <c r="N15" s="8">
        <f>I15-L15</f>
        <v>30000</v>
      </c>
      <c r="O15" s="8">
        <v>0</v>
      </c>
      <c r="P15" s="8">
        <v>0</v>
      </c>
      <c r="Q15" s="8"/>
      <c r="R15" s="8">
        <v>0</v>
      </c>
      <c r="S15" s="8">
        <v>0</v>
      </c>
    </row>
    <row r="16" ht="31.5" customHeight="1" spans="1:19" x14ac:dyDescent="0.25">
      <c r="A16" s="5" t="s">
        <v>391</v>
      </c>
      <c r="B16" s="6" t="s">
        <v>392</v>
      </c>
      <c r="C16" s="6"/>
      <c r="D16" s="5" t="s">
        <v>29</v>
      </c>
      <c r="E16" s="5" t="s">
        <v>11</v>
      </c>
      <c r="F16" s="5" t="s">
        <v>11</v>
      </c>
      <c r="G16" s="5" t="s">
        <v>11</v>
      </c>
      <c r="H16" s="7">
        <v>3</v>
      </c>
      <c r="I16" s="8">
        <v>90000</v>
      </c>
      <c r="J16" s="8"/>
      <c r="K16" s="8">
        <v>0</v>
      </c>
      <c r="L16" s="8">
        <v>0</v>
      </c>
      <c r="M16" s="8"/>
      <c r="N16" s="8">
        <f>I16-L16</f>
        <v>90000</v>
      </c>
      <c r="O16" s="8">
        <v>0</v>
      </c>
      <c r="P16" s="8">
        <v>0</v>
      </c>
      <c r="Q16" s="8"/>
      <c r="R16" s="8">
        <v>0</v>
      </c>
      <c r="S16" s="8">
        <v>0</v>
      </c>
    </row>
    <row r="17" ht="31.5" customHeight="1" spans="1:19" x14ac:dyDescent="0.25">
      <c r="A17" s="5" t="s">
        <v>393</v>
      </c>
      <c r="B17" s="6" t="s">
        <v>394</v>
      </c>
      <c r="C17" s="6"/>
      <c r="D17" s="5" t="s">
        <v>29</v>
      </c>
      <c r="E17" s="5" t="s">
        <v>11</v>
      </c>
      <c r="F17" s="5" t="s">
        <v>11</v>
      </c>
      <c r="G17" s="5" t="s">
        <v>11</v>
      </c>
      <c r="H17" s="7">
        <v>2</v>
      </c>
      <c r="I17" s="8">
        <v>50000</v>
      </c>
      <c r="J17" s="8"/>
      <c r="K17" s="8">
        <v>0</v>
      </c>
      <c r="L17" s="8">
        <v>0</v>
      </c>
      <c r="M17" s="8"/>
      <c r="N17" s="8">
        <f>I17-L17</f>
        <v>50000</v>
      </c>
      <c r="O17" s="8">
        <v>0</v>
      </c>
      <c r="P17" s="8">
        <v>0</v>
      </c>
      <c r="Q17" s="8"/>
      <c r="R17" s="8">
        <v>0</v>
      </c>
      <c r="S17" s="8">
        <v>0</v>
      </c>
    </row>
    <row r="18" ht="31.5" customHeight="1" spans="1:19" x14ac:dyDescent="0.25">
      <c r="A18" s="5" t="s">
        <v>395</v>
      </c>
      <c r="B18" s="6" t="s">
        <v>396</v>
      </c>
      <c r="C18" s="6"/>
      <c r="D18" s="5" t="s">
        <v>29</v>
      </c>
      <c r="E18" s="5" t="s">
        <v>11</v>
      </c>
      <c r="F18" s="5" t="s">
        <v>11</v>
      </c>
      <c r="G18" s="5" t="s">
        <v>11</v>
      </c>
      <c r="H18" s="7">
        <v>2</v>
      </c>
      <c r="I18" s="8">
        <v>37000</v>
      </c>
      <c r="J18" s="8"/>
      <c r="K18" s="8">
        <v>0</v>
      </c>
      <c r="L18" s="8">
        <v>6250</v>
      </c>
      <c r="M18" s="8"/>
      <c r="N18" s="8">
        <f>I18-L18</f>
        <v>30750</v>
      </c>
      <c r="O18" s="8">
        <v>0</v>
      </c>
      <c r="P18" s="8">
        <v>0</v>
      </c>
      <c r="Q18" s="8"/>
      <c r="R18" s="8">
        <v>0</v>
      </c>
      <c r="S18" s="8">
        <v>0</v>
      </c>
    </row>
    <row r="19" ht="31.5" customHeight="1" spans="1:19" x14ac:dyDescent="0.25">
      <c r="A19" s="5" t="s">
        <v>397</v>
      </c>
      <c r="B19" s="6" t="s">
        <v>398</v>
      </c>
      <c r="C19" s="6"/>
      <c r="D19" s="5" t="s">
        <v>29</v>
      </c>
      <c r="E19" s="5" t="s">
        <v>11</v>
      </c>
      <c r="F19" s="5" t="s">
        <v>11</v>
      </c>
      <c r="G19" s="5" t="s">
        <v>11</v>
      </c>
      <c r="H19" s="7">
        <v>1</v>
      </c>
      <c r="I19" s="8">
        <v>15000</v>
      </c>
      <c r="J19" s="8"/>
      <c r="K19" s="8">
        <v>0</v>
      </c>
      <c r="L19" s="8">
        <v>4527.77</v>
      </c>
      <c r="M19" s="8"/>
      <c r="N19" s="8">
        <f>I19-L19</f>
        <v>10472.23</v>
      </c>
      <c r="O19" s="8">
        <v>0</v>
      </c>
      <c r="P19" s="8">
        <v>0</v>
      </c>
      <c r="Q19" s="8"/>
      <c r="R19" s="8">
        <v>0</v>
      </c>
      <c r="S19" s="8">
        <v>0</v>
      </c>
    </row>
    <row r="20" ht="31.5" customHeight="1" spans="1:19" x14ac:dyDescent="0.25">
      <c r="A20" s="5" t="s">
        <v>399</v>
      </c>
      <c r="B20" s="6" t="s">
        <v>400</v>
      </c>
      <c r="C20" s="6"/>
      <c r="D20" s="5" t="s">
        <v>29</v>
      </c>
      <c r="E20" s="5" t="s">
        <v>11</v>
      </c>
      <c r="F20" s="5" t="s">
        <v>11</v>
      </c>
      <c r="G20" s="5" t="s">
        <v>11</v>
      </c>
      <c r="H20" s="7">
        <v>1</v>
      </c>
      <c r="I20" s="8">
        <v>15000</v>
      </c>
      <c r="J20" s="8"/>
      <c r="K20" s="8">
        <v>0</v>
      </c>
      <c r="L20" s="8">
        <v>4527.77</v>
      </c>
      <c r="M20" s="8"/>
      <c r="N20" s="8">
        <f>I20-L20</f>
        <v>10472.23</v>
      </c>
      <c r="O20" s="8">
        <v>0</v>
      </c>
      <c r="P20" s="8">
        <v>0</v>
      </c>
      <c r="Q20" s="8"/>
      <c r="R20" s="8">
        <v>0</v>
      </c>
      <c r="S20" s="8">
        <v>0</v>
      </c>
    </row>
    <row r="21" ht="31.5" customHeight="1" spans="1:19" x14ac:dyDescent="0.25">
      <c r="A21" s="5" t="s">
        <v>401</v>
      </c>
      <c r="B21" s="6" t="s">
        <v>402</v>
      </c>
      <c r="C21" s="6"/>
      <c r="D21" s="5" t="s">
        <v>29</v>
      </c>
      <c r="E21" s="5" t="s">
        <v>11</v>
      </c>
      <c r="F21" s="5" t="s">
        <v>11</v>
      </c>
      <c r="G21" s="5" t="s">
        <v>11</v>
      </c>
      <c r="H21" s="7">
        <v>2</v>
      </c>
      <c r="I21" s="8">
        <v>50000</v>
      </c>
      <c r="J21" s="8"/>
      <c r="K21" s="8">
        <v>0</v>
      </c>
      <c r="L21" s="8">
        <v>0</v>
      </c>
      <c r="M21" s="8"/>
      <c r="N21" s="8">
        <f>I21-L21</f>
        <v>50000</v>
      </c>
      <c r="O21" s="8">
        <v>0</v>
      </c>
      <c r="P21" s="8">
        <v>0</v>
      </c>
      <c r="Q21" s="8"/>
      <c r="R21" s="8">
        <v>0</v>
      </c>
      <c r="S21" s="8">
        <v>0</v>
      </c>
    </row>
    <row r="22" ht="31.5" customHeight="1" spans="1:19" x14ac:dyDescent="0.25">
      <c r="A22" s="5" t="s">
        <v>403</v>
      </c>
      <c r="B22" s="6" t="s">
        <v>404</v>
      </c>
      <c r="C22" s="6"/>
      <c r="D22" s="5" t="s">
        <v>29</v>
      </c>
      <c r="E22" s="5" t="s">
        <v>11</v>
      </c>
      <c r="F22" s="5" t="s">
        <v>11</v>
      </c>
      <c r="G22" s="5" t="s">
        <v>11</v>
      </c>
      <c r="H22" s="7">
        <v>1</v>
      </c>
      <c r="I22" s="8">
        <v>30000</v>
      </c>
      <c r="J22" s="8"/>
      <c r="K22" s="8">
        <v>0</v>
      </c>
      <c r="L22" s="8">
        <v>0</v>
      </c>
      <c r="M22" s="8"/>
      <c r="N22" s="8">
        <f>I22-L22</f>
        <v>30000</v>
      </c>
      <c r="O22" s="8">
        <v>0</v>
      </c>
      <c r="P22" s="8">
        <v>0</v>
      </c>
      <c r="Q22" s="8"/>
      <c r="R22" s="8">
        <v>0</v>
      </c>
      <c r="S22" s="8">
        <v>0</v>
      </c>
    </row>
    <row r="23" ht="31.5" customHeight="1" spans="1:19" x14ac:dyDescent="0.25">
      <c r="A23" s="5" t="s">
        <v>405</v>
      </c>
      <c r="B23" s="6" t="s">
        <v>406</v>
      </c>
      <c r="C23" s="6"/>
      <c r="D23" s="5" t="s">
        <v>29</v>
      </c>
      <c r="E23" s="5" t="s">
        <v>11</v>
      </c>
      <c r="F23" s="5" t="s">
        <v>11</v>
      </c>
      <c r="G23" s="5" t="s">
        <v>11</v>
      </c>
      <c r="H23" s="7">
        <v>2</v>
      </c>
      <c r="I23" s="8">
        <v>53000</v>
      </c>
      <c r="J23" s="8"/>
      <c r="K23" s="8">
        <v>0</v>
      </c>
      <c r="L23" s="8">
        <v>0</v>
      </c>
      <c r="M23" s="8"/>
      <c r="N23" s="8">
        <f>I23-L23</f>
        <v>53000</v>
      </c>
      <c r="O23" s="8">
        <v>0</v>
      </c>
      <c r="P23" s="8">
        <v>0</v>
      </c>
      <c r="Q23" s="8"/>
      <c r="R23" s="8">
        <v>0</v>
      </c>
      <c r="S23" s="8">
        <v>0</v>
      </c>
    </row>
    <row r="24" ht="31.5" customHeight="1" spans="1:19" x14ac:dyDescent="0.25">
      <c r="A24" s="5" t="s">
        <v>407</v>
      </c>
      <c r="B24" s="6" t="s">
        <v>408</v>
      </c>
      <c r="C24" s="6"/>
      <c r="D24" s="5" t="s">
        <v>29</v>
      </c>
      <c r="E24" s="5" t="s">
        <v>11</v>
      </c>
      <c r="F24" s="5" t="s">
        <v>11</v>
      </c>
      <c r="G24" s="5" t="s">
        <v>11</v>
      </c>
      <c r="H24" s="7">
        <v>1</v>
      </c>
      <c r="I24" s="8">
        <v>15000</v>
      </c>
      <c r="J24" s="8"/>
      <c r="K24" s="8">
        <v>0</v>
      </c>
      <c r="L24" s="8">
        <v>4527.77</v>
      </c>
      <c r="M24" s="8"/>
      <c r="N24" s="8">
        <f>I24-L24</f>
        <v>10472.23</v>
      </c>
      <c r="O24" s="8">
        <v>0</v>
      </c>
      <c r="P24" s="8">
        <v>0</v>
      </c>
      <c r="Q24" s="8"/>
      <c r="R24" s="8">
        <v>0</v>
      </c>
      <c r="S24" s="8">
        <v>0</v>
      </c>
    </row>
    <row r="25" ht="31.5" customHeight="1" spans="1:19" x14ac:dyDescent="0.25">
      <c r="A25" s="5" t="s">
        <v>409</v>
      </c>
      <c r="B25" s="6" t="s">
        <v>410</v>
      </c>
      <c r="C25" s="6"/>
      <c r="D25" s="5" t="s">
        <v>29</v>
      </c>
      <c r="E25" s="5" t="s">
        <v>11</v>
      </c>
      <c r="F25" s="5" t="s">
        <v>11</v>
      </c>
      <c r="G25" s="5" t="s">
        <v>11</v>
      </c>
      <c r="H25" s="7">
        <v>1</v>
      </c>
      <c r="I25" s="8">
        <v>25000</v>
      </c>
      <c r="J25" s="8"/>
      <c r="K25" s="8">
        <v>0</v>
      </c>
      <c r="L25" s="8">
        <v>0</v>
      </c>
      <c r="M25" s="8"/>
      <c r="N25" s="8">
        <f>I25-L25</f>
        <v>25000</v>
      </c>
      <c r="O25" s="8">
        <v>0</v>
      </c>
      <c r="P25" s="8">
        <v>0</v>
      </c>
      <c r="Q25" s="8"/>
      <c r="R25" s="8">
        <v>0</v>
      </c>
      <c r="S25" s="8">
        <v>0</v>
      </c>
    </row>
    <row r="26" ht="31.5" customHeight="1" spans="1:19" x14ac:dyDescent="0.25">
      <c r="A26" s="5" t="s">
        <v>411</v>
      </c>
      <c r="B26" s="6" t="s">
        <v>412</v>
      </c>
      <c r="C26" s="6"/>
      <c r="D26" s="5" t="s">
        <v>29</v>
      </c>
      <c r="E26" s="5" t="s">
        <v>11</v>
      </c>
      <c r="F26" s="5" t="s">
        <v>11</v>
      </c>
      <c r="G26" s="5" t="s">
        <v>11</v>
      </c>
      <c r="H26" s="7">
        <v>1</v>
      </c>
      <c r="I26" s="8">
        <v>15000</v>
      </c>
      <c r="J26" s="8"/>
      <c r="K26" s="8">
        <v>0</v>
      </c>
      <c r="L26" s="8">
        <v>4527.77</v>
      </c>
      <c r="M26" s="8"/>
      <c r="N26" s="8">
        <f>I26-L26</f>
        <v>10472.23</v>
      </c>
      <c r="O26" s="8">
        <v>0</v>
      </c>
      <c r="P26" s="8">
        <v>0</v>
      </c>
      <c r="Q26" s="8"/>
      <c r="R26" s="8">
        <v>0</v>
      </c>
      <c r="S26" s="8">
        <v>0</v>
      </c>
    </row>
    <row r="27" ht="31.5" customHeight="1" spans="1:19" x14ac:dyDescent="0.25">
      <c r="A27" s="5" t="s">
        <v>413</v>
      </c>
      <c r="B27" s="6" t="s">
        <v>414</v>
      </c>
      <c r="C27" s="6"/>
      <c r="D27" s="5" t="s">
        <v>29</v>
      </c>
      <c r="E27" s="5" t="s">
        <v>11</v>
      </c>
      <c r="F27" s="5" t="s">
        <v>11</v>
      </c>
      <c r="G27" s="5" t="s">
        <v>11</v>
      </c>
      <c r="H27" s="7">
        <v>3</v>
      </c>
      <c r="I27" s="8">
        <v>75000</v>
      </c>
      <c r="J27" s="8"/>
      <c r="K27" s="8">
        <v>0</v>
      </c>
      <c r="L27" s="8">
        <v>4527.77</v>
      </c>
      <c r="M27" s="8"/>
      <c r="N27" s="8">
        <f>I27-L27</f>
        <v>70472.23</v>
      </c>
      <c r="O27" s="8">
        <v>0</v>
      </c>
      <c r="P27" s="8">
        <v>0</v>
      </c>
      <c r="Q27" s="8"/>
      <c r="R27" s="8">
        <v>0</v>
      </c>
      <c r="S27" s="8">
        <v>0</v>
      </c>
    </row>
    <row r="28" ht="31.5" customHeight="1" spans="1:19" x14ac:dyDescent="0.25">
      <c r="A28" s="5" t="s">
        <v>415</v>
      </c>
      <c r="B28" s="6" t="s">
        <v>416</v>
      </c>
      <c r="C28" s="6"/>
      <c r="D28" s="5" t="s">
        <v>29</v>
      </c>
      <c r="E28" s="5" t="s">
        <v>11</v>
      </c>
      <c r="F28" s="5" t="s">
        <v>11</v>
      </c>
      <c r="G28" s="5" t="s">
        <v>11</v>
      </c>
      <c r="H28" s="7">
        <v>2</v>
      </c>
      <c r="I28" s="8">
        <v>50000</v>
      </c>
      <c r="J28" s="8"/>
      <c r="K28" s="8">
        <v>0</v>
      </c>
      <c r="L28" s="8">
        <v>0</v>
      </c>
      <c r="M28" s="8"/>
      <c r="N28" s="8">
        <f>I28-L28</f>
        <v>50000</v>
      </c>
      <c r="O28" s="8">
        <v>0</v>
      </c>
      <c r="P28" s="8">
        <v>0</v>
      </c>
      <c r="Q28" s="8"/>
      <c r="R28" s="8">
        <v>0</v>
      </c>
      <c r="S28" s="8">
        <v>0</v>
      </c>
    </row>
    <row r="29" ht="31.5" customHeight="1" spans="1:19" x14ac:dyDescent="0.25">
      <c r="A29" s="5" t="s">
        <v>417</v>
      </c>
      <c r="B29" s="6" t="s">
        <v>418</v>
      </c>
      <c r="C29" s="6"/>
      <c r="D29" s="5" t="s">
        <v>29</v>
      </c>
      <c r="E29" s="5" t="s">
        <v>11</v>
      </c>
      <c r="F29" s="5" t="s">
        <v>11</v>
      </c>
      <c r="G29" s="5" t="s">
        <v>11</v>
      </c>
      <c r="H29" s="7">
        <v>1</v>
      </c>
      <c r="I29" s="8">
        <v>15000</v>
      </c>
      <c r="J29" s="8"/>
      <c r="K29" s="8">
        <v>0</v>
      </c>
      <c r="L29" s="8">
        <v>4527.77</v>
      </c>
      <c r="M29" s="8"/>
      <c r="N29" s="8">
        <f>I29-L29</f>
        <v>10472.23</v>
      </c>
      <c r="O29" s="8">
        <v>0</v>
      </c>
      <c r="P29" s="8">
        <v>0</v>
      </c>
      <c r="Q29" s="8"/>
      <c r="R29" s="8">
        <v>0</v>
      </c>
      <c r="S29" s="8">
        <v>0</v>
      </c>
    </row>
    <row r="30" ht="31.5" customHeight="1" spans="1:19" x14ac:dyDescent="0.25">
      <c r="A30" s="5" t="s">
        <v>419</v>
      </c>
      <c r="B30" s="6" t="s">
        <v>420</v>
      </c>
      <c r="C30" s="6"/>
      <c r="D30" s="5" t="s">
        <v>29</v>
      </c>
      <c r="E30" s="5" t="s">
        <v>11</v>
      </c>
      <c r="F30" s="5" t="s">
        <v>11</v>
      </c>
      <c r="G30" s="5" t="s">
        <v>11</v>
      </c>
      <c r="H30" s="7">
        <v>4</v>
      </c>
      <c r="I30" s="8">
        <v>93000</v>
      </c>
      <c r="J30" s="8"/>
      <c r="K30" s="8">
        <v>0</v>
      </c>
      <c r="L30" s="8">
        <v>4527.77</v>
      </c>
      <c r="M30" s="8"/>
      <c r="N30" s="8">
        <f>I30-L30</f>
        <v>88472.23</v>
      </c>
      <c r="O30" s="8">
        <v>0</v>
      </c>
      <c r="P30" s="8">
        <v>0</v>
      </c>
      <c r="Q30" s="8"/>
      <c r="R30" s="8">
        <v>0</v>
      </c>
      <c r="S30" s="8">
        <v>0</v>
      </c>
    </row>
    <row r="31" ht="31.5" customHeight="1" spans="1:19" x14ac:dyDescent="0.25">
      <c r="A31" s="5" t="s">
        <v>421</v>
      </c>
      <c r="B31" s="6" t="s">
        <v>422</v>
      </c>
      <c r="C31" s="6"/>
      <c r="D31" s="5" t="s">
        <v>29</v>
      </c>
      <c r="E31" s="5" t="s">
        <v>11</v>
      </c>
      <c r="F31" s="5" t="s">
        <v>11</v>
      </c>
      <c r="G31" s="5" t="s">
        <v>11</v>
      </c>
      <c r="H31" s="7">
        <v>1</v>
      </c>
      <c r="I31" s="8">
        <v>28000</v>
      </c>
      <c r="J31" s="8"/>
      <c r="K31" s="8">
        <v>0</v>
      </c>
      <c r="L31" s="8">
        <v>0</v>
      </c>
      <c r="M31" s="8"/>
      <c r="N31" s="8">
        <f>I31-L31</f>
        <v>28000</v>
      </c>
      <c r="O31" s="8">
        <v>0</v>
      </c>
      <c r="P31" s="8">
        <v>0</v>
      </c>
      <c r="Q31" s="8"/>
      <c r="R31" s="8">
        <v>0</v>
      </c>
      <c r="S31" s="8">
        <v>0</v>
      </c>
    </row>
    <row r="32" ht="31.5" customHeight="1" spans="1:19" x14ac:dyDescent="0.25">
      <c r="A32" s="5" t="s">
        <v>423</v>
      </c>
      <c r="B32" s="6" t="s">
        <v>424</v>
      </c>
      <c r="C32" s="6"/>
      <c r="D32" s="5" t="s">
        <v>29</v>
      </c>
      <c r="E32" s="5" t="s">
        <v>11</v>
      </c>
      <c r="F32" s="5" t="s">
        <v>11</v>
      </c>
      <c r="G32" s="5" t="s">
        <v>11</v>
      </c>
      <c r="H32" s="7">
        <v>4</v>
      </c>
      <c r="I32" s="8">
        <v>240000</v>
      </c>
      <c r="J32" s="8"/>
      <c r="K32" s="8">
        <v>0</v>
      </c>
      <c r="L32" s="8">
        <v>58472.73</v>
      </c>
      <c r="M32" s="8"/>
      <c r="N32" s="8">
        <f>I32-L32</f>
        <v>181527.27</v>
      </c>
      <c r="O32" s="8">
        <v>0</v>
      </c>
      <c r="P32" s="8">
        <v>0</v>
      </c>
      <c r="Q32" s="8"/>
      <c r="R32" s="8">
        <v>0</v>
      </c>
      <c r="S32" s="8">
        <v>0</v>
      </c>
    </row>
    <row r="33" ht="31.5" customHeight="1" spans="1:19" x14ac:dyDescent="0.25">
      <c r="A33" s="5" t="s">
        <v>425</v>
      </c>
      <c r="B33" s="6" t="s">
        <v>426</v>
      </c>
      <c r="C33" s="6"/>
      <c r="D33" s="5" t="s">
        <v>29</v>
      </c>
      <c r="E33" s="5" t="s">
        <v>11</v>
      </c>
      <c r="F33" s="5" t="s">
        <v>11</v>
      </c>
      <c r="G33" s="5" t="s">
        <v>11</v>
      </c>
      <c r="H33" s="7">
        <v>1</v>
      </c>
      <c r="I33" s="8">
        <v>30000</v>
      </c>
      <c r="J33" s="8"/>
      <c r="K33" s="8">
        <v>0</v>
      </c>
      <c r="L33" s="8">
        <v>0</v>
      </c>
      <c r="M33" s="8"/>
      <c r="N33" s="8">
        <f>I33-L33</f>
        <v>30000</v>
      </c>
      <c r="O33" s="8">
        <v>0</v>
      </c>
      <c r="P33" s="8">
        <v>0</v>
      </c>
      <c r="Q33" s="8"/>
      <c r="R33" s="8">
        <v>0</v>
      </c>
      <c r="S33" s="8">
        <v>0</v>
      </c>
    </row>
    <row r="34" ht="31.5" customHeight="1" spans="1:19" x14ac:dyDescent="0.25">
      <c r="A34" s="5" t="s">
        <v>427</v>
      </c>
      <c r="B34" s="6" t="s">
        <v>428</v>
      </c>
      <c r="C34" s="6"/>
      <c r="D34" s="5" t="s">
        <v>29</v>
      </c>
      <c r="E34" s="5" t="s">
        <v>11</v>
      </c>
      <c r="F34" s="5" t="s">
        <v>11</v>
      </c>
      <c r="G34" s="5" t="s">
        <v>11</v>
      </c>
      <c r="H34" s="7">
        <v>3</v>
      </c>
      <c r="I34" s="8">
        <v>75000</v>
      </c>
      <c r="J34" s="8"/>
      <c r="K34" s="8">
        <v>0</v>
      </c>
      <c r="L34" s="8">
        <v>4527.77</v>
      </c>
      <c r="M34" s="8"/>
      <c r="N34" s="8">
        <f>I34-L34</f>
        <v>70472.23</v>
      </c>
      <c r="O34" s="8">
        <v>0</v>
      </c>
      <c r="P34" s="8">
        <v>0</v>
      </c>
      <c r="Q34" s="8"/>
      <c r="R34" s="8">
        <v>0</v>
      </c>
      <c r="S34" s="8">
        <v>0</v>
      </c>
    </row>
    <row r="35" ht="31.5" customHeight="1" spans="1:19" x14ac:dyDescent="0.25">
      <c r="A35" s="5" t="s">
        <v>429</v>
      </c>
      <c r="B35" s="6" t="s">
        <v>430</v>
      </c>
      <c r="C35" s="6"/>
      <c r="D35" s="5" t="s">
        <v>29</v>
      </c>
      <c r="E35" s="5" t="s">
        <v>11</v>
      </c>
      <c r="F35" s="5" t="s">
        <v>11</v>
      </c>
      <c r="G35" s="5" t="s">
        <v>11</v>
      </c>
      <c r="H35" s="7">
        <v>1</v>
      </c>
      <c r="I35" s="8">
        <v>50000</v>
      </c>
      <c r="J35" s="8"/>
      <c r="K35" s="8">
        <v>0</v>
      </c>
      <c r="L35" s="8">
        <v>0</v>
      </c>
      <c r="M35" s="8"/>
      <c r="N35" s="8">
        <f>I35-L35</f>
        <v>50000</v>
      </c>
      <c r="O35" s="8">
        <v>0</v>
      </c>
      <c r="P35" s="8">
        <v>0</v>
      </c>
      <c r="Q35" s="8"/>
      <c r="R35" s="8">
        <v>0</v>
      </c>
      <c r="S35" s="8">
        <v>0</v>
      </c>
    </row>
    <row r="36" ht="31.5" customHeight="1" spans="1:19" x14ac:dyDescent="0.25">
      <c r="A36" s="5" t="s">
        <v>431</v>
      </c>
      <c r="B36" s="6" t="s">
        <v>432</v>
      </c>
      <c r="C36" s="6"/>
      <c r="D36" s="5" t="s">
        <v>29</v>
      </c>
      <c r="E36" s="5" t="s">
        <v>11</v>
      </c>
      <c r="F36" s="5" t="s">
        <v>11</v>
      </c>
      <c r="G36" s="5" t="s">
        <v>11</v>
      </c>
      <c r="H36" s="7">
        <v>1</v>
      </c>
      <c r="I36" s="8">
        <v>35000</v>
      </c>
      <c r="J36" s="8"/>
      <c r="K36" s="8">
        <v>0</v>
      </c>
      <c r="L36" s="8">
        <v>0</v>
      </c>
      <c r="M36" s="8"/>
      <c r="N36" s="8">
        <f>I36-L36</f>
        <v>35000</v>
      </c>
      <c r="O36" s="8">
        <v>0</v>
      </c>
      <c r="P36" s="8">
        <v>0</v>
      </c>
      <c r="Q36" s="8"/>
      <c r="R36" s="8">
        <v>0</v>
      </c>
      <c r="S36" s="8">
        <v>0</v>
      </c>
    </row>
    <row r="37" ht="31.5" customHeight="1" spans="1:19" x14ac:dyDescent="0.25">
      <c r="A37" s="5" t="s">
        <v>433</v>
      </c>
      <c r="B37" s="6" t="s">
        <v>434</v>
      </c>
      <c r="C37" s="6"/>
      <c r="D37" s="5" t="s">
        <v>29</v>
      </c>
      <c r="E37" s="5" t="s">
        <v>11</v>
      </c>
      <c r="F37" s="5" t="s">
        <v>11</v>
      </c>
      <c r="G37" s="5" t="s">
        <v>11</v>
      </c>
      <c r="H37" s="7">
        <v>1</v>
      </c>
      <c r="I37" s="8">
        <v>28000</v>
      </c>
      <c r="J37" s="8"/>
      <c r="K37" s="8">
        <v>0</v>
      </c>
      <c r="L37" s="8">
        <v>0</v>
      </c>
      <c r="M37" s="8"/>
      <c r="N37" s="8">
        <f>I37-L37</f>
        <v>28000</v>
      </c>
      <c r="O37" s="8">
        <v>0</v>
      </c>
      <c r="P37" s="8">
        <v>0</v>
      </c>
      <c r="Q37" s="8"/>
      <c r="R37" s="8">
        <v>0</v>
      </c>
      <c r="S37" s="8">
        <v>0</v>
      </c>
    </row>
    <row r="38" ht="31.5" customHeight="1" spans="1:19" x14ac:dyDescent="0.25">
      <c r="A38" s="5" t="s">
        <v>435</v>
      </c>
      <c r="B38" s="6" t="s">
        <v>436</v>
      </c>
      <c r="C38" s="6"/>
      <c r="D38" s="5" t="s">
        <v>29</v>
      </c>
      <c r="E38" s="5" t="s">
        <v>11</v>
      </c>
      <c r="F38" s="5" t="s">
        <v>11</v>
      </c>
      <c r="G38" s="5" t="s">
        <v>11</v>
      </c>
      <c r="H38" s="7">
        <v>1</v>
      </c>
      <c r="I38" s="8">
        <v>12000</v>
      </c>
      <c r="J38" s="8"/>
      <c r="K38" s="8">
        <v>0</v>
      </c>
      <c r="L38" s="8">
        <v>6250</v>
      </c>
      <c r="M38" s="8"/>
      <c r="N38" s="8">
        <f>I38-L38</f>
        <v>5750</v>
      </c>
      <c r="O38" s="8">
        <v>0</v>
      </c>
      <c r="P38" s="8">
        <v>0</v>
      </c>
      <c r="Q38" s="8"/>
      <c r="R38" s="8">
        <v>0</v>
      </c>
      <c r="S38" s="8">
        <v>0</v>
      </c>
    </row>
    <row r="39" ht="31.5" customHeight="1" spans="1:19" x14ac:dyDescent="0.25">
      <c r="A39" s="5" t="s">
        <v>437</v>
      </c>
      <c r="B39" s="6" t="s">
        <v>438</v>
      </c>
      <c r="C39" s="6"/>
      <c r="D39" s="5" t="s">
        <v>29</v>
      </c>
      <c r="E39" s="5" t="s">
        <v>11</v>
      </c>
      <c r="F39" s="5" t="s">
        <v>11</v>
      </c>
      <c r="G39" s="5" t="s">
        <v>11</v>
      </c>
      <c r="H39" s="7">
        <v>1</v>
      </c>
      <c r="I39" s="8">
        <v>15000</v>
      </c>
      <c r="J39" s="8"/>
      <c r="K39" s="8">
        <v>0</v>
      </c>
      <c r="L39" s="8">
        <v>4527.77</v>
      </c>
      <c r="M39" s="8"/>
      <c r="N39" s="8">
        <f>I39-L39</f>
        <v>10472.23</v>
      </c>
      <c r="O39" s="8">
        <v>0</v>
      </c>
      <c r="P39" s="8">
        <v>0</v>
      </c>
      <c r="Q39" s="8"/>
      <c r="R39" s="8">
        <v>0</v>
      </c>
      <c r="S39" s="8">
        <v>0</v>
      </c>
    </row>
    <row r="40" ht="31.5" customHeight="1" spans="1:19" x14ac:dyDescent="0.25">
      <c r="A40" s="5" t="s">
        <v>439</v>
      </c>
      <c r="B40" s="6" t="s">
        <v>440</v>
      </c>
      <c r="C40" s="6"/>
      <c r="D40" s="5" t="s">
        <v>29</v>
      </c>
      <c r="E40" s="5" t="s">
        <v>11</v>
      </c>
      <c r="F40" s="5" t="s">
        <v>11</v>
      </c>
      <c r="G40" s="5" t="s">
        <v>11</v>
      </c>
      <c r="H40" s="7">
        <v>1</v>
      </c>
      <c r="I40" s="8">
        <v>12000</v>
      </c>
      <c r="J40" s="8"/>
      <c r="K40" s="8">
        <v>0</v>
      </c>
      <c r="L40" s="8">
        <v>6250</v>
      </c>
      <c r="M40" s="8"/>
      <c r="N40" s="8">
        <f>I40-L40</f>
        <v>5750</v>
      </c>
      <c r="O40" s="8">
        <v>0</v>
      </c>
      <c r="P40" s="8">
        <v>0</v>
      </c>
      <c r="Q40" s="8"/>
      <c r="R40" s="8">
        <v>0</v>
      </c>
      <c r="S40" s="8">
        <v>0</v>
      </c>
    </row>
    <row r="41" ht="31.5" customHeight="1" spans="1:19" x14ac:dyDescent="0.25">
      <c r="A41" s="5" t="s">
        <v>441</v>
      </c>
      <c r="B41" s="6" t="s">
        <v>442</v>
      </c>
      <c r="C41" s="6"/>
      <c r="D41" s="5" t="s">
        <v>29</v>
      </c>
      <c r="E41" s="5" t="s">
        <v>11</v>
      </c>
      <c r="F41" s="5" t="s">
        <v>11</v>
      </c>
      <c r="G41" s="5" t="s">
        <v>11</v>
      </c>
      <c r="H41" s="7">
        <v>2</v>
      </c>
      <c r="I41" s="8">
        <v>22000</v>
      </c>
      <c r="J41" s="8"/>
      <c r="K41" s="8">
        <v>0</v>
      </c>
      <c r="L41" s="8">
        <v>8337.18</v>
      </c>
      <c r="M41" s="8"/>
      <c r="N41" s="8">
        <f>I41-L41</f>
        <v>13662.82</v>
      </c>
      <c r="O41" s="8">
        <v>0</v>
      </c>
      <c r="P41" s="8">
        <v>0</v>
      </c>
      <c r="Q41" s="8"/>
      <c r="R41" s="8">
        <v>0</v>
      </c>
      <c r="S41" s="8">
        <v>0</v>
      </c>
    </row>
    <row r="42" ht="31.5" customHeight="1" spans="1:19" x14ac:dyDescent="0.25">
      <c r="A42" s="5" t="s">
        <v>443</v>
      </c>
      <c r="B42" s="6" t="s">
        <v>444</v>
      </c>
      <c r="C42" s="6"/>
      <c r="D42" s="5" t="s">
        <v>29</v>
      </c>
      <c r="E42" s="5" t="s">
        <v>11</v>
      </c>
      <c r="F42" s="5" t="s">
        <v>11</v>
      </c>
      <c r="G42" s="5" t="s">
        <v>11</v>
      </c>
      <c r="H42" s="7">
        <v>1</v>
      </c>
      <c r="I42" s="8">
        <v>12000</v>
      </c>
      <c r="J42" s="8"/>
      <c r="K42" s="8">
        <v>0</v>
      </c>
      <c r="L42" s="8">
        <v>6250</v>
      </c>
      <c r="M42" s="8"/>
      <c r="N42" s="8">
        <f>I42-L42</f>
        <v>5750</v>
      </c>
      <c r="O42" s="8">
        <v>0</v>
      </c>
      <c r="P42" s="8">
        <v>0</v>
      </c>
      <c r="Q42" s="8"/>
      <c r="R42" s="8">
        <v>0</v>
      </c>
      <c r="S42" s="8">
        <v>0</v>
      </c>
    </row>
    <row r="43" ht="31.5" customHeight="1" spans="1:19" x14ac:dyDescent="0.25">
      <c r="A43" s="5" t="s">
        <v>445</v>
      </c>
      <c r="B43" s="6" t="s">
        <v>446</v>
      </c>
      <c r="C43" s="6"/>
      <c r="D43" s="5" t="s">
        <v>29</v>
      </c>
      <c r="E43" s="5" t="s">
        <v>11</v>
      </c>
      <c r="F43" s="5" t="s">
        <v>11</v>
      </c>
      <c r="G43" s="5" t="s">
        <v>11</v>
      </c>
      <c r="H43" s="7">
        <v>1</v>
      </c>
      <c r="I43" s="8">
        <v>12000</v>
      </c>
      <c r="J43" s="8"/>
      <c r="K43" s="8">
        <v>0</v>
      </c>
      <c r="L43" s="8">
        <v>6250</v>
      </c>
      <c r="M43" s="8"/>
      <c r="N43" s="8">
        <f>I43-L43</f>
        <v>5750</v>
      </c>
      <c r="O43" s="8">
        <v>0</v>
      </c>
      <c r="P43" s="8">
        <v>0</v>
      </c>
      <c r="Q43" s="8"/>
      <c r="R43" s="8">
        <v>0</v>
      </c>
      <c r="S43" s="8">
        <v>0</v>
      </c>
    </row>
    <row r="44" ht="31.5" customHeight="1" spans="1:19" x14ac:dyDescent="0.25">
      <c r="A44" s="5" t="s">
        <v>447</v>
      </c>
      <c r="B44" s="6" t="s">
        <v>448</v>
      </c>
      <c r="C44" s="6"/>
      <c r="D44" s="5" t="s">
        <v>29</v>
      </c>
      <c r="E44" s="5" t="s">
        <v>11</v>
      </c>
      <c r="F44" s="5" t="s">
        <v>11</v>
      </c>
      <c r="G44" s="5" t="s">
        <v>11</v>
      </c>
      <c r="H44" s="7">
        <v>1</v>
      </c>
      <c r="I44" s="8">
        <v>15000</v>
      </c>
      <c r="J44" s="8"/>
      <c r="K44" s="8">
        <v>0</v>
      </c>
      <c r="L44" s="8">
        <v>4527.77</v>
      </c>
      <c r="M44" s="8"/>
      <c r="N44" s="8">
        <f>I44-L44</f>
        <v>10472.23</v>
      </c>
      <c r="O44" s="8">
        <v>0</v>
      </c>
      <c r="P44" s="8">
        <v>0</v>
      </c>
      <c r="Q44" s="8"/>
      <c r="R44" s="8">
        <v>0</v>
      </c>
      <c r="S44" s="8">
        <v>0</v>
      </c>
    </row>
    <row r="45" ht="31.5" customHeight="1" spans="1:19" x14ac:dyDescent="0.25">
      <c r="A45" s="5" t="s">
        <v>449</v>
      </c>
      <c r="B45" s="6" t="s">
        <v>450</v>
      </c>
      <c r="C45" s="6"/>
      <c r="D45" s="5" t="s">
        <v>29</v>
      </c>
      <c r="E45" s="5" t="s">
        <v>11</v>
      </c>
      <c r="F45" s="5" t="s">
        <v>11</v>
      </c>
      <c r="G45" s="5" t="s">
        <v>11</v>
      </c>
      <c r="H45" s="7">
        <v>2</v>
      </c>
      <c r="I45" s="8">
        <v>22000</v>
      </c>
      <c r="J45" s="8"/>
      <c r="K45" s="8">
        <v>0</v>
      </c>
      <c r="L45" s="8">
        <v>8337.18</v>
      </c>
      <c r="M45" s="8"/>
      <c r="N45" s="8">
        <f>I45-L45</f>
        <v>13662.82</v>
      </c>
      <c r="O45" s="8">
        <v>0</v>
      </c>
      <c r="P45" s="8">
        <v>0</v>
      </c>
      <c r="Q45" s="8"/>
      <c r="R45" s="8">
        <v>0</v>
      </c>
      <c r="S45" s="8">
        <v>0</v>
      </c>
    </row>
    <row r="46" ht="31.5" customHeight="1" spans="1:19" x14ac:dyDescent="0.25">
      <c r="A46" s="5" t="s">
        <v>451</v>
      </c>
      <c r="B46" s="6" t="s">
        <v>452</v>
      </c>
      <c r="C46" s="6"/>
      <c r="D46" s="5" t="s">
        <v>29</v>
      </c>
      <c r="E46" s="5" t="s">
        <v>11</v>
      </c>
      <c r="F46" s="5" t="s">
        <v>11</v>
      </c>
      <c r="G46" s="5" t="s">
        <v>11</v>
      </c>
      <c r="H46" s="7">
        <v>1</v>
      </c>
      <c r="I46" s="8">
        <v>10000</v>
      </c>
      <c r="J46" s="8"/>
      <c r="K46" s="8">
        <v>0</v>
      </c>
      <c r="L46" s="8">
        <v>2087.18</v>
      </c>
      <c r="M46" s="8"/>
      <c r="N46" s="8">
        <f>I46-L46</f>
        <v>7912.82</v>
      </c>
      <c r="O46" s="8">
        <v>0</v>
      </c>
      <c r="P46" s="8">
        <v>0</v>
      </c>
      <c r="Q46" s="8"/>
      <c r="R46" s="8">
        <v>0</v>
      </c>
      <c r="S46" s="8">
        <v>0</v>
      </c>
    </row>
    <row r="47" ht="31.5" customHeight="1" spans="1:19" x14ac:dyDescent="0.25">
      <c r="A47" s="5" t="s">
        <v>453</v>
      </c>
      <c r="B47" s="6" t="s">
        <v>454</v>
      </c>
      <c r="C47" s="6"/>
      <c r="D47" s="5" t="s">
        <v>29</v>
      </c>
      <c r="E47" s="5" t="s">
        <v>11</v>
      </c>
      <c r="F47" s="5" t="s">
        <v>11</v>
      </c>
      <c r="G47" s="5" t="s">
        <v>11</v>
      </c>
      <c r="H47" s="7">
        <v>2</v>
      </c>
      <c r="I47" s="8">
        <v>55000</v>
      </c>
      <c r="J47" s="8"/>
      <c r="K47" s="8">
        <v>0</v>
      </c>
      <c r="L47" s="8">
        <v>4527.77</v>
      </c>
      <c r="M47" s="8"/>
      <c r="N47" s="8">
        <f>I47-L47</f>
        <v>50472.229999999996</v>
      </c>
      <c r="O47" s="8">
        <v>0</v>
      </c>
      <c r="P47" s="8">
        <v>0</v>
      </c>
      <c r="Q47" s="8"/>
      <c r="R47" s="8">
        <v>0</v>
      </c>
      <c r="S47" s="8">
        <v>0</v>
      </c>
    </row>
    <row r="48" ht="31.5" customHeight="1" spans="1:19" x14ac:dyDescent="0.25">
      <c r="A48" s="5" t="s">
        <v>455</v>
      </c>
      <c r="B48" s="6" t="s">
        <v>456</v>
      </c>
      <c r="C48" s="6"/>
      <c r="D48" s="5" t="s">
        <v>29</v>
      </c>
      <c r="E48" s="5" t="s">
        <v>11</v>
      </c>
      <c r="F48" s="5" t="s">
        <v>11</v>
      </c>
      <c r="G48" s="5" t="s">
        <v>11</v>
      </c>
      <c r="H48" s="7">
        <v>1</v>
      </c>
      <c r="I48" s="8">
        <v>12000</v>
      </c>
      <c r="J48" s="8"/>
      <c r="K48" s="8">
        <v>0</v>
      </c>
      <c r="L48" s="8">
        <v>6250</v>
      </c>
      <c r="M48" s="8"/>
      <c r="N48" s="8">
        <f>I48-L48</f>
        <v>5750</v>
      </c>
      <c r="O48" s="8">
        <v>0</v>
      </c>
      <c r="P48" s="8">
        <v>0</v>
      </c>
      <c r="Q48" s="8"/>
      <c r="R48" s="8">
        <v>0</v>
      </c>
      <c r="S48" s="8">
        <v>0</v>
      </c>
    </row>
    <row r="49" ht="31.5" customHeight="1" spans="1:19" x14ac:dyDescent="0.25">
      <c r="A49" s="5" t="s">
        <v>457</v>
      </c>
      <c r="B49" s="6" t="s">
        <v>458</v>
      </c>
      <c r="C49" s="6"/>
      <c r="D49" s="5" t="s">
        <v>29</v>
      </c>
      <c r="E49" s="5" t="s">
        <v>11</v>
      </c>
      <c r="F49" s="5" t="s">
        <v>11</v>
      </c>
      <c r="G49" s="5" t="s">
        <v>11</v>
      </c>
      <c r="H49" s="7">
        <v>1</v>
      </c>
      <c r="I49" s="8">
        <v>30000</v>
      </c>
      <c r="J49" s="8"/>
      <c r="K49" s="8">
        <v>0</v>
      </c>
      <c r="L49" s="8">
        <v>0</v>
      </c>
      <c r="M49" s="8"/>
      <c r="N49" s="8">
        <f>I49-L49</f>
        <v>30000</v>
      </c>
      <c r="O49" s="8">
        <v>0</v>
      </c>
      <c r="P49" s="8">
        <v>0</v>
      </c>
      <c r="Q49" s="8"/>
      <c r="R49" s="8">
        <v>0</v>
      </c>
      <c r="S49" s="8">
        <v>0</v>
      </c>
    </row>
    <row r="50" ht="31.5" customHeight="1" spans="1:19" x14ac:dyDescent="0.25">
      <c r="A50" s="5" t="s">
        <v>459</v>
      </c>
      <c r="B50" s="6" t="s">
        <v>460</v>
      </c>
      <c r="C50" s="6"/>
      <c r="D50" s="5" t="s">
        <v>29</v>
      </c>
      <c r="E50" s="5" t="s">
        <v>11</v>
      </c>
      <c r="F50" s="5" t="s">
        <v>11</v>
      </c>
      <c r="G50" s="5" t="s">
        <v>11</v>
      </c>
      <c r="H50" s="7">
        <v>1</v>
      </c>
      <c r="I50" s="8">
        <v>30000</v>
      </c>
      <c r="J50" s="8"/>
      <c r="K50" s="8">
        <v>0</v>
      </c>
      <c r="L50" s="8">
        <v>0</v>
      </c>
      <c r="M50" s="8"/>
      <c r="N50" s="8">
        <f>I50-L50</f>
        <v>30000</v>
      </c>
      <c r="O50" s="8">
        <v>0</v>
      </c>
      <c r="P50" s="8">
        <v>0</v>
      </c>
      <c r="Q50" s="8"/>
      <c r="R50" s="8">
        <v>0</v>
      </c>
      <c r="S50" s="8">
        <v>0</v>
      </c>
    </row>
    <row r="51" ht="31.5" customHeight="1" spans="1:19" x14ac:dyDescent="0.25">
      <c r="A51" s="5" t="s">
        <v>461</v>
      </c>
      <c r="B51" s="6" t="s">
        <v>462</v>
      </c>
      <c r="C51" s="6"/>
      <c r="D51" s="5" t="s">
        <v>29</v>
      </c>
      <c r="E51" s="5" t="s">
        <v>11</v>
      </c>
      <c r="F51" s="5" t="s">
        <v>11</v>
      </c>
      <c r="G51" s="5" t="s">
        <v>11</v>
      </c>
      <c r="H51" s="7">
        <v>1</v>
      </c>
      <c r="I51" s="8">
        <v>15000</v>
      </c>
      <c r="J51" s="8"/>
      <c r="K51" s="8">
        <v>0</v>
      </c>
      <c r="L51" s="8">
        <v>4527.77</v>
      </c>
      <c r="M51" s="8"/>
      <c r="N51" s="8">
        <f>I51-L51</f>
        <v>10472.23</v>
      </c>
      <c r="O51" s="8">
        <v>0</v>
      </c>
      <c r="P51" s="8">
        <v>0</v>
      </c>
      <c r="Q51" s="8"/>
      <c r="R51" s="8">
        <v>0</v>
      </c>
      <c r="S51" s="8">
        <v>0</v>
      </c>
    </row>
    <row r="52" ht="31.5" customHeight="1" spans="1:19" x14ac:dyDescent="0.25">
      <c r="A52" s="5" t="s">
        <v>463</v>
      </c>
      <c r="B52" s="6" t="s">
        <v>464</v>
      </c>
      <c r="C52" s="6"/>
      <c r="D52" s="5" t="s">
        <v>29</v>
      </c>
      <c r="E52" s="5" t="s">
        <v>11</v>
      </c>
      <c r="F52" s="5" t="s">
        <v>11</v>
      </c>
      <c r="G52" s="5" t="s">
        <v>11</v>
      </c>
      <c r="H52" s="7">
        <v>1</v>
      </c>
      <c r="I52" s="8">
        <v>10000</v>
      </c>
      <c r="J52" s="8"/>
      <c r="K52" s="8">
        <v>0</v>
      </c>
      <c r="L52" s="8">
        <v>2087.18</v>
      </c>
      <c r="M52" s="8"/>
      <c r="N52" s="8">
        <f>I52-L52</f>
        <v>7912.82</v>
      </c>
      <c r="O52" s="8">
        <v>0</v>
      </c>
      <c r="P52" s="8">
        <v>0</v>
      </c>
      <c r="Q52" s="8"/>
      <c r="R52" s="8">
        <v>0</v>
      </c>
      <c r="S52" s="8">
        <v>0</v>
      </c>
    </row>
    <row r="53" ht="31.5" customHeight="1" spans="1:19" x14ac:dyDescent="0.25">
      <c r="A53" s="5" t="s">
        <v>465</v>
      </c>
      <c r="B53" s="6" t="s">
        <v>466</v>
      </c>
      <c r="C53" s="6"/>
      <c r="D53" s="5" t="s">
        <v>29</v>
      </c>
      <c r="E53" s="5" t="s">
        <v>11</v>
      </c>
      <c r="F53" s="5" t="s">
        <v>11</v>
      </c>
      <c r="G53" s="5" t="s">
        <v>11</v>
      </c>
      <c r="H53" s="7">
        <v>2</v>
      </c>
      <c r="I53" s="8">
        <v>43000</v>
      </c>
      <c r="J53" s="8"/>
      <c r="K53" s="8">
        <v>0</v>
      </c>
      <c r="L53" s="8">
        <v>7950</v>
      </c>
      <c r="M53" s="8"/>
      <c r="N53" s="8">
        <f>I53-L53</f>
        <v>35050</v>
      </c>
      <c r="O53" s="8">
        <v>0</v>
      </c>
      <c r="P53" s="8">
        <v>0</v>
      </c>
      <c r="Q53" s="8"/>
      <c r="R53" s="8">
        <v>0</v>
      </c>
      <c r="S53" s="8">
        <v>0</v>
      </c>
    </row>
    <row r="54" ht="31.5" customHeight="1" spans="1:19" x14ac:dyDescent="0.25">
      <c r="A54" s="5" t="s">
        <v>467</v>
      </c>
      <c r="B54" s="6" t="s">
        <v>468</v>
      </c>
      <c r="C54" s="6"/>
      <c r="D54" s="5" t="s">
        <v>29</v>
      </c>
      <c r="E54" s="5" t="s">
        <v>11</v>
      </c>
      <c r="F54" s="5" t="s">
        <v>11</v>
      </c>
      <c r="G54" s="5" t="s">
        <v>11</v>
      </c>
      <c r="H54" s="7">
        <v>1</v>
      </c>
      <c r="I54" s="8">
        <v>35000</v>
      </c>
      <c r="J54" s="8"/>
      <c r="K54" s="8">
        <v>0</v>
      </c>
      <c r="L54" s="8">
        <v>25000</v>
      </c>
      <c r="M54" s="8"/>
      <c r="N54" s="8">
        <f>I54-L54</f>
        <v>10000</v>
      </c>
      <c r="O54" s="8">
        <v>0</v>
      </c>
      <c r="P54" s="8">
        <v>0</v>
      </c>
      <c r="Q54" s="8"/>
      <c r="R54" s="8">
        <v>0</v>
      </c>
      <c r="S54" s="8">
        <v>0</v>
      </c>
    </row>
    <row r="55" ht="31.5" customHeight="1" spans="1:19" x14ac:dyDescent="0.25">
      <c r="A55" s="5" t="s">
        <v>469</v>
      </c>
      <c r="B55" s="6" t="s">
        <v>470</v>
      </c>
      <c r="C55" s="6"/>
      <c r="D55" s="5" t="s">
        <v>29</v>
      </c>
      <c r="E55" s="5" t="s">
        <v>11</v>
      </c>
      <c r="F55" s="5" t="s">
        <v>11</v>
      </c>
      <c r="G55" s="5" t="s">
        <v>11</v>
      </c>
      <c r="H55" s="7">
        <v>1</v>
      </c>
      <c r="I55" s="8">
        <v>12000</v>
      </c>
      <c r="J55" s="8"/>
      <c r="K55" s="8">
        <v>0</v>
      </c>
      <c r="L55" s="8">
        <v>6250</v>
      </c>
      <c r="M55" s="8"/>
      <c r="N55" s="8">
        <f>I55-L55</f>
        <v>5750</v>
      </c>
      <c r="O55" s="8">
        <v>0</v>
      </c>
      <c r="P55" s="8">
        <v>0</v>
      </c>
      <c r="Q55" s="8"/>
      <c r="R55" s="8">
        <v>0</v>
      </c>
      <c r="S55" s="8">
        <v>0</v>
      </c>
    </row>
    <row r="56" ht="31.5" customHeight="1" spans="1:19" x14ac:dyDescent="0.25">
      <c r="A56" s="5" t="s">
        <v>471</v>
      </c>
      <c r="B56" s="6" t="s">
        <v>472</v>
      </c>
      <c r="C56" s="6"/>
      <c r="D56" s="5" t="s">
        <v>29</v>
      </c>
      <c r="E56" s="5" t="s">
        <v>11</v>
      </c>
      <c r="F56" s="5" t="s">
        <v>11</v>
      </c>
      <c r="G56" s="5" t="s">
        <v>11</v>
      </c>
      <c r="H56" s="7">
        <v>1</v>
      </c>
      <c r="I56" s="8">
        <v>40000</v>
      </c>
      <c r="J56" s="8"/>
      <c r="K56" s="8">
        <v>0</v>
      </c>
      <c r="L56" s="8">
        <v>0</v>
      </c>
      <c r="M56" s="8"/>
      <c r="N56" s="8">
        <f>I56-L56</f>
        <v>40000</v>
      </c>
      <c r="O56" s="8">
        <v>0</v>
      </c>
      <c r="P56" s="8">
        <v>0</v>
      </c>
      <c r="Q56" s="8"/>
      <c r="R56" s="8">
        <v>0</v>
      </c>
      <c r="S56" s="8">
        <v>0</v>
      </c>
    </row>
    <row r="57" ht="31.5" customHeight="1" spans="1:19" x14ac:dyDescent="0.25">
      <c r="A57" s="5" t="s">
        <v>473</v>
      </c>
      <c r="B57" s="6" t="s">
        <v>474</v>
      </c>
      <c r="C57" s="6"/>
      <c r="D57" s="5" t="s">
        <v>29</v>
      </c>
      <c r="E57" s="5" t="s">
        <v>11</v>
      </c>
      <c r="F57" s="5" t="s">
        <v>11</v>
      </c>
      <c r="G57" s="5" t="s">
        <v>11</v>
      </c>
      <c r="H57" s="7">
        <v>3</v>
      </c>
      <c r="I57" s="8">
        <v>71000</v>
      </c>
      <c r="J57" s="8"/>
      <c r="K57" s="8">
        <v>0</v>
      </c>
      <c r="L57" s="8">
        <v>4527.77</v>
      </c>
      <c r="M57" s="8"/>
      <c r="N57" s="8">
        <f>I57-L57</f>
        <v>66472.23</v>
      </c>
      <c r="O57" s="8">
        <v>0</v>
      </c>
      <c r="P57" s="8">
        <v>0</v>
      </c>
      <c r="Q57" s="8"/>
      <c r="R57" s="8">
        <v>0</v>
      </c>
      <c r="S57" s="8">
        <v>0</v>
      </c>
    </row>
    <row r="58" ht="31.5" customHeight="1" spans="1:19" x14ac:dyDescent="0.25">
      <c r="A58" s="5" t="s">
        <v>475</v>
      </c>
      <c r="B58" s="6" t="s">
        <v>476</v>
      </c>
      <c r="C58" s="6"/>
      <c r="D58" s="5" t="s">
        <v>29</v>
      </c>
      <c r="E58" s="5" t="s">
        <v>11</v>
      </c>
      <c r="F58" s="5" t="s">
        <v>11</v>
      </c>
      <c r="G58" s="5" t="s">
        <v>11</v>
      </c>
      <c r="H58" s="7">
        <v>1</v>
      </c>
      <c r="I58" s="8">
        <v>50000</v>
      </c>
      <c r="J58" s="8"/>
      <c r="K58" s="8">
        <v>0</v>
      </c>
      <c r="L58" s="8">
        <v>0</v>
      </c>
      <c r="M58" s="8"/>
      <c r="N58" s="8">
        <f>I58-L58</f>
        <v>50000</v>
      </c>
      <c r="O58" s="8">
        <v>0</v>
      </c>
      <c r="P58" s="8">
        <v>0</v>
      </c>
      <c r="Q58" s="8"/>
      <c r="R58" s="8">
        <v>0</v>
      </c>
      <c r="S58" s="8">
        <v>0</v>
      </c>
    </row>
    <row r="59" ht="31.5" customHeight="1" spans="1:19" x14ac:dyDescent="0.25">
      <c r="A59" s="5" t="s">
        <v>477</v>
      </c>
      <c r="B59" s="6" t="s">
        <v>478</v>
      </c>
      <c r="C59" s="6"/>
      <c r="D59" s="5" t="s">
        <v>29</v>
      </c>
      <c r="E59" s="5" t="s">
        <v>11</v>
      </c>
      <c r="F59" s="5" t="s">
        <v>11</v>
      </c>
      <c r="G59" s="5" t="s">
        <v>11</v>
      </c>
      <c r="H59" s="7">
        <v>1</v>
      </c>
      <c r="I59" s="8">
        <v>15000</v>
      </c>
      <c r="J59" s="8"/>
      <c r="K59" s="8">
        <v>0</v>
      </c>
      <c r="L59" s="8">
        <v>4527.77</v>
      </c>
      <c r="M59" s="8"/>
      <c r="N59" s="8">
        <f>I59-L59</f>
        <v>10472.23</v>
      </c>
      <c r="O59" s="8">
        <v>0</v>
      </c>
      <c r="P59" s="8">
        <v>0</v>
      </c>
      <c r="Q59" s="8"/>
      <c r="R59" s="8">
        <v>0</v>
      </c>
      <c r="S59" s="8">
        <v>0</v>
      </c>
    </row>
    <row r="60" ht="31.5" customHeight="1" spans="1:19" x14ac:dyDescent="0.25">
      <c r="A60" s="5" t="s">
        <v>479</v>
      </c>
      <c r="B60" s="6" t="s">
        <v>480</v>
      </c>
      <c r="C60" s="6"/>
      <c r="D60" s="5" t="s">
        <v>29</v>
      </c>
      <c r="E60" s="5" t="s">
        <v>11</v>
      </c>
      <c r="F60" s="5" t="s">
        <v>11</v>
      </c>
      <c r="G60" s="5" t="s">
        <v>11</v>
      </c>
      <c r="H60" s="7">
        <v>3</v>
      </c>
      <c r="I60" s="8">
        <v>52000</v>
      </c>
      <c r="J60" s="8"/>
      <c r="K60" s="8">
        <v>0</v>
      </c>
      <c r="L60" s="8">
        <v>10777.77</v>
      </c>
      <c r="M60" s="8"/>
      <c r="N60" s="8">
        <f>I60-L60</f>
        <v>41222.229999999996</v>
      </c>
      <c r="O60" s="8">
        <v>0</v>
      </c>
      <c r="P60" s="8">
        <v>0</v>
      </c>
      <c r="Q60" s="8"/>
      <c r="R60" s="8">
        <v>0</v>
      </c>
      <c r="S60" s="8">
        <v>0</v>
      </c>
    </row>
    <row r="61" ht="31.5" customHeight="1" spans="1:19" x14ac:dyDescent="0.25">
      <c r="A61" s="5" t="s">
        <v>481</v>
      </c>
      <c r="B61" s="6" t="s">
        <v>482</v>
      </c>
      <c r="C61" s="6"/>
      <c r="D61" s="5" t="s">
        <v>29</v>
      </c>
      <c r="E61" s="5" t="s">
        <v>11</v>
      </c>
      <c r="F61" s="5" t="s">
        <v>11</v>
      </c>
      <c r="G61" s="5" t="s">
        <v>11</v>
      </c>
      <c r="H61" s="7">
        <v>1</v>
      </c>
      <c r="I61" s="8">
        <v>50000</v>
      </c>
      <c r="J61" s="8"/>
      <c r="K61" s="8">
        <v>0</v>
      </c>
      <c r="L61" s="8">
        <v>0</v>
      </c>
      <c r="M61" s="8"/>
      <c r="N61" s="8">
        <f>I61-L61</f>
        <v>50000</v>
      </c>
      <c r="O61" s="8">
        <v>0</v>
      </c>
      <c r="P61" s="8">
        <v>0</v>
      </c>
      <c r="Q61" s="8"/>
      <c r="R61" s="8">
        <v>0</v>
      </c>
      <c r="S61" s="8">
        <v>0</v>
      </c>
    </row>
    <row r="62" ht="31.5" customHeight="1" spans="1:19" x14ac:dyDescent="0.25">
      <c r="A62" s="5" t="s">
        <v>483</v>
      </c>
      <c r="B62" s="6" t="s">
        <v>484</v>
      </c>
      <c r="C62" s="6"/>
      <c r="D62" s="5" t="s">
        <v>29</v>
      </c>
      <c r="E62" s="5" t="s">
        <v>11</v>
      </c>
      <c r="F62" s="5" t="s">
        <v>11</v>
      </c>
      <c r="G62" s="5" t="s">
        <v>11</v>
      </c>
      <c r="H62" s="7">
        <v>1</v>
      </c>
      <c r="I62" s="8">
        <v>150000</v>
      </c>
      <c r="J62" s="8"/>
      <c r="K62" s="8">
        <v>0</v>
      </c>
      <c r="L62" s="8">
        <v>0</v>
      </c>
      <c r="M62" s="8"/>
      <c r="N62" s="8">
        <f>I62-L62</f>
        <v>150000</v>
      </c>
      <c r="O62" s="8">
        <v>0</v>
      </c>
      <c r="P62" s="8">
        <v>0</v>
      </c>
      <c r="Q62" s="8"/>
      <c r="R62" s="8">
        <v>0</v>
      </c>
      <c r="S62" s="8">
        <v>0</v>
      </c>
    </row>
    <row r="63" ht="31.5" customHeight="1" spans="1:19" x14ac:dyDescent="0.25">
      <c r="A63" s="5" t="s">
        <v>485</v>
      </c>
      <c r="B63" s="6" t="s">
        <v>486</v>
      </c>
      <c r="C63" s="6"/>
      <c r="D63" s="5" t="s">
        <v>29</v>
      </c>
      <c r="E63" s="5" t="s">
        <v>11</v>
      </c>
      <c r="F63" s="5" t="s">
        <v>11</v>
      </c>
      <c r="G63" s="5" t="s">
        <v>11</v>
      </c>
      <c r="H63" s="7">
        <v>1</v>
      </c>
      <c r="I63" s="8">
        <v>15000</v>
      </c>
      <c r="J63" s="8"/>
      <c r="K63" s="8">
        <v>0</v>
      </c>
      <c r="L63" s="8">
        <v>4527.77</v>
      </c>
      <c r="M63" s="8"/>
      <c r="N63" s="8">
        <f>I63-L63</f>
        <v>10472.23</v>
      </c>
      <c r="O63" s="8">
        <v>0</v>
      </c>
      <c r="P63" s="8">
        <v>0</v>
      </c>
      <c r="Q63" s="8"/>
      <c r="R63" s="8">
        <v>0</v>
      </c>
      <c r="S63" s="8">
        <v>0</v>
      </c>
    </row>
    <row r="64" ht="31.5" customHeight="1" spans="1:19" x14ac:dyDescent="0.25">
      <c r="A64" s="5" t="s">
        <v>487</v>
      </c>
      <c r="B64" s="6" t="s">
        <v>488</v>
      </c>
      <c r="C64" s="6"/>
      <c r="D64" s="5" t="s">
        <v>29</v>
      </c>
      <c r="E64" s="5" t="s">
        <v>11</v>
      </c>
      <c r="F64" s="5" t="s">
        <v>11</v>
      </c>
      <c r="G64" s="5" t="s">
        <v>11</v>
      </c>
      <c r="H64" s="7">
        <v>1</v>
      </c>
      <c r="I64" s="8">
        <v>15000</v>
      </c>
      <c r="J64" s="8"/>
      <c r="K64" s="8">
        <v>0</v>
      </c>
      <c r="L64" s="8">
        <v>4527.77</v>
      </c>
      <c r="M64" s="8"/>
      <c r="N64" s="8">
        <f>I64-L64</f>
        <v>10472.23</v>
      </c>
      <c r="O64" s="8">
        <v>0</v>
      </c>
      <c r="P64" s="8">
        <v>0</v>
      </c>
      <c r="Q64" s="8"/>
      <c r="R64" s="8">
        <v>0</v>
      </c>
      <c r="S64" s="8">
        <v>0</v>
      </c>
    </row>
    <row r="65" ht="31.5" customHeight="1" spans="1:19" x14ac:dyDescent="0.25">
      <c r="A65" s="5" t="s">
        <v>489</v>
      </c>
      <c r="B65" s="6" t="s">
        <v>490</v>
      </c>
      <c r="C65" s="6"/>
      <c r="D65" s="5" t="s">
        <v>29</v>
      </c>
      <c r="E65" s="5" t="s">
        <v>11</v>
      </c>
      <c r="F65" s="5" t="s">
        <v>11</v>
      </c>
      <c r="G65" s="5" t="s">
        <v>11</v>
      </c>
      <c r="H65" s="7">
        <v>1</v>
      </c>
      <c r="I65" s="8">
        <v>25000</v>
      </c>
      <c r="J65" s="8"/>
      <c r="K65" s="8">
        <v>0</v>
      </c>
      <c r="L65" s="8">
        <v>0</v>
      </c>
      <c r="M65" s="8"/>
      <c r="N65" s="8">
        <f>I65-L65</f>
        <v>25000</v>
      </c>
      <c r="O65" s="8">
        <v>0</v>
      </c>
      <c r="P65" s="8">
        <v>0</v>
      </c>
      <c r="Q65" s="8"/>
      <c r="R65" s="8">
        <v>0</v>
      </c>
      <c r="S65" s="8">
        <v>0</v>
      </c>
    </row>
    <row r="66" ht="31.5" customHeight="1" spans="1:19" x14ac:dyDescent="0.25">
      <c r="A66" s="5" t="s">
        <v>491</v>
      </c>
      <c r="B66" s="6" t="s">
        <v>492</v>
      </c>
      <c r="C66" s="6"/>
      <c r="D66" s="5" t="s">
        <v>29</v>
      </c>
      <c r="E66" s="5" t="s">
        <v>11</v>
      </c>
      <c r="F66" s="5" t="s">
        <v>11</v>
      </c>
      <c r="G66" s="5" t="s">
        <v>11</v>
      </c>
      <c r="H66" s="7">
        <v>1</v>
      </c>
      <c r="I66" s="8">
        <v>15000</v>
      </c>
      <c r="J66" s="8"/>
      <c r="K66" s="8">
        <v>0</v>
      </c>
      <c r="L66" s="8">
        <v>4527.77</v>
      </c>
      <c r="M66" s="8"/>
      <c r="N66" s="8">
        <f>I66-L66</f>
        <v>10472.23</v>
      </c>
      <c r="O66" s="8">
        <v>0</v>
      </c>
      <c r="P66" s="8">
        <v>0</v>
      </c>
      <c r="Q66" s="8"/>
      <c r="R66" s="8">
        <v>0</v>
      </c>
      <c r="S66" s="8">
        <v>0</v>
      </c>
    </row>
    <row r="67" ht="31.5" customHeight="1" spans="1:19" x14ac:dyDescent="0.25">
      <c r="A67" s="5" t="s">
        <v>493</v>
      </c>
      <c r="B67" s="6" t="s">
        <v>494</v>
      </c>
      <c r="C67" s="6"/>
      <c r="D67" s="5" t="s">
        <v>29</v>
      </c>
      <c r="E67" s="5" t="s">
        <v>11</v>
      </c>
      <c r="F67" s="5" t="s">
        <v>11</v>
      </c>
      <c r="G67" s="5" t="s">
        <v>11</v>
      </c>
      <c r="H67" s="7">
        <v>1</v>
      </c>
      <c r="I67" s="8">
        <v>12000</v>
      </c>
      <c r="J67" s="8"/>
      <c r="K67" s="8">
        <v>0</v>
      </c>
      <c r="L67" s="8">
        <v>6250</v>
      </c>
      <c r="M67" s="8"/>
      <c r="N67" s="8">
        <f>I67-L67</f>
        <v>5750</v>
      </c>
      <c r="O67" s="8">
        <v>0</v>
      </c>
      <c r="P67" s="8">
        <v>0</v>
      </c>
      <c r="Q67" s="8"/>
      <c r="R67" s="8">
        <v>0</v>
      </c>
      <c r="S67" s="8">
        <v>0</v>
      </c>
    </row>
    <row r="68" ht="31.5" customHeight="1" spans="1:19" x14ac:dyDescent="0.25">
      <c r="A68" s="5" t="s">
        <v>495</v>
      </c>
      <c r="B68" s="6" t="s">
        <v>496</v>
      </c>
      <c r="C68" s="6"/>
      <c r="D68" s="5" t="s">
        <v>29</v>
      </c>
      <c r="E68" s="5" t="s">
        <v>11</v>
      </c>
      <c r="F68" s="5" t="s">
        <v>11</v>
      </c>
      <c r="G68" s="5" t="s">
        <v>11</v>
      </c>
      <c r="H68" s="7">
        <v>1</v>
      </c>
      <c r="I68" s="8">
        <v>40000</v>
      </c>
      <c r="J68" s="8"/>
      <c r="K68" s="8">
        <v>0</v>
      </c>
      <c r="L68" s="8">
        <v>30000</v>
      </c>
      <c r="M68" s="8"/>
      <c r="N68" s="8">
        <f>I68-L68</f>
        <v>10000</v>
      </c>
      <c r="O68" s="8">
        <v>0</v>
      </c>
      <c r="P68" s="8">
        <v>0</v>
      </c>
      <c r="Q68" s="8"/>
      <c r="R68" s="8">
        <v>0</v>
      </c>
      <c r="S68" s="8">
        <v>0</v>
      </c>
    </row>
    <row r="69" ht="31.5" customHeight="1" spans="1:19" x14ac:dyDescent="0.25">
      <c r="A69" s="5" t="s">
        <v>497</v>
      </c>
      <c r="B69" s="6" t="s">
        <v>498</v>
      </c>
      <c r="C69" s="6"/>
      <c r="D69" s="5" t="s">
        <v>138</v>
      </c>
      <c r="E69" s="5" t="s">
        <v>11</v>
      </c>
      <c r="F69" s="5" t="s">
        <v>11</v>
      </c>
      <c r="G69" s="5" t="s">
        <v>11</v>
      </c>
      <c r="H69" s="7">
        <v>1</v>
      </c>
      <c r="I69" s="8">
        <v>28000</v>
      </c>
      <c r="J69" s="8"/>
      <c r="K69" s="8">
        <v>0</v>
      </c>
      <c r="L69" s="8">
        <v>0</v>
      </c>
      <c r="M69" s="8"/>
      <c r="N69" s="8">
        <f>I69-L69</f>
        <v>28000</v>
      </c>
      <c r="O69" s="8">
        <v>0</v>
      </c>
      <c r="P69" s="8">
        <v>0</v>
      </c>
      <c r="Q69" s="8"/>
      <c r="R69" s="8">
        <v>0</v>
      </c>
      <c r="S69" s="8">
        <v>0</v>
      </c>
    </row>
    <row r="70" ht="31.5" customHeight="1" spans="1:19" x14ac:dyDescent="0.25">
      <c r="A70" s="5" t="s">
        <v>499</v>
      </c>
      <c r="B70" s="6" t="s">
        <v>500</v>
      </c>
      <c r="C70" s="6"/>
      <c r="D70" s="5" t="s">
        <v>138</v>
      </c>
      <c r="E70" s="5" t="s">
        <v>11</v>
      </c>
      <c r="F70" s="5" t="s">
        <v>11</v>
      </c>
      <c r="G70" s="5" t="s">
        <v>11</v>
      </c>
      <c r="H70" s="7">
        <v>2</v>
      </c>
      <c r="I70" s="8">
        <v>65000</v>
      </c>
      <c r="J70" s="8"/>
      <c r="K70" s="8">
        <v>0</v>
      </c>
      <c r="L70" s="8">
        <v>0</v>
      </c>
      <c r="M70" s="8"/>
      <c r="N70" s="8">
        <f>I70-L70</f>
        <v>65000</v>
      </c>
      <c r="O70" s="8">
        <v>0</v>
      </c>
      <c r="P70" s="8">
        <v>0</v>
      </c>
      <c r="Q70" s="8"/>
      <c r="R70" s="8">
        <v>0</v>
      </c>
      <c r="S70" s="8">
        <v>0</v>
      </c>
    </row>
    <row r="71" ht="31.5" customHeight="1" spans="1:19" x14ac:dyDescent="0.25">
      <c r="A71" s="5" t="s">
        <v>501</v>
      </c>
      <c r="B71" s="6" t="s">
        <v>502</v>
      </c>
      <c r="C71" s="6"/>
      <c r="D71" s="5" t="s">
        <v>138</v>
      </c>
      <c r="E71" s="5" t="s">
        <v>11</v>
      </c>
      <c r="F71" s="5" t="s">
        <v>11</v>
      </c>
      <c r="G71" s="5" t="s">
        <v>11</v>
      </c>
      <c r="H71" s="7">
        <v>2</v>
      </c>
      <c r="I71" s="8">
        <v>53000</v>
      </c>
      <c r="J71" s="8"/>
      <c r="K71" s="8">
        <v>0</v>
      </c>
      <c r="L71" s="8">
        <v>0</v>
      </c>
      <c r="M71" s="8"/>
      <c r="N71" s="8">
        <f>I71-L71</f>
        <v>53000</v>
      </c>
      <c r="O71" s="8">
        <v>0</v>
      </c>
      <c r="P71" s="8">
        <v>0</v>
      </c>
      <c r="Q71" s="8"/>
      <c r="R71" s="8">
        <v>0</v>
      </c>
      <c r="S71" s="8">
        <v>0</v>
      </c>
    </row>
    <row r="72" ht="31.5" customHeight="1" spans="1:19" x14ac:dyDescent="0.25">
      <c r="A72" s="5" t="s">
        <v>503</v>
      </c>
      <c r="B72" s="6" t="s">
        <v>504</v>
      </c>
      <c r="C72" s="6"/>
      <c r="D72" s="5" t="s">
        <v>138</v>
      </c>
      <c r="E72" s="5" t="s">
        <v>11</v>
      </c>
      <c r="F72" s="5" t="s">
        <v>11</v>
      </c>
      <c r="G72" s="5" t="s">
        <v>11</v>
      </c>
      <c r="H72" s="7">
        <v>1</v>
      </c>
      <c r="I72" s="8">
        <v>50000</v>
      </c>
      <c r="J72" s="8"/>
      <c r="K72" s="8">
        <v>0</v>
      </c>
      <c r="L72" s="8">
        <v>0</v>
      </c>
      <c r="M72" s="8"/>
      <c r="N72" s="8">
        <f>I72-L72</f>
        <v>50000</v>
      </c>
      <c r="O72" s="8">
        <v>0</v>
      </c>
      <c r="P72" s="8">
        <v>0</v>
      </c>
      <c r="Q72" s="8"/>
      <c r="R72" s="8">
        <v>0</v>
      </c>
      <c r="S72" s="8">
        <v>0</v>
      </c>
    </row>
    <row r="73" ht="31.5" customHeight="1" spans="1:19" x14ac:dyDescent="0.25">
      <c r="A73" s="5" t="s">
        <v>505</v>
      </c>
      <c r="B73" s="6" t="s">
        <v>506</v>
      </c>
      <c r="C73" s="6"/>
      <c r="D73" s="5" t="s">
        <v>138</v>
      </c>
      <c r="E73" s="5" t="s">
        <v>11</v>
      </c>
      <c r="F73" s="5" t="s">
        <v>11</v>
      </c>
      <c r="G73" s="5" t="s">
        <v>11</v>
      </c>
      <c r="H73" s="7">
        <v>1</v>
      </c>
      <c r="I73" s="8">
        <v>50000</v>
      </c>
      <c r="J73" s="8"/>
      <c r="K73" s="8">
        <v>0</v>
      </c>
      <c r="L73" s="8">
        <v>0</v>
      </c>
      <c r="M73" s="8"/>
      <c r="N73" s="8">
        <f>I73-L73</f>
        <v>50000</v>
      </c>
      <c r="O73" s="8">
        <v>0</v>
      </c>
      <c r="P73" s="8">
        <v>0</v>
      </c>
      <c r="Q73" s="8"/>
      <c r="R73" s="8">
        <v>0</v>
      </c>
      <c r="S73" s="8">
        <v>0</v>
      </c>
    </row>
    <row r="74" ht="31.5" customHeight="1" spans="1:19" x14ac:dyDescent="0.25">
      <c r="A74" s="5" t="s">
        <v>507</v>
      </c>
      <c r="B74" s="6" t="s">
        <v>508</v>
      </c>
      <c r="C74" s="6"/>
      <c r="D74" s="5" t="s">
        <v>138</v>
      </c>
      <c r="E74" s="5" t="s">
        <v>11</v>
      </c>
      <c r="F74" s="5" t="s">
        <v>11</v>
      </c>
      <c r="G74" s="5" t="s">
        <v>11</v>
      </c>
      <c r="H74" s="7">
        <v>1</v>
      </c>
      <c r="I74" s="8">
        <v>15000</v>
      </c>
      <c r="J74" s="8"/>
      <c r="K74" s="8">
        <v>0</v>
      </c>
      <c r="L74" s="8">
        <v>4527.77</v>
      </c>
      <c r="M74" s="8"/>
      <c r="N74" s="8">
        <f>I74-L74</f>
        <v>10472.23</v>
      </c>
      <c r="O74" s="8">
        <v>0</v>
      </c>
      <c r="P74" s="8">
        <v>0</v>
      </c>
      <c r="Q74" s="8"/>
      <c r="R74" s="8">
        <v>0</v>
      </c>
      <c r="S74" s="8">
        <v>0</v>
      </c>
    </row>
    <row r="75" ht="31.5" customHeight="1" spans="1:19" x14ac:dyDescent="0.25">
      <c r="A75" s="5" t="s">
        <v>509</v>
      </c>
      <c r="B75" s="6" t="s">
        <v>510</v>
      </c>
      <c r="C75" s="6"/>
      <c r="D75" s="5" t="s">
        <v>138</v>
      </c>
      <c r="E75" s="5" t="s">
        <v>11</v>
      </c>
      <c r="F75" s="5" t="s">
        <v>11</v>
      </c>
      <c r="G75" s="5" t="s">
        <v>11</v>
      </c>
      <c r="H75" s="7">
        <v>2</v>
      </c>
      <c r="I75" s="8">
        <v>27000</v>
      </c>
      <c r="J75" s="8"/>
      <c r="K75" s="8">
        <v>0</v>
      </c>
      <c r="L75" s="8">
        <v>10777.77</v>
      </c>
      <c r="M75" s="8"/>
      <c r="N75" s="8">
        <f>I75-L75</f>
        <v>16222.23</v>
      </c>
      <c r="O75" s="8">
        <v>0</v>
      </c>
      <c r="P75" s="8">
        <v>0</v>
      </c>
      <c r="Q75" s="8"/>
      <c r="R75" s="8">
        <v>0</v>
      </c>
      <c r="S75" s="8">
        <v>0</v>
      </c>
    </row>
    <row r="76" ht="31.5" customHeight="1" spans="1:19" x14ac:dyDescent="0.25">
      <c r="A76" s="5" t="s">
        <v>511</v>
      </c>
      <c r="B76" s="6" t="s">
        <v>512</v>
      </c>
      <c r="C76" s="6"/>
      <c r="D76" s="5" t="s">
        <v>138</v>
      </c>
      <c r="E76" s="5" t="s">
        <v>11</v>
      </c>
      <c r="F76" s="5" t="s">
        <v>11</v>
      </c>
      <c r="G76" s="5" t="s">
        <v>11</v>
      </c>
      <c r="H76" s="7">
        <v>3</v>
      </c>
      <c r="I76" s="8">
        <v>400000</v>
      </c>
      <c r="J76" s="8"/>
      <c r="K76" s="8">
        <v>0</v>
      </c>
      <c r="L76" s="8">
        <v>0</v>
      </c>
      <c r="M76" s="8"/>
      <c r="N76" s="8">
        <f>I76-L76</f>
        <v>400000</v>
      </c>
      <c r="O76" s="8">
        <v>0</v>
      </c>
      <c r="P76" s="8">
        <v>0</v>
      </c>
      <c r="Q76" s="8"/>
      <c r="R76" s="8">
        <v>0</v>
      </c>
      <c r="S76" s="8">
        <v>0</v>
      </c>
    </row>
    <row r="77" ht="31.5" customHeight="1" spans="1:19" x14ac:dyDescent="0.25">
      <c r="A77" s="5" t="s">
        <v>513</v>
      </c>
      <c r="B77" s="6" t="s">
        <v>514</v>
      </c>
      <c r="C77" s="6"/>
      <c r="D77" s="5" t="s">
        <v>138</v>
      </c>
      <c r="E77" s="5" t="s">
        <v>11</v>
      </c>
      <c r="F77" s="5" t="s">
        <v>11</v>
      </c>
      <c r="G77" s="5" t="s">
        <v>11</v>
      </c>
      <c r="H77" s="7">
        <v>1</v>
      </c>
      <c r="I77" s="8">
        <v>15000</v>
      </c>
      <c r="J77" s="8"/>
      <c r="K77" s="8">
        <v>0</v>
      </c>
      <c r="L77" s="8">
        <v>4527.77</v>
      </c>
      <c r="M77" s="8"/>
      <c r="N77" s="8">
        <f>I77-L77</f>
        <v>10472.23</v>
      </c>
      <c r="O77" s="8">
        <v>0</v>
      </c>
      <c r="P77" s="8">
        <v>0</v>
      </c>
      <c r="Q77" s="8"/>
      <c r="R77" s="8">
        <v>0</v>
      </c>
      <c r="S77" s="8">
        <v>0</v>
      </c>
    </row>
    <row r="78" ht="31.5" customHeight="1" spans="1:19" x14ac:dyDescent="0.25">
      <c r="A78" s="5" t="s">
        <v>515</v>
      </c>
      <c r="B78" s="6" t="s">
        <v>516</v>
      </c>
      <c r="C78" s="6"/>
      <c r="D78" s="5" t="s">
        <v>138</v>
      </c>
      <c r="E78" s="5" t="s">
        <v>11</v>
      </c>
      <c r="F78" s="5" t="s">
        <v>11</v>
      </c>
      <c r="G78" s="5" t="s">
        <v>11</v>
      </c>
      <c r="H78" s="7">
        <v>1</v>
      </c>
      <c r="I78" s="8">
        <v>15000</v>
      </c>
      <c r="J78" s="8"/>
      <c r="K78" s="8">
        <v>0</v>
      </c>
      <c r="L78" s="8">
        <v>4527.77</v>
      </c>
      <c r="M78" s="8"/>
      <c r="N78" s="8">
        <f>I78-L78</f>
        <v>10472.23</v>
      </c>
      <c r="O78" s="8">
        <v>0</v>
      </c>
      <c r="P78" s="8">
        <v>0</v>
      </c>
      <c r="Q78" s="8"/>
      <c r="R78" s="8">
        <v>0</v>
      </c>
      <c r="S78" s="8">
        <v>0</v>
      </c>
    </row>
    <row r="79" ht="31.5" customHeight="1" spans="1:19" x14ac:dyDescent="0.25">
      <c r="A79" s="5" t="s">
        <v>517</v>
      </c>
      <c r="B79" s="6" t="s">
        <v>518</v>
      </c>
      <c r="C79" s="6"/>
      <c r="D79" s="5" t="s">
        <v>138</v>
      </c>
      <c r="E79" s="5" t="s">
        <v>11</v>
      </c>
      <c r="F79" s="5" t="s">
        <v>11</v>
      </c>
      <c r="G79" s="5" t="s">
        <v>11</v>
      </c>
      <c r="H79" s="7">
        <v>1</v>
      </c>
      <c r="I79" s="8">
        <v>50000</v>
      </c>
      <c r="J79" s="8"/>
      <c r="K79" s="8">
        <v>0</v>
      </c>
      <c r="L79" s="8">
        <v>0</v>
      </c>
      <c r="M79" s="8"/>
      <c r="N79" s="8">
        <f>I79-L79</f>
        <v>50000</v>
      </c>
      <c r="O79" s="8">
        <v>0</v>
      </c>
      <c r="P79" s="8">
        <v>0</v>
      </c>
      <c r="Q79" s="8"/>
      <c r="R79" s="8">
        <v>0</v>
      </c>
      <c r="S79" s="8">
        <v>0</v>
      </c>
    </row>
    <row r="80" ht="31.5" customHeight="1" spans="1:19" x14ac:dyDescent="0.25">
      <c r="A80" s="5" t="s">
        <v>519</v>
      </c>
      <c r="B80" s="6" t="s">
        <v>520</v>
      </c>
      <c r="C80" s="6"/>
      <c r="D80" s="5" t="s">
        <v>138</v>
      </c>
      <c r="E80" s="5" t="s">
        <v>11</v>
      </c>
      <c r="F80" s="5" t="s">
        <v>11</v>
      </c>
      <c r="G80" s="5" t="s">
        <v>11</v>
      </c>
      <c r="H80" s="7">
        <v>2</v>
      </c>
      <c r="I80" s="8">
        <v>65000</v>
      </c>
      <c r="J80" s="8"/>
      <c r="K80" s="8">
        <v>0</v>
      </c>
      <c r="L80" s="8">
        <v>0</v>
      </c>
      <c r="M80" s="8"/>
      <c r="N80" s="8">
        <f>I80-L80</f>
        <v>65000</v>
      </c>
      <c r="O80" s="8">
        <v>0</v>
      </c>
      <c r="P80" s="8">
        <v>0</v>
      </c>
      <c r="Q80" s="8"/>
      <c r="R80" s="8">
        <v>0</v>
      </c>
      <c r="S80" s="8">
        <v>0</v>
      </c>
    </row>
    <row r="81" ht="31.5" customHeight="1" spans="1:19" x14ac:dyDescent="0.25">
      <c r="A81" s="5" t="s">
        <v>521</v>
      </c>
      <c r="B81" s="6" t="s">
        <v>522</v>
      </c>
      <c r="C81" s="6"/>
      <c r="D81" s="5" t="s">
        <v>138</v>
      </c>
      <c r="E81" s="5" t="s">
        <v>11</v>
      </c>
      <c r="F81" s="5" t="s">
        <v>11</v>
      </c>
      <c r="G81" s="5" t="s">
        <v>11</v>
      </c>
      <c r="H81" s="7">
        <v>1</v>
      </c>
      <c r="I81" s="8">
        <v>50000</v>
      </c>
      <c r="J81" s="8"/>
      <c r="K81" s="8">
        <v>0</v>
      </c>
      <c r="L81" s="8">
        <v>0</v>
      </c>
      <c r="M81" s="8"/>
      <c r="N81" s="8">
        <f>I81-L81</f>
        <v>50000</v>
      </c>
      <c r="O81" s="8">
        <v>0</v>
      </c>
      <c r="P81" s="8">
        <v>0</v>
      </c>
      <c r="Q81" s="8"/>
      <c r="R81" s="8">
        <v>0</v>
      </c>
      <c r="S81" s="8">
        <v>0</v>
      </c>
    </row>
    <row r="82" ht="31.5" customHeight="1" spans="1:19" x14ac:dyDescent="0.25">
      <c r="A82" s="5" t="s">
        <v>523</v>
      </c>
      <c r="B82" s="6" t="s">
        <v>524</v>
      </c>
      <c r="C82" s="6"/>
      <c r="D82" s="5" t="s">
        <v>138</v>
      </c>
      <c r="E82" s="5" t="s">
        <v>11</v>
      </c>
      <c r="F82" s="5" t="s">
        <v>11</v>
      </c>
      <c r="G82" s="5" t="s">
        <v>11</v>
      </c>
      <c r="H82" s="7">
        <v>1</v>
      </c>
      <c r="I82" s="8">
        <v>140000</v>
      </c>
      <c r="J82" s="8"/>
      <c r="K82" s="8">
        <v>0</v>
      </c>
      <c r="L82" s="8">
        <v>115000</v>
      </c>
      <c r="M82" s="8"/>
      <c r="N82" s="8">
        <f>I82-L82</f>
        <v>25000</v>
      </c>
      <c r="O82" s="8">
        <v>0</v>
      </c>
      <c r="P82" s="8">
        <v>0</v>
      </c>
      <c r="Q82" s="8"/>
      <c r="R82" s="8">
        <v>0</v>
      </c>
      <c r="S82" s="8">
        <v>0</v>
      </c>
    </row>
    <row r="83" ht="31.5" customHeight="1" spans="1:19" x14ac:dyDescent="0.25">
      <c r="A83" s="5" t="s">
        <v>525</v>
      </c>
      <c r="B83" s="6" t="s">
        <v>526</v>
      </c>
      <c r="C83" s="6"/>
      <c r="D83" s="5" t="s">
        <v>138</v>
      </c>
      <c r="E83" s="5" t="s">
        <v>11</v>
      </c>
      <c r="F83" s="5" t="s">
        <v>11</v>
      </c>
      <c r="G83" s="5" t="s">
        <v>11</v>
      </c>
      <c r="H83" s="7">
        <v>1</v>
      </c>
      <c r="I83" s="8">
        <v>30000</v>
      </c>
      <c r="J83" s="8"/>
      <c r="K83" s="8">
        <v>0</v>
      </c>
      <c r="L83" s="8">
        <v>0</v>
      </c>
      <c r="M83" s="8"/>
      <c r="N83" s="8">
        <f>I83-L83</f>
        <v>30000</v>
      </c>
      <c r="O83" s="8">
        <v>0</v>
      </c>
      <c r="P83" s="8">
        <v>0</v>
      </c>
      <c r="Q83" s="8"/>
      <c r="R83" s="8">
        <v>0</v>
      </c>
      <c r="S83" s="8">
        <v>0</v>
      </c>
    </row>
    <row r="84" ht="31.5" customHeight="1" spans="1:19" x14ac:dyDescent="0.25">
      <c r="A84" s="5" t="s">
        <v>527</v>
      </c>
      <c r="B84" s="6" t="s">
        <v>528</v>
      </c>
      <c r="C84" s="6"/>
      <c r="D84" s="5" t="s">
        <v>138</v>
      </c>
      <c r="E84" s="5" t="s">
        <v>11</v>
      </c>
      <c r="F84" s="5" t="s">
        <v>11</v>
      </c>
      <c r="G84" s="5" t="s">
        <v>11</v>
      </c>
      <c r="H84" s="7">
        <v>1</v>
      </c>
      <c r="I84" s="8">
        <v>17000</v>
      </c>
      <c r="J84" s="8"/>
      <c r="K84" s="8">
        <v>0</v>
      </c>
      <c r="L84" s="8">
        <v>0</v>
      </c>
      <c r="M84" s="8"/>
      <c r="N84" s="8">
        <f>I84-L84</f>
        <v>17000</v>
      </c>
      <c r="O84" s="8">
        <v>0</v>
      </c>
      <c r="P84" s="8">
        <v>0</v>
      </c>
      <c r="Q84" s="8"/>
      <c r="R84" s="8">
        <v>0</v>
      </c>
      <c r="S84" s="8">
        <v>0</v>
      </c>
    </row>
    <row r="85" ht="31.5" customHeight="1" spans="1:19" x14ac:dyDescent="0.25">
      <c r="A85" s="5" t="s">
        <v>529</v>
      </c>
      <c r="B85" s="6" t="s">
        <v>530</v>
      </c>
      <c r="C85" s="6"/>
      <c r="D85" s="5" t="s">
        <v>138</v>
      </c>
      <c r="E85" s="5" t="s">
        <v>11</v>
      </c>
      <c r="F85" s="5" t="s">
        <v>11</v>
      </c>
      <c r="G85" s="5" t="s">
        <v>11</v>
      </c>
      <c r="H85" s="7">
        <v>2</v>
      </c>
      <c r="I85" s="8">
        <v>24000</v>
      </c>
      <c r="J85" s="8"/>
      <c r="K85" s="8">
        <v>0</v>
      </c>
      <c r="L85" s="8">
        <v>12500</v>
      </c>
      <c r="M85" s="8"/>
      <c r="N85" s="8">
        <f>I85-L85</f>
        <v>11500</v>
      </c>
      <c r="O85" s="8">
        <v>0</v>
      </c>
      <c r="P85" s="8">
        <v>0</v>
      </c>
      <c r="Q85" s="8"/>
      <c r="R85" s="8">
        <v>0</v>
      </c>
      <c r="S85" s="8">
        <v>0</v>
      </c>
    </row>
    <row r="86" ht="31.5" customHeight="1" spans="1:19" x14ac:dyDescent="0.25">
      <c r="A86" s="5" t="s">
        <v>531</v>
      </c>
      <c r="B86" s="6" t="s">
        <v>532</v>
      </c>
      <c r="C86" s="6"/>
      <c r="D86" s="5" t="s">
        <v>138</v>
      </c>
      <c r="E86" s="5" t="s">
        <v>11</v>
      </c>
      <c r="F86" s="5" t="s">
        <v>11</v>
      </c>
      <c r="G86" s="5" t="s">
        <v>11</v>
      </c>
      <c r="H86" s="7">
        <v>3</v>
      </c>
      <c r="I86" s="8">
        <v>42000</v>
      </c>
      <c r="J86" s="8"/>
      <c r="K86" s="8">
        <v>0</v>
      </c>
      <c r="L86" s="8">
        <v>15305.54</v>
      </c>
      <c r="M86" s="8"/>
      <c r="N86" s="8">
        <f>I86-L86</f>
        <v>26694.46</v>
      </c>
      <c r="O86" s="8">
        <v>0</v>
      </c>
      <c r="P86" s="8">
        <v>0</v>
      </c>
      <c r="Q86" s="8"/>
      <c r="R86" s="8">
        <v>0</v>
      </c>
      <c r="S86" s="8">
        <v>0</v>
      </c>
    </row>
    <row r="87" ht="31.5" customHeight="1" spans="1:19" x14ac:dyDescent="0.25">
      <c r="A87" s="5" t="s">
        <v>533</v>
      </c>
      <c r="B87" s="6" t="s">
        <v>534</v>
      </c>
      <c r="C87" s="6"/>
      <c r="D87" s="5" t="s">
        <v>138</v>
      </c>
      <c r="E87" s="5" t="s">
        <v>11</v>
      </c>
      <c r="F87" s="5" t="s">
        <v>11</v>
      </c>
      <c r="G87" s="5" t="s">
        <v>11</v>
      </c>
      <c r="H87" s="7">
        <v>1</v>
      </c>
      <c r="I87" s="8">
        <v>12000</v>
      </c>
      <c r="J87" s="8"/>
      <c r="K87" s="8">
        <v>0</v>
      </c>
      <c r="L87" s="8">
        <v>6250</v>
      </c>
      <c r="M87" s="8"/>
      <c r="N87" s="8">
        <f>I87-L87</f>
        <v>5750</v>
      </c>
      <c r="O87" s="8">
        <v>0</v>
      </c>
      <c r="P87" s="8">
        <v>0</v>
      </c>
      <c r="Q87" s="8"/>
      <c r="R87" s="8">
        <v>0</v>
      </c>
      <c r="S87" s="8">
        <v>0</v>
      </c>
    </row>
    <row r="88" ht="31.5" customHeight="1" spans="1:19" x14ac:dyDescent="0.25">
      <c r="A88" s="5" t="s">
        <v>535</v>
      </c>
      <c r="B88" s="6" t="s">
        <v>536</v>
      </c>
      <c r="C88" s="6"/>
      <c r="D88" s="5" t="s">
        <v>138</v>
      </c>
      <c r="E88" s="5" t="s">
        <v>11</v>
      </c>
      <c r="F88" s="5" t="s">
        <v>11</v>
      </c>
      <c r="G88" s="5" t="s">
        <v>11</v>
      </c>
      <c r="H88" s="7">
        <v>1</v>
      </c>
      <c r="I88" s="8">
        <v>150000</v>
      </c>
      <c r="J88" s="8"/>
      <c r="K88" s="8">
        <v>0</v>
      </c>
      <c r="L88" s="8">
        <v>0</v>
      </c>
      <c r="M88" s="8"/>
      <c r="N88" s="8">
        <f>I88-L88</f>
        <v>150000</v>
      </c>
      <c r="O88" s="8">
        <v>0</v>
      </c>
      <c r="P88" s="8">
        <v>0</v>
      </c>
      <c r="Q88" s="8"/>
      <c r="R88" s="8">
        <v>0</v>
      </c>
      <c r="S88" s="8">
        <v>0</v>
      </c>
    </row>
    <row r="89" ht="31.5" customHeight="1" spans="1:19" x14ac:dyDescent="0.25">
      <c r="A89" s="5" t="s">
        <v>537</v>
      </c>
      <c r="B89" s="6" t="s">
        <v>538</v>
      </c>
      <c r="C89" s="6"/>
      <c r="D89" s="5" t="s">
        <v>138</v>
      </c>
      <c r="E89" s="5" t="s">
        <v>11</v>
      </c>
      <c r="F89" s="5" t="s">
        <v>11</v>
      </c>
      <c r="G89" s="5" t="s">
        <v>11</v>
      </c>
      <c r="H89" s="7">
        <v>1</v>
      </c>
      <c r="I89" s="8">
        <v>20000</v>
      </c>
      <c r="J89" s="8"/>
      <c r="K89" s="8">
        <v>0</v>
      </c>
      <c r="L89" s="8">
        <v>10250</v>
      </c>
      <c r="M89" s="8"/>
      <c r="N89" s="8">
        <f>I89-L89</f>
        <v>9750</v>
      </c>
      <c r="O89" s="8">
        <v>0</v>
      </c>
      <c r="P89" s="8">
        <v>0</v>
      </c>
      <c r="Q89" s="8"/>
      <c r="R89" s="8">
        <v>0</v>
      </c>
      <c r="S89" s="8">
        <v>0</v>
      </c>
    </row>
    <row r="90" ht="31.5" customHeight="1" spans="1:19" x14ac:dyDescent="0.25">
      <c r="A90" s="5" t="s">
        <v>539</v>
      </c>
      <c r="B90" s="6" t="s">
        <v>540</v>
      </c>
      <c r="C90" s="6"/>
      <c r="D90" s="5" t="s">
        <v>138</v>
      </c>
      <c r="E90" s="5" t="s">
        <v>11</v>
      </c>
      <c r="F90" s="5" t="s">
        <v>11</v>
      </c>
      <c r="G90" s="5" t="s">
        <v>11</v>
      </c>
      <c r="H90" s="7">
        <v>1</v>
      </c>
      <c r="I90" s="8">
        <v>15000</v>
      </c>
      <c r="J90" s="8"/>
      <c r="K90" s="8">
        <v>0</v>
      </c>
      <c r="L90" s="8">
        <v>4527.77</v>
      </c>
      <c r="M90" s="8"/>
      <c r="N90" s="8">
        <f>I90-L90</f>
        <v>10472.23</v>
      </c>
      <c r="O90" s="8">
        <v>0</v>
      </c>
      <c r="P90" s="8">
        <v>0</v>
      </c>
      <c r="Q90" s="8"/>
      <c r="R90" s="8">
        <v>0</v>
      </c>
      <c r="S90" s="8">
        <v>0</v>
      </c>
    </row>
    <row r="91" ht="31.5" customHeight="1" spans="1:19" x14ac:dyDescent="0.25">
      <c r="A91" s="5" t="s">
        <v>541</v>
      </c>
      <c r="B91" s="6" t="s">
        <v>542</v>
      </c>
      <c r="C91" s="6"/>
      <c r="D91" s="5" t="s">
        <v>138</v>
      </c>
      <c r="E91" s="5" t="s">
        <v>11</v>
      </c>
      <c r="F91" s="5" t="s">
        <v>11</v>
      </c>
      <c r="G91" s="5" t="s">
        <v>11</v>
      </c>
      <c r="H91" s="7">
        <v>1</v>
      </c>
      <c r="I91" s="8">
        <v>15000</v>
      </c>
      <c r="J91" s="8"/>
      <c r="K91" s="8">
        <v>0</v>
      </c>
      <c r="L91" s="8">
        <v>4527.77</v>
      </c>
      <c r="M91" s="8"/>
      <c r="N91" s="8">
        <f>I91-L91</f>
        <v>10472.23</v>
      </c>
      <c r="O91" s="8">
        <v>0</v>
      </c>
      <c r="P91" s="8">
        <v>0</v>
      </c>
      <c r="Q91" s="8"/>
      <c r="R91" s="8">
        <v>0</v>
      </c>
      <c r="S91" s="8">
        <v>0</v>
      </c>
    </row>
    <row r="92" ht="31.5" customHeight="1" spans="1:19" x14ac:dyDescent="0.25">
      <c r="A92" s="5" t="s">
        <v>543</v>
      </c>
      <c r="B92" s="6" t="s">
        <v>544</v>
      </c>
      <c r="C92" s="6"/>
      <c r="D92" s="5" t="s">
        <v>138</v>
      </c>
      <c r="E92" s="5" t="s">
        <v>11</v>
      </c>
      <c r="F92" s="5" t="s">
        <v>11</v>
      </c>
      <c r="G92" s="5" t="s">
        <v>11</v>
      </c>
      <c r="H92" s="7">
        <v>1</v>
      </c>
      <c r="I92" s="8">
        <v>10000</v>
      </c>
      <c r="J92" s="8"/>
      <c r="K92" s="8">
        <v>0</v>
      </c>
      <c r="L92" s="8">
        <v>2087.18</v>
      </c>
      <c r="M92" s="8"/>
      <c r="N92" s="8">
        <f>I92-L92</f>
        <v>7912.82</v>
      </c>
      <c r="O92" s="8">
        <v>0</v>
      </c>
      <c r="P92" s="8">
        <v>0</v>
      </c>
      <c r="Q92" s="8"/>
      <c r="R92" s="8">
        <v>0</v>
      </c>
      <c r="S92" s="8">
        <v>0</v>
      </c>
    </row>
    <row r="93" ht="31.5" customHeight="1" spans="1:19" x14ac:dyDescent="0.25">
      <c r="A93" s="5" t="s">
        <v>545</v>
      </c>
      <c r="B93" s="6" t="s">
        <v>546</v>
      </c>
      <c r="C93" s="6"/>
      <c r="D93" s="5" t="s">
        <v>363</v>
      </c>
      <c r="E93" s="5" t="s">
        <v>11</v>
      </c>
      <c r="F93" s="5" t="s">
        <v>11</v>
      </c>
      <c r="G93" s="5" t="s">
        <v>11</v>
      </c>
      <c r="H93" s="7">
        <v>1</v>
      </c>
      <c r="I93" s="8">
        <v>20000</v>
      </c>
      <c r="J93" s="8"/>
      <c r="K93" s="8">
        <v>0</v>
      </c>
      <c r="L93" s="8">
        <v>10250</v>
      </c>
      <c r="M93" s="8"/>
      <c r="N93" s="8">
        <f>I93-L93</f>
        <v>9750</v>
      </c>
      <c r="O93" s="8">
        <v>0</v>
      </c>
      <c r="P93" s="8">
        <v>0</v>
      </c>
      <c r="Q93" s="8"/>
      <c r="R93" s="8">
        <v>0</v>
      </c>
      <c r="S93" s="8">
        <v>0</v>
      </c>
    </row>
    <row r="94" ht="31.5" customHeight="1" spans="1:19" x14ac:dyDescent="0.25">
      <c r="A94" s="5" t="s">
        <v>547</v>
      </c>
      <c r="B94" s="6" t="s">
        <v>548</v>
      </c>
      <c r="C94" s="6"/>
      <c r="D94" s="5" t="s">
        <v>363</v>
      </c>
      <c r="E94" s="5" t="s">
        <v>11</v>
      </c>
      <c r="F94" s="5" t="s">
        <v>11</v>
      </c>
      <c r="G94" s="5" t="s">
        <v>11</v>
      </c>
      <c r="H94" s="7">
        <v>1</v>
      </c>
      <c r="I94" s="8">
        <v>20000</v>
      </c>
      <c r="J94" s="8"/>
      <c r="K94" s="8">
        <v>0</v>
      </c>
      <c r="L94" s="8">
        <v>10250</v>
      </c>
      <c r="M94" s="8"/>
      <c r="N94" s="8">
        <f>I94-L94</f>
        <v>9750</v>
      </c>
      <c r="O94" s="8">
        <v>0</v>
      </c>
      <c r="P94" s="8">
        <v>0</v>
      </c>
      <c r="Q94" s="8"/>
      <c r="R94" s="8">
        <v>0</v>
      </c>
      <c r="S94" s="8">
        <v>0</v>
      </c>
    </row>
    <row r="95" ht="31.5" customHeight="1" spans="1:19" x14ac:dyDescent="0.25">
      <c r="A95" s="5" t="s">
        <v>549</v>
      </c>
      <c r="B95" s="6" t="s">
        <v>550</v>
      </c>
      <c r="C95" s="6"/>
      <c r="D95" s="5" t="s">
        <v>363</v>
      </c>
      <c r="E95" s="5" t="s">
        <v>11</v>
      </c>
      <c r="F95" s="5" t="s">
        <v>11</v>
      </c>
      <c r="G95" s="5" t="s">
        <v>11</v>
      </c>
      <c r="H95" s="7">
        <v>1</v>
      </c>
      <c r="I95" s="8">
        <v>20000</v>
      </c>
      <c r="J95" s="8"/>
      <c r="K95" s="8">
        <v>0</v>
      </c>
      <c r="L95" s="8">
        <v>10250</v>
      </c>
      <c r="M95" s="8"/>
      <c r="N95" s="8">
        <f>I95-L95</f>
        <v>9750</v>
      </c>
      <c r="O95" s="8">
        <v>0</v>
      </c>
      <c r="P95" s="8">
        <v>0</v>
      </c>
      <c r="Q95" s="8"/>
      <c r="R95" s="8">
        <v>0</v>
      </c>
      <c r="S95" s="8">
        <v>0</v>
      </c>
    </row>
    <row r="96" ht="31.5" customHeight="1" spans="1:19" x14ac:dyDescent="0.25">
      <c r="A96" s="5" t="s">
        <v>551</v>
      </c>
      <c r="B96" s="6" t="s">
        <v>552</v>
      </c>
      <c r="C96" s="6"/>
      <c r="D96" s="5" t="s">
        <v>363</v>
      </c>
      <c r="E96" s="5" t="s">
        <v>11</v>
      </c>
      <c r="F96" s="5" t="s">
        <v>11</v>
      </c>
      <c r="G96" s="5" t="s">
        <v>11</v>
      </c>
      <c r="H96" s="7">
        <v>1</v>
      </c>
      <c r="I96" s="8">
        <v>20000</v>
      </c>
      <c r="J96" s="8"/>
      <c r="K96" s="8">
        <v>0</v>
      </c>
      <c r="L96" s="8">
        <v>10250</v>
      </c>
      <c r="M96" s="8"/>
      <c r="N96" s="8">
        <f>I96-L96</f>
        <v>9750</v>
      </c>
      <c r="O96" s="8">
        <v>0</v>
      </c>
      <c r="P96" s="8">
        <v>0</v>
      </c>
      <c r="Q96" s="8"/>
      <c r="R96" s="8">
        <v>0</v>
      </c>
      <c r="S96" s="8">
        <v>0</v>
      </c>
    </row>
    <row r="97" ht="31.5" customHeight="1" spans="1:19" x14ac:dyDescent="0.25">
      <c r="A97" s="5" t="s">
        <v>553</v>
      </c>
      <c r="B97" s="6" t="s">
        <v>554</v>
      </c>
      <c r="C97" s="6"/>
      <c r="D97" s="5" t="s">
        <v>363</v>
      </c>
      <c r="E97" s="5" t="s">
        <v>11</v>
      </c>
      <c r="F97" s="5" t="s">
        <v>11</v>
      </c>
      <c r="G97" s="5" t="s">
        <v>11</v>
      </c>
      <c r="H97" s="7">
        <v>4</v>
      </c>
      <c r="I97" s="8">
        <v>700000</v>
      </c>
      <c r="J97" s="8"/>
      <c r="K97" s="8">
        <v>0</v>
      </c>
      <c r="L97" s="8">
        <v>0</v>
      </c>
      <c r="M97" s="8"/>
      <c r="N97" s="8">
        <f>I97-L97</f>
        <v>700000</v>
      </c>
      <c r="O97" s="8">
        <v>0</v>
      </c>
      <c r="P97" s="8">
        <v>0</v>
      </c>
      <c r="Q97" s="8"/>
      <c r="R97" s="8">
        <v>0</v>
      </c>
      <c r="S97" s="8">
        <v>0</v>
      </c>
    </row>
    <row r="98" ht="31.5" customHeight="1" spans="1:19" x14ac:dyDescent="0.25">
      <c r="A98" s="5" t="s">
        <v>555</v>
      </c>
      <c r="B98" s="6" t="s">
        <v>556</v>
      </c>
      <c r="C98" s="6"/>
      <c r="D98" s="5" t="s">
        <v>363</v>
      </c>
      <c r="E98" s="5" t="s">
        <v>11</v>
      </c>
      <c r="F98" s="5" t="s">
        <v>11</v>
      </c>
      <c r="G98" s="5" t="s">
        <v>11</v>
      </c>
      <c r="H98" s="7">
        <v>2</v>
      </c>
      <c r="I98" s="8">
        <v>380000</v>
      </c>
      <c r="J98" s="8"/>
      <c r="K98" s="8">
        <v>0</v>
      </c>
      <c r="L98" s="8">
        <v>0</v>
      </c>
      <c r="M98" s="8"/>
      <c r="N98" s="8">
        <f>I98-L98</f>
        <v>380000</v>
      </c>
      <c r="O98" s="8">
        <v>0</v>
      </c>
      <c r="P98" s="8">
        <v>0</v>
      </c>
      <c r="Q98" s="8"/>
      <c r="R98" s="8">
        <v>0</v>
      </c>
      <c r="S98" s="8">
        <v>0</v>
      </c>
    </row>
    <row r="99" ht="31.5" customHeight="1" spans="1:19" x14ac:dyDescent="0.25">
      <c r="A99" s="5" t="s">
        <v>557</v>
      </c>
      <c r="B99" s="6" t="s">
        <v>558</v>
      </c>
      <c r="C99" s="6"/>
      <c r="D99" s="5" t="s">
        <v>363</v>
      </c>
      <c r="E99" s="5" t="s">
        <v>11</v>
      </c>
      <c r="F99" s="5" t="s">
        <v>11</v>
      </c>
      <c r="G99" s="5" t="s">
        <v>11</v>
      </c>
      <c r="H99" s="7">
        <v>1</v>
      </c>
      <c r="I99" s="8">
        <v>10000</v>
      </c>
      <c r="J99" s="8"/>
      <c r="K99" s="8">
        <v>0</v>
      </c>
      <c r="L99" s="8">
        <v>2087.18</v>
      </c>
      <c r="M99" s="8"/>
      <c r="N99" s="8">
        <f>I99-L99</f>
        <v>7912.82</v>
      </c>
      <c r="O99" s="8">
        <v>0</v>
      </c>
      <c r="P99" s="8">
        <v>0</v>
      </c>
      <c r="Q99" s="8"/>
      <c r="R99" s="8">
        <v>0</v>
      </c>
      <c r="S99" s="8">
        <v>0</v>
      </c>
    </row>
    <row r="100" ht="31.5" customHeight="1" spans="1:19" x14ac:dyDescent="0.25">
      <c r="A100" s="5" t="s">
        <v>559</v>
      </c>
      <c r="B100" s="6" t="s">
        <v>560</v>
      </c>
      <c r="C100" s="6"/>
      <c r="D100" s="5" t="s">
        <v>363</v>
      </c>
      <c r="E100" s="5" t="s">
        <v>11</v>
      </c>
      <c r="F100" s="5" t="s">
        <v>11</v>
      </c>
      <c r="G100" s="5" t="s">
        <v>11</v>
      </c>
      <c r="H100" s="7">
        <v>1</v>
      </c>
      <c r="I100" s="8">
        <v>12000</v>
      </c>
      <c r="J100" s="8"/>
      <c r="K100" s="8">
        <v>0</v>
      </c>
      <c r="L100" s="8">
        <v>6250</v>
      </c>
      <c r="M100" s="8"/>
      <c r="N100" s="8">
        <f>I100-L100</f>
        <v>5750</v>
      </c>
      <c r="O100" s="8">
        <v>0</v>
      </c>
      <c r="P100" s="8">
        <v>0</v>
      </c>
      <c r="Q100" s="8"/>
      <c r="R100" s="8">
        <v>0</v>
      </c>
      <c r="S100" s="8">
        <v>0</v>
      </c>
    </row>
    <row r="101" ht="31.5" customHeight="1" spans="1:19" x14ac:dyDescent="0.25">
      <c r="A101" s="5" t="s">
        <v>561</v>
      </c>
      <c r="B101" s="6" t="s">
        <v>562</v>
      </c>
      <c r="C101" s="6"/>
      <c r="D101" s="5" t="s">
        <v>363</v>
      </c>
      <c r="E101" s="5" t="s">
        <v>11</v>
      </c>
      <c r="F101" s="5" t="s">
        <v>11</v>
      </c>
      <c r="G101" s="5" t="s">
        <v>11</v>
      </c>
      <c r="H101" s="7">
        <v>1</v>
      </c>
      <c r="I101" s="8">
        <v>10000</v>
      </c>
      <c r="J101" s="8"/>
      <c r="K101" s="8">
        <v>0</v>
      </c>
      <c r="L101" s="8">
        <v>2087.18</v>
      </c>
      <c r="M101" s="8"/>
      <c r="N101" s="8">
        <f>I101-L101</f>
        <v>7912.82</v>
      </c>
      <c r="O101" s="8">
        <v>0</v>
      </c>
      <c r="P101" s="8">
        <v>0</v>
      </c>
      <c r="Q101" s="8"/>
      <c r="R101" s="8">
        <v>0</v>
      </c>
      <c r="S101" s="8">
        <v>0</v>
      </c>
    </row>
    <row r="102" ht="31.5" customHeight="1" spans="1:19" x14ac:dyDescent="0.25">
      <c r="A102" s="5" t="s">
        <v>563</v>
      </c>
      <c r="B102" s="6" t="s">
        <v>564</v>
      </c>
      <c r="C102" s="6"/>
      <c r="D102" s="5" t="s">
        <v>363</v>
      </c>
      <c r="E102" s="5" t="s">
        <v>11</v>
      </c>
      <c r="F102" s="5" t="s">
        <v>11</v>
      </c>
      <c r="G102" s="5" t="s">
        <v>11</v>
      </c>
      <c r="H102" s="7">
        <v>1</v>
      </c>
      <c r="I102" s="8">
        <v>20000</v>
      </c>
      <c r="J102" s="8"/>
      <c r="K102" s="8">
        <v>0</v>
      </c>
      <c r="L102" s="8">
        <v>10250</v>
      </c>
      <c r="M102" s="8"/>
      <c r="N102" s="8">
        <f>I102-L102</f>
        <v>9750</v>
      </c>
      <c r="O102" s="8">
        <v>0</v>
      </c>
      <c r="P102" s="8">
        <v>0</v>
      </c>
      <c r="Q102" s="8"/>
      <c r="R102" s="8">
        <v>0</v>
      </c>
      <c r="S102" s="8">
        <v>0</v>
      </c>
    </row>
    <row r="103" ht="18" customHeight="1" spans="1:19" x14ac:dyDescent="0.25">
      <c r="A103" s="9" t="s">
        <v>177</v>
      </c>
      <c r="B103" s="9"/>
      <c r="C103" s="9"/>
      <c r="D103" s="9"/>
      <c r="E103" s="9"/>
      <c r="F103" s="9"/>
      <c r="G103" s="9"/>
      <c r="H103" s="10">
        <f>SUM(H5:H102)</f>
        <v>141</v>
      </c>
      <c r="I103" s="11">
        <f>SUM(I5:I102)</f>
        <v>5298000</v>
      </c>
      <c r="J103" s="11"/>
      <c r="K103" s="11">
        <v>0</v>
      </c>
      <c r="L103" s="11">
        <f>SUM(L5:L102)</f>
        <v>605227.7400000003</v>
      </c>
      <c r="M103" s="11"/>
      <c r="N103" s="11">
        <f>SUM(N5:N102)</f>
        <v>4692772.26</v>
      </c>
      <c r="O103" s="11">
        <v>0</v>
      </c>
      <c r="P103" s="11">
        <v>0</v>
      </c>
      <c r="Q103" s="11"/>
      <c r="R103" s="11">
        <f>SUM(R5:R102)</f>
        <v>0</v>
      </c>
      <c r="S103" s="11">
        <v>0</v>
      </c>
    </row>
  </sheetData>
  <mergeCells count="412">
    <mergeCell ref="A1:S1"/>
    <mergeCell ref="A2:B2"/>
    <mergeCell ref="C2:E2"/>
    <mergeCell ref="F2:I2"/>
    <mergeCell ref="J2:L2"/>
    <mergeCell ref="M2:P2"/>
    <mergeCell ref="Q2:S2"/>
    <mergeCell ref="A3:B3"/>
    <mergeCell ref="C3:E3"/>
    <mergeCell ref="F3:I3"/>
    <mergeCell ref="J3:L3"/>
    <mergeCell ref="M3:S3"/>
    <mergeCell ref="B4:C4"/>
    <mergeCell ref="I4:J4"/>
    <mergeCell ref="L4:M4"/>
    <mergeCell ref="P4:Q4"/>
    <mergeCell ref="B5:C5"/>
    <mergeCell ref="I5:J5"/>
    <mergeCell ref="L5:M5"/>
    <mergeCell ref="P5:Q5"/>
    <mergeCell ref="B6:C6"/>
    <mergeCell ref="I6:J6"/>
    <mergeCell ref="L6:M6"/>
    <mergeCell ref="P6:Q6"/>
    <mergeCell ref="B7:C7"/>
    <mergeCell ref="I7:J7"/>
    <mergeCell ref="L7:M7"/>
    <mergeCell ref="P7:Q7"/>
    <mergeCell ref="B8:C8"/>
    <mergeCell ref="I8:J8"/>
    <mergeCell ref="L8:M8"/>
    <mergeCell ref="P8:Q8"/>
    <mergeCell ref="B9:C9"/>
    <mergeCell ref="I9:J9"/>
    <mergeCell ref="L9:M9"/>
    <mergeCell ref="P9:Q9"/>
    <mergeCell ref="B10:C10"/>
    <mergeCell ref="I10:J10"/>
    <mergeCell ref="L10:M10"/>
    <mergeCell ref="P10:Q10"/>
    <mergeCell ref="B11:C11"/>
    <mergeCell ref="I11:J11"/>
    <mergeCell ref="L11:M11"/>
    <mergeCell ref="P11:Q11"/>
    <mergeCell ref="B12:C12"/>
    <mergeCell ref="I12:J12"/>
    <mergeCell ref="L12:M12"/>
    <mergeCell ref="P12:Q12"/>
    <mergeCell ref="B13:C13"/>
    <mergeCell ref="I13:J13"/>
    <mergeCell ref="L13:M13"/>
    <mergeCell ref="P13:Q13"/>
    <mergeCell ref="B14:C14"/>
    <mergeCell ref="I14:J14"/>
    <mergeCell ref="L14:M14"/>
    <mergeCell ref="P14:Q14"/>
    <mergeCell ref="B15:C15"/>
    <mergeCell ref="I15:J15"/>
    <mergeCell ref="L15:M15"/>
    <mergeCell ref="P15:Q15"/>
    <mergeCell ref="B16:C16"/>
    <mergeCell ref="I16:J16"/>
    <mergeCell ref="L16:M16"/>
    <mergeCell ref="P16:Q16"/>
    <mergeCell ref="B17:C17"/>
    <mergeCell ref="I17:J17"/>
    <mergeCell ref="L17:M17"/>
    <mergeCell ref="P17:Q17"/>
    <mergeCell ref="B18:C18"/>
    <mergeCell ref="I18:J18"/>
    <mergeCell ref="L18:M18"/>
    <mergeCell ref="P18:Q18"/>
    <mergeCell ref="B19:C19"/>
    <mergeCell ref="I19:J19"/>
    <mergeCell ref="L19:M19"/>
    <mergeCell ref="P19:Q19"/>
    <mergeCell ref="B20:C20"/>
    <mergeCell ref="I20:J20"/>
    <mergeCell ref="L20:M20"/>
    <mergeCell ref="P20:Q20"/>
    <mergeCell ref="B21:C21"/>
    <mergeCell ref="I21:J21"/>
    <mergeCell ref="L21:M21"/>
    <mergeCell ref="P21:Q21"/>
    <mergeCell ref="B22:C22"/>
    <mergeCell ref="I22:J22"/>
    <mergeCell ref="L22:M22"/>
    <mergeCell ref="P22:Q22"/>
    <mergeCell ref="B23:C23"/>
    <mergeCell ref="I23:J23"/>
    <mergeCell ref="L23:M23"/>
    <mergeCell ref="P23:Q23"/>
    <mergeCell ref="B24:C24"/>
    <mergeCell ref="I24:J24"/>
    <mergeCell ref="L24:M24"/>
    <mergeCell ref="P24:Q24"/>
    <mergeCell ref="B25:C25"/>
    <mergeCell ref="I25:J25"/>
    <mergeCell ref="L25:M25"/>
    <mergeCell ref="P25:Q25"/>
    <mergeCell ref="B26:C26"/>
    <mergeCell ref="I26:J26"/>
    <mergeCell ref="L26:M26"/>
    <mergeCell ref="P26:Q26"/>
    <mergeCell ref="B27:C27"/>
    <mergeCell ref="I27:J27"/>
    <mergeCell ref="L27:M27"/>
    <mergeCell ref="P27:Q27"/>
    <mergeCell ref="B28:C28"/>
    <mergeCell ref="I28:J28"/>
    <mergeCell ref="L28:M28"/>
    <mergeCell ref="P28:Q28"/>
    <mergeCell ref="B29:C29"/>
    <mergeCell ref="I29:J29"/>
    <mergeCell ref="L29:M29"/>
    <mergeCell ref="P29:Q29"/>
    <mergeCell ref="B30:C30"/>
    <mergeCell ref="I30:J30"/>
    <mergeCell ref="L30:M30"/>
    <mergeCell ref="P30:Q30"/>
    <mergeCell ref="B31:C31"/>
    <mergeCell ref="I31:J31"/>
    <mergeCell ref="L31:M31"/>
    <mergeCell ref="P31:Q31"/>
    <mergeCell ref="B32:C32"/>
    <mergeCell ref="I32:J32"/>
    <mergeCell ref="L32:M32"/>
    <mergeCell ref="P32:Q32"/>
    <mergeCell ref="B33:C33"/>
    <mergeCell ref="I33:J33"/>
    <mergeCell ref="L33:M33"/>
    <mergeCell ref="P33:Q33"/>
    <mergeCell ref="B34:C34"/>
    <mergeCell ref="I34:J34"/>
    <mergeCell ref="L34:M34"/>
    <mergeCell ref="P34:Q34"/>
    <mergeCell ref="B35:C35"/>
    <mergeCell ref="I35:J35"/>
    <mergeCell ref="L35:M35"/>
    <mergeCell ref="P35:Q35"/>
    <mergeCell ref="B36:C36"/>
    <mergeCell ref="I36:J36"/>
    <mergeCell ref="L36:M36"/>
    <mergeCell ref="P36:Q36"/>
    <mergeCell ref="B37:C37"/>
    <mergeCell ref="I37:J37"/>
    <mergeCell ref="L37:M37"/>
    <mergeCell ref="P37:Q37"/>
    <mergeCell ref="B38:C38"/>
    <mergeCell ref="I38:J38"/>
    <mergeCell ref="L38:M38"/>
    <mergeCell ref="P38:Q38"/>
    <mergeCell ref="B39:C39"/>
    <mergeCell ref="I39:J39"/>
    <mergeCell ref="L39:M39"/>
    <mergeCell ref="P39:Q39"/>
    <mergeCell ref="B40:C40"/>
    <mergeCell ref="I40:J40"/>
    <mergeCell ref="L40:M40"/>
    <mergeCell ref="P40:Q40"/>
    <mergeCell ref="B41:C41"/>
    <mergeCell ref="I41:J41"/>
    <mergeCell ref="L41:M41"/>
    <mergeCell ref="P41:Q41"/>
    <mergeCell ref="B42:C42"/>
    <mergeCell ref="I42:J42"/>
    <mergeCell ref="L42:M42"/>
    <mergeCell ref="P42:Q42"/>
    <mergeCell ref="B43:C43"/>
    <mergeCell ref="I43:J43"/>
    <mergeCell ref="L43:M43"/>
    <mergeCell ref="P43:Q43"/>
    <mergeCell ref="B44:C44"/>
    <mergeCell ref="I44:J44"/>
    <mergeCell ref="L44:M44"/>
    <mergeCell ref="P44:Q44"/>
    <mergeCell ref="B45:C45"/>
    <mergeCell ref="I45:J45"/>
    <mergeCell ref="L45:M45"/>
    <mergeCell ref="P45:Q45"/>
    <mergeCell ref="B46:C46"/>
    <mergeCell ref="I46:J46"/>
    <mergeCell ref="L46:M46"/>
    <mergeCell ref="P46:Q46"/>
    <mergeCell ref="B47:C47"/>
    <mergeCell ref="I47:J47"/>
    <mergeCell ref="L47:M47"/>
    <mergeCell ref="P47:Q47"/>
    <mergeCell ref="B48:C48"/>
    <mergeCell ref="I48:J48"/>
    <mergeCell ref="L48:M48"/>
    <mergeCell ref="P48:Q48"/>
    <mergeCell ref="B49:C49"/>
    <mergeCell ref="I49:J49"/>
    <mergeCell ref="L49:M49"/>
    <mergeCell ref="P49:Q49"/>
    <mergeCell ref="B50:C50"/>
    <mergeCell ref="I50:J50"/>
    <mergeCell ref="L50:M50"/>
    <mergeCell ref="P50:Q50"/>
    <mergeCell ref="B51:C51"/>
    <mergeCell ref="I51:J51"/>
    <mergeCell ref="L51:M51"/>
    <mergeCell ref="P51:Q51"/>
    <mergeCell ref="B52:C52"/>
    <mergeCell ref="I52:J52"/>
    <mergeCell ref="L52:M52"/>
    <mergeCell ref="P52:Q52"/>
    <mergeCell ref="B53:C53"/>
    <mergeCell ref="I53:J53"/>
    <mergeCell ref="L53:M53"/>
    <mergeCell ref="P53:Q53"/>
    <mergeCell ref="B54:C54"/>
    <mergeCell ref="I54:J54"/>
    <mergeCell ref="L54:M54"/>
    <mergeCell ref="P54:Q54"/>
    <mergeCell ref="B55:C55"/>
    <mergeCell ref="I55:J55"/>
    <mergeCell ref="L55:M55"/>
    <mergeCell ref="P55:Q55"/>
    <mergeCell ref="B56:C56"/>
    <mergeCell ref="I56:J56"/>
    <mergeCell ref="L56:M56"/>
    <mergeCell ref="P56:Q56"/>
    <mergeCell ref="B57:C57"/>
    <mergeCell ref="I57:J57"/>
    <mergeCell ref="L57:M57"/>
    <mergeCell ref="P57:Q57"/>
    <mergeCell ref="B58:C58"/>
    <mergeCell ref="I58:J58"/>
    <mergeCell ref="L58:M58"/>
    <mergeCell ref="P58:Q58"/>
    <mergeCell ref="B59:C59"/>
    <mergeCell ref="I59:J59"/>
    <mergeCell ref="L59:M59"/>
    <mergeCell ref="P59:Q59"/>
    <mergeCell ref="B60:C60"/>
    <mergeCell ref="I60:J60"/>
    <mergeCell ref="L60:M60"/>
    <mergeCell ref="P60:Q60"/>
    <mergeCell ref="B61:C61"/>
    <mergeCell ref="I61:J61"/>
    <mergeCell ref="L61:M61"/>
    <mergeCell ref="P61:Q61"/>
    <mergeCell ref="B62:C62"/>
    <mergeCell ref="I62:J62"/>
    <mergeCell ref="L62:M62"/>
    <mergeCell ref="P62:Q62"/>
    <mergeCell ref="B63:C63"/>
    <mergeCell ref="I63:J63"/>
    <mergeCell ref="L63:M63"/>
    <mergeCell ref="P63:Q63"/>
    <mergeCell ref="B64:C64"/>
    <mergeCell ref="I64:J64"/>
    <mergeCell ref="L64:M64"/>
    <mergeCell ref="P64:Q64"/>
    <mergeCell ref="B65:C65"/>
    <mergeCell ref="I65:J65"/>
    <mergeCell ref="L65:M65"/>
    <mergeCell ref="P65:Q65"/>
    <mergeCell ref="B66:C66"/>
    <mergeCell ref="I66:J66"/>
    <mergeCell ref="L66:M66"/>
    <mergeCell ref="P66:Q66"/>
    <mergeCell ref="B67:C67"/>
    <mergeCell ref="I67:J67"/>
    <mergeCell ref="L67:M67"/>
    <mergeCell ref="P67:Q67"/>
    <mergeCell ref="B68:C68"/>
    <mergeCell ref="I68:J68"/>
    <mergeCell ref="L68:M68"/>
    <mergeCell ref="P68:Q68"/>
    <mergeCell ref="B69:C69"/>
    <mergeCell ref="I69:J69"/>
    <mergeCell ref="L69:M69"/>
    <mergeCell ref="P69:Q69"/>
    <mergeCell ref="B70:C70"/>
    <mergeCell ref="I70:J70"/>
    <mergeCell ref="L70:M70"/>
    <mergeCell ref="P70:Q70"/>
    <mergeCell ref="B71:C71"/>
    <mergeCell ref="I71:J71"/>
    <mergeCell ref="L71:M71"/>
    <mergeCell ref="P71:Q71"/>
    <mergeCell ref="B72:C72"/>
    <mergeCell ref="I72:J72"/>
    <mergeCell ref="L72:M72"/>
    <mergeCell ref="P72:Q72"/>
    <mergeCell ref="B73:C73"/>
    <mergeCell ref="I73:J73"/>
    <mergeCell ref="L73:M73"/>
    <mergeCell ref="P73:Q73"/>
    <mergeCell ref="B74:C74"/>
    <mergeCell ref="I74:J74"/>
    <mergeCell ref="L74:M74"/>
    <mergeCell ref="P74:Q74"/>
    <mergeCell ref="B75:C75"/>
    <mergeCell ref="I75:J75"/>
    <mergeCell ref="L75:M75"/>
    <mergeCell ref="P75:Q75"/>
    <mergeCell ref="B76:C76"/>
    <mergeCell ref="I76:J76"/>
    <mergeCell ref="L76:M76"/>
    <mergeCell ref="P76:Q76"/>
    <mergeCell ref="B77:C77"/>
    <mergeCell ref="I77:J77"/>
    <mergeCell ref="L77:M77"/>
    <mergeCell ref="P77:Q77"/>
    <mergeCell ref="B78:C78"/>
    <mergeCell ref="I78:J78"/>
    <mergeCell ref="L78:M78"/>
    <mergeCell ref="P78:Q78"/>
    <mergeCell ref="B79:C79"/>
    <mergeCell ref="I79:J79"/>
    <mergeCell ref="L79:M79"/>
    <mergeCell ref="P79:Q79"/>
    <mergeCell ref="B80:C80"/>
    <mergeCell ref="I80:J80"/>
    <mergeCell ref="L80:M80"/>
    <mergeCell ref="P80:Q80"/>
    <mergeCell ref="B81:C81"/>
    <mergeCell ref="I81:J81"/>
    <mergeCell ref="L81:M81"/>
    <mergeCell ref="P81:Q81"/>
    <mergeCell ref="B82:C82"/>
    <mergeCell ref="I82:J82"/>
    <mergeCell ref="L82:M82"/>
    <mergeCell ref="P82:Q82"/>
    <mergeCell ref="B83:C83"/>
    <mergeCell ref="I83:J83"/>
    <mergeCell ref="L83:M83"/>
    <mergeCell ref="P83:Q83"/>
    <mergeCell ref="B84:C84"/>
    <mergeCell ref="I84:J84"/>
    <mergeCell ref="L84:M84"/>
    <mergeCell ref="P84:Q84"/>
    <mergeCell ref="B85:C85"/>
    <mergeCell ref="I85:J85"/>
    <mergeCell ref="L85:M85"/>
    <mergeCell ref="P85:Q85"/>
    <mergeCell ref="B86:C86"/>
    <mergeCell ref="I86:J86"/>
    <mergeCell ref="L86:M86"/>
    <mergeCell ref="P86:Q86"/>
    <mergeCell ref="B87:C87"/>
    <mergeCell ref="I87:J87"/>
    <mergeCell ref="L87:M87"/>
    <mergeCell ref="P87:Q87"/>
    <mergeCell ref="B88:C88"/>
    <mergeCell ref="I88:J88"/>
    <mergeCell ref="L88:M88"/>
    <mergeCell ref="P88:Q88"/>
    <mergeCell ref="B89:C89"/>
    <mergeCell ref="I89:J89"/>
    <mergeCell ref="L89:M89"/>
    <mergeCell ref="P89:Q89"/>
    <mergeCell ref="B90:C90"/>
    <mergeCell ref="I90:J90"/>
    <mergeCell ref="L90:M90"/>
    <mergeCell ref="P90:Q90"/>
    <mergeCell ref="B91:C91"/>
    <mergeCell ref="I91:J91"/>
    <mergeCell ref="L91:M91"/>
    <mergeCell ref="P91:Q91"/>
    <mergeCell ref="B92:C92"/>
    <mergeCell ref="I92:J92"/>
    <mergeCell ref="L92:M92"/>
    <mergeCell ref="P92:Q92"/>
    <mergeCell ref="B93:C93"/>
    <mergeCell ref="I93:J93"/>
    <mergeCell ref="L93:M93"/>
    <mergeCell ref="P93:Q93"/>
    <mergeCell ref="B94:C94"/>
    <mergeCell ref="I94:J94"/>
    <mergeCell ref="L94:M94"/>
    <mergeCell ref="P94:Q94"/>
    <mergeCell ref="B95:C95"/>
    <mergeCell ref="I95:J95"/>
    <mergeCell ref="L95:M95"/>
    <mergeCell ref="P95:Q95"/>
    <mergeCell ref="B96:C96"/>
    <mergeCell ref="I96:J96"/>
    <mergeCell ref="L96:M96"/>
    <mergeCell ref="P96:Q96"/>
    <mergeCell ref="B97:C97"/>
    <mergeCell ref="I97:J97"/>
    <mergeCell ref="L97:M97"/>
    <mergeCell ref="P97:Q97"/>
    <mergeCell ref="B98:C98"/>
    <mergeCell ref="I98:J98"/>
    <mergeCell ref="L98:M98"/>
    <mergeCell ref="P98:Q98"/>
    <mergeCell ref="B99:C99"/>
    <mergeCell ref="I99:J99"/>
    <mergeCell ref="L99:M99"/>
    <mergeCell ref="P99:Q99"/>
    <mergeCell ref="B100:C100"/>
    <mergeCell ref="I100:J100"/>
    <mergeCell ref="L100:M100"/>
    <mergeCell ref="P100:Q100"/>
    <mergeCell ref="B101:C101"/>
    <mergeCell ref="I101:J101"/>
    <mergeCell ref="L101:M101"/>
    <mergeCell ref="P101:Q101"/>
    <mergeCell ref="B102:C102"/>
    <mergeCell ref="I102:J102"/>
    <mergeCell ref="L102:M102"/>
    <mergeCell ref="P102:Q102"/>
    <mergeCell ref="A103:G103"/>
    <mergeCell ref="I103:J103"/>
    <mergeCell ref="L103:M103"/>
    <mergeCell ref="P103:Q103"/>
  </mergeCells>
  <pageMargins left="0.2" right="0.2" top="0.3" bottom="0.3" header="0.1" footer="0.1"/>
  <pageSetup paperSize="9" orientation="landscape" horizontalDpi="4294967295" verticalDpi="4294967295" scale="100" fitToWidth="1" fitToHeight="0"/>
  <headerFooter>
    <oddFooter>&amp;LGenerated by AYO Olsera&amp;CPage &amp;P of &amp;N&amp;R&amp;D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4"/>
  <sheetViews>
    <sheetView workbookViewId="0" zoomScale="80"/>
  </sheetViews>
  <sheetFormatPr defaultRowHeight="15.75" outlineLevelRow="0" outlineLevelCol="0" x14ac:dyDescent="55" customHeight="1"/>
  <cols>
    <col min="1" max="1" width="22" customWidth="1"/>
    <col min="2" max="2" width="12.1" hidden="1" customWidth="1"/>
    <col min="3" max="3" width="15.7" customWidth="1"/>
    <col min="4" max="4" width="17.4" customWidth="1"/>
    <col min="5" max="5" width="0.1" hidden="1" customWidth="1"/>
    <col min="6" max="6" width="16" customWidth="1"/>
    <col min="7" max="7" width="12" customWidth="1"/>
    <col min="9" max="9" width="14" customWidth="1"/>
    <col min="10" max="10" width="10" customWidth="1"/>
    <col min="12" max="12" width="9" hidden="1" customWidth="1"/>
    <col min="13" max="13" width="10" customWidth="1"/>
    <col min="14" max="14" width="15" customWidth="1"/>
    <col min="16" max="16" width="0.1" customWidth="1"/>
    <col min="17" max="18" width="10" customWidth="1"/>
    <col min="19" max="19" width="11" customWidth="1"/>
  </cols>
  <sheetData>
    <row r="1" ht="52.5" customHeight="1" spans="1:19" x14ac:dyDescent="0.25">
      <c r="A1" s="1" t="s">
        <v>565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8.5" customHeight="1" spans="1:19" x14ac:dyDescent="0.25">
      <c r="A2" s="2" t="s">
        <v>566</v>
      </c>
      <c r="B2" s="2"/>
      <c r="C2" s="2" t="s">
        <v>2</v>
      </c>
      <c r="D2" s="2"/>
      <c r="E2" s="2"/>
      <c r="F2" s="2" t="s">
        <v>567</v>
      </c>
      <c r="G2" s="2"/>
      <c r="H2" s="2"/>
      <c r="I2" s="2"/>
      <c r="J2" s="2" t="s">
        <v>568</v>
      </c>
      <c r="K2" s="2"/>
      <c r="L2" s="2"/>
      <c r="M2" s="2" t="s">
        <v>5</v>
      </c>
      <c r="N2" s="2"/>
      <c r="O2" s="2"/>
      <c r="P2" s="2"/>
      <c r="Q2" s="2" t="s">
        <v>6</v>
      </c>
      <c r="R2" s="2"/>
      <c r="S2" s="2"/>
    </row>
    <row r="3" ht="31.5" customHeight="1" spans="1:19" x14ac:dyDescent="0.25">
      <c r="A3" s="2" t="s">
        <v>7</v>
      </c>
      <c r="B3" s="2"/>
      <c r="C3" s="2" t="s">
        <v>8</v>
      </c>
      <c r="D3" s="2"/>
      <c r="E3" s="2"/>
      <c r="F3" s="2" t="s">
        <v>569</v>
      </c>
      <c r="G3" s="2"/>
      <c r="H3" s="2"/>
      <c r="I3" s="2"/>
      <c r="J3" s="2" t="s">
        <v>10</v>
      </c>
      <c r="K3" s="2"/>
      <c r="L3" s="2"/>
      <c r="M3" s="3" t="s">
        <v>11</v>
      </c>
      <c r="N3" s="3"/>
      <c r="O3" s="3"/>
      <c r="P3" s="3"/>
      <c r="Q3" s="3"/>
      <c r="R3" s="3"/>
      <c r="S3" s="3"/>
    </row>
    <row r="4" ht="25.5" customHeight="1" spans="1:19" x14ac:dyDescent="0.25">
      <c r="A4" s="4" t="s">
        <v>12</v>
      </c>
      <c r="B4" s="4" t="s">
        <v>13</v>
      </c>
      <c r="C4" s="4"/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/>
      <c r="K4" s="4" t="s">
        <v>20</v>
      </c>
      <c r="L4" s="4" t="s">
        <v>21</v>
      </c>
      <c r="M4" s="4"/>
      <c r="N4" s="4" t="s">
        <v>22</v>
      </c>
      <c r="O4" s="4" t="s">
        <v>23</v>
      </c>
      <c r="P4" s="4" t="s">
        <v>24</v>
      </c>
      <c r="Q4" s="4"/>
      <c r="R4" s="4" t="s">
        <v>25</v>
      </c>
      <c r="S4" s="4" t="s">
        <v>26</v>
      </c>
    </row>
    <row r="5" ht="31.5" customHeight="1" spans="1:19" x14ac:dyDescent="0.25">
      <c r="A5" s="5" t="s">
        <v>570</v>
      </c>
      <c r="B5" s="6" t="s">
        <v>571</v>
      </c>
      <c r="C5" s="6"/>
      <c r="D5" s="5" t="s">
        <v>363</v>
      </c>
      <c r="E5" s="5" t="s">
        <v>11</v>
      </c>
      <c r="F5" s="5" t="s">
        <v>11</v>
      </c>
      <c r="G5" s="5" t="s">
        <v>11</v>
      </c>
      <c r="H5" s="7">
        <v>1</v>
      </c>
      <c r="I5" s="8">
        <v>10000</v>
      </c>
      <c r="J5" s="8"/>
      <c r="K5" s="8">
        <v>0</v>
      </c>
      <c r="L5" s="8">
        <v>2087.18</v>
      </c>
      <c r="M5" s="8"/>
      <c r="N5" s="8">
        <f>I5-L5</f>
        <v>7912.82</v>
      </c>
      <c r="O5" s="8">
        <v>0</v>
      </c>
      <c r="P5" s="8">
        <v>0</v>
      </c>
      <c r="Q5" s="8"/>
      <c r="R5" s="8">
        <v>0</v>
      </c>
      <c r="S5" s="8">
        <v>0</v>
      </c>
    </row>
    <row r="6" ht="31.5" customHeight="1" spans="1:19" x14ac:dyDescent="0.25">
      <c r="A6" s="5" t="s">
        <v>572</v>
      </c>
      <c r="B6" s="6" t="s">
        <v>573</v>
      </c>
      <c r="C6" s="6"/>
      <c r="D6" s="5" t="s">
        <v>363</v>
      </c>
      <c r="E6" s="5" t="s">
        <v>11</v>
      </c>
      <c r="F6" s="5" t="s">
        <v>11</v>
      </c>
      <c r="G6" s="5" t="s">
        <v>11</v>
      </c>
      <c r="H6" s="7">
        <v>1</v>
      </c>
      <c r="I6" s="8">
        <v>40000</v>
      </c>
      <c r="J6" s="8"/>
      <c r="K6" s="8">
        <v>0</v>
      </c>
      <c r="L6" s="8">
        <v>0</v>
      </c>
      <c r="M6" s="8"/>
      <c r="N6" s="8">
        <f>I6-L6</f>
        <v>40000</v>
      </c>
      <c r="O6" s="8">
        <v>0</v>
      </c>
      <c r="P6" s="8">
        <v>0</v>
      </c>
      <c r="Q6" s="8"/>
      <c r="R6" s="8">
        <v>0</v>
      </c>
      <c r="S6" s="8">
        <v>0</v>
      </c>
    </row>
    <row r="7" ht="31.5" customHeight="1" spans="1:19" x14ac:dyDescent="0.25">
      <c r="A7" s="5" t="s">
        <v>574</v>
      </c>
      <c r="B7" s="6" t="s">
        <v>575</v>
      </c>
      <c r="C7" s="6"/>
      <c r="D7" s="5" t="s">
        <v>363</v>
      </c>
      <c r="E7" s="5" t="s">
        <v>11</v>
      </c>
      <c r="F7" s="5" t="s">
        <v>11</v>
      </c>
      <c r="G7" s="5" t="s">
        <v>11</v>
      </c>
      <c r="H7" s="7">
        <v>1</v>
      </c>
      <c r="I7" s="8">
        <v>40000</v>
      </c>
      <c r="J7" s="8"/>
      <c r="K7" s="8">
        <v>0</v>
      </c>
      <c r="L7" s="8">
        <v>0</v>
      </c>
      <c r="M7" s="8"/>
      <c r="N7" s="8">
        <f>I7-L7</f>
        <v>40000</v>
      </c>
      <c r="O7" s="8">
        <v>0</v>
      </c>
      <c r="P7" s="8">
        <v>0</v>
      </c>
      <c r="Q7" s="8"/>
      <c r="R7" s="8">
        <v>0</v>
      </c>
      <c r="S7" s="8">
        <v>0</v>
      </c>
    </row>
    <row r="8" ht="31.5" customHeight="1" spans="1:19" x14ac:dyDescent="0.25">
      <c r="A8" s="5" t="s">
        <v>576</v>
      </c>
      <c r="B8" s="6" t="s">
        <v>577</v>
      </c>
      <c r="C8" s="6"/>
      <c r="D8" s="5" t="s">
        <v>363</v>
      </c>
      <c r="E8" s="5" t="s">
        <v>11</v>
      </c>
      <c r="F8" s="5" t="s">
        <v>11</v>
      </c>
      <c r="G8" s="5" t="s">
        <v>11</v>
      </c>
      <c r="H8" s="7">
        <v>2</v>
      </c>
      <c r="I8" s="8">
        <v>25000</v>
      </c>
      <c r="J8" s="8"/>
      <c r="K8" s="8">
        <v>0</v>
      </c>
      <c r="L8" s="8">
        <v>6614.950000000001</v>
      </c>
      <c r="M8" s="8"/>
      <c r="N8" s="8">
        <f>I8-L8</f>
        <v>18385.05</v>
      </c>
      <c r="O8" s="8">
        <v>0</v>
      </c>
      <c r="P8" s="8">
        <v>0</v>
      </c>
      <c r="Q8" s="8"/>
      <c r="R8" s="8">
        <v>0</v>
      </c>
      <c r="S8" s="8">
        <v>0</v>
      </c>
    </row>
    <row r="9" ht="31.5" customHeight="1" spans="1:19" x14ac:dyDescent="0.25">
      <c r="A9" s="5" t="s">
        <v>578</v>
      </c>
      <c r="B9" s="6" t="s">
        <v>579</v>
      </c>
      <c r="C9" s="6"/>
      <c r="D9" s="5" t="s">
        <v>363</v>
      </c>
      <c r="E9" s="5" t="s">
        <v>11</v>
      </c>
      <c r="F9" s="5" t="s">
        <v>11</v>
      </c>
      <c r="G9" s="5" t="s">
        <v>11</v>
      </c>
      <c r="H9" s="7">
        <v>1</v>
      </c>
      <c r="I9" s="8">
        <v>40000</v>
      </c>
      <c r="J9" s="8"/>
      <c r="K9" s="8">
        <v>0</v>
      </c>
      <c r="L9" s="8">
        <v>0</v>
      </c>
      <c r="M9" s="8"/>
      <c r="N9" s="8">
        <f>I9-L9</f>
        <v>40000</v>
      </c>
      <c r="O9" s="8">
        <v>0</v>
      </c>
      <c r="P9" s="8">
        <v>0</v>
      </c>
      <c r="Q9" s="8"/>
      <c r="R9" s="8">
        <v>0</v>
      </c>
      <c r="S9" s="8">
        <v>0</v>
      </c>
    </row>
    <row r="10" ht="31.5" customHeight="1" spans="1:19" x14ac:dyDescent="0.25">
      <c r="A10" s="5" t="s">
        <v>580</v>
      </c>
      <c r="B10" s="6" t="s">
        <v>581</v>
      </c>
      <c r="C10" s="6"/>
      <c r="D10" s="5" t="s">
        <v>363</v>
      </c>
      <c r="E10" s="5" t="s">
        <v>11</v>
      </c>
      <c r="F10" s="5" t="s">
        <v>11</v>
      </c>
      <c r="G10" s="5" t="s">
        <v>11</v>
      </c>
      <c r="H10" s="7">
        <v>1</v>
      </c>
      <c r="I10" s="8">
        <v>28000</v>
      </c>
      <c r="J10" s="8"/>
      <c r="K10" s="8">
        <v>0</v>
      </c>
      <c r="L10" s="8">
        <v>0</v>
      </c>
      <c r="M10" s="8"/>
      <c r="N10" s="8">
        <f>I10-L10</f>
        <v>28000</v>
      </c>
      <c r="O10" s="8">
        <v>0</v>
      </c>
      <c r="P10" s="8">
        <v>0</v>
      </c>
      <c r="Q10" s="8"/>
      <c r="R10" s="8">
        <v>0</v>
      </c>
      <c r="S10" s="8">
        <v>0</v>
      </c>
    </row>
    <row r="11" ht="31.5" customHeight="1" spans="1:19" x14ac:dyDescent="0.25">
      <c r="A11" s="5" t="s">
        <v>582</v>
      </c>
      <c r="B11" s="6" t="s">
        <v>583</v>
      </c>
      <c r="C11" s="6"/>
      <c r="D11" s="5" t="s">
        <v>363</v>
      </c>
      <c r="E11" s="5" t="s">
        <v>11</v>
      </c>
      <c r="F11" s="5" t="s">
        <v>11</v>
      </c>
      <c r="G11" s="5" t="s">
        <v>11</v>
      </c>
      <c r="H11" s="7">
        <v>1</v>
      </c>
      <c r="I11" s="8">
        <v>28000</v>
      </c>
      <c r="J11" s="8"/>
      <c r="K11" s="8">
        <v>0</v>
      </c>
      <c r="L11" s="8">
        <v>0</v>
      </c>
      <c r="M11" s="8"/>
      <c r="N11" s="8">
        <f>I11-L11</f>
        <v>28000</v>
      </c>
      <c r="O11" s="8">
        <v>0</v>
      </c>
      <c r="P11" s="8">
        <v>0</v>
      </c>
      <c r="Q11" s="8"/>
      <c r="R11" s="8">
        <v>0</v>
      </c>
      <c r="S11" s="8">
        <v>0</v>
      </c>
    </row>
    <row r="12" ht="31.5" customHeight="1" spans="1:19" x14ac:dyDescent="0.25">
      <c r="A12" s="5" t="s">
        <v>584</v>
      </c>
      <c r="B12" s="6" t="s">
        <v>585</v>
      </c>
      <c r="C12" s="6"/>
      <c r="D12" s="5" t="s">
        <v>363</v>
      </c>
      <c r="E12" s="5" t="s">
        <v>11</v>
      </c>
      <c r="F12" s="5" t="s">
        <v>11</v>
      </c>
      <c r="G12" s="5" t="s">
        <v>11</v>
      </c>
      <c r="H12" s="7">
        <v>3</v>
      </c>
      <c r="I12" s="8">
        <v>81000</v>
      </c>
      <c r="J12" s="8"/>
      <c r="K12" s="8">
        <v>0</v>
      </c>
      <c r="L12" s="8">
        <v>0</v>
      </c>
      <c r="M12" s="8"/>
      <c r="N12" s="8">
        <f>I12-L12</f>
        <v>81000</v>
      </c>
      <c r="O12" s="8">
        <v>0</v>
      </c>
      <c r="P12" s="8">
        <v>0</v>
      </c>
      <c r="Q12" s="8"/>
      <c r="R12" s="8">
        <v>0</v>
      </c>
      <c r="S12" s="8">
        <v>0</v>
      </c>
    </row>
    <row r="13" ht="31.5" customHeight="1" spans="1:19" x14ac:dyDescent="0.25">
      <c r="A13" s="5" t="s">
        <v>586</v>
      </c>
      <c r="B13" s="6" t="s">
        <v>587</v>
      </c>
      <c r="C13" s="6"/>
      <c r="D13" s="5" t="s">
        <v>363</v>
      </c>
      <c r="E13" s="5" t="s">
        <v>11</v>
      </c>
      <c r="F13" s="5" t="s">
        <v>11</v>
      </c>
      <c r="G13" s="5" t="s">
        <v>11</v>
      </c>
      <c r="H13" s="7">
        <v>2</v>
      </c>
      <c r="I13" s="8">
        <v>50000</v>
      </c>
      <c r="J13" s="8"/>
      <c r="K13" s="8">
        <v>0</v>
      </c>
      <c r="L13" s="8">
        <v>0</v>
      </c>
      <c r="M13" s="8"/>
      <c r="N13" s="8">
        <f>I13-L13</f>
        <v>50000</v>
      </c>
      <c r="O13" s="8">
        <v>0</v>
      </c>
      <c r="P13" s="8">
        <v>0</v>
      </c>
      <c r="Q13" s="8"/>
      <c r="R13" s="8">
        <v>0</v>
      </c>
      <c r="S13" s="8">
        <v>0</v>
      </c>
    </row>
    <row r="14" ht="31.5" customHeight="1" spans="1:19" x14ac:dyDescent="0.25">
      <c r="A14" s="5" t="s">
        <v>588</v>
      </c>
      <c r="B14" s="6" t="s">
        <v>589</v>
      </c>
      <c r="C14" s="6"/>
      <c r="D14" s="5" t="s">
        <v>363</v>
      </c>
      <c r="E14" s="5" t="s">
        <v>11</v>
      </c>
      <c r="F14" s="5" t="s">
        <v>11</v>
      </c>
      <c r="G14" s="5" t="s">
        <v>11</v>
      </c>
      <c r="H14" s="7">
        <v>1</v>
      </c>
      <c r="I14" s="8">
        <v>40000</v>
      </c>
      <c r="J14" s="8"/>
      <c r="K14" s="8">
        <v>0</v>
      </c>
      <c r="L14" s="8">
        <v>0</v>
      </c>
      <c r="M14" s="8"/>
      <c r="N14" s="8">
        <f>I14-L14</f>
        <v>40000</v>
      </c>
      <c r="O14" s="8">
        <v>0</v>
      </c>
      <c r="P14" s="8">
        <v>0</v>
      </c>
      <c r="Q14" s="8"/>
      <c r="R14" s="8">
        <v>0</v>
      </c>
      <c r="S14" s="8">
        <v>0</v>
      </c>
    </row>
    <row r="15" ht="31.5" customHeight="1" spans="1:19" x14ac:dyDescent="0.25">
      <c r="A15" s="5" t="s">
        <v>590</v>
      </c>
      <c r="B15" s="6" t="s">
        <v>591</v>
      </c>
      <c r="C15" s="6"/>
      <c r="D15" s="5" t="s">
        <v>363</v>
      </c>
      <c r="E15" s="5" t="s">
        <v>11</v>
      </c>
      <c r="F15" s="5" t="s">
        <v>11</v>
      </c>
      <c r="G15" s="5" t="s">
        <v>11</v>
      </c>
      <c r="H15" s="7">
        <v>2</v>
      </c>
      <c r="I15" s="8">
        <v>56000</v>
      </c>
      <c r="J15" s="8"/>
      <c r="K15" s="8">
        <v>0</v>
      </c>
      <c r="L15" s="8">
        <v>0</v>
      </c>
      <c r="M15" s="8"/>
      <c r="N15" s="8">
        <f>I15-L15</f>
        <v>56000</v>
      </c>
      <c r="O15" s="8">
        <v>0</v>
      </c>
      <c r="P15" s="8">
        <v>0</v>
      </c>
      <c r="Q15" s="8"/>
      <c r="R15" s="8">
        <v>0</v>
      </c>
      <c r="S15" s="8">
        <v>0</v>
      </c>
    </row>
    <row r="16" ht="31.5" customHeight="1" spans="1:19" x14ac:dyDescent="0.25">
      <c r="A16" s="5" t="s">
        <v>592</v>
      </c>
      <c r="B16" s="6" t="s">
        <v>593</v>
      </c>
      <c r="C16" s="6"/>
      <c r="D16" s="5" t="s">
        <v>363</v>
      </c>
      <c r="E16" s="5" t="s">
        <v>11</v>
      </c>
      <c r="F16" s="5" t="s">
        <v>11</v>
      </c>
      <c r="G16" s="5" t="s">
        <v>11</v>
      </c>
      <c r="H16" s="7">
        <v>2</v>
      </c>
      <c r="I16" s="8">
        <v>56000</v>
      </c>
      <c r="J16" s="8"/>
      <c r="K16" s="8">
        <v>0</v>
      </c>
      <c r="L16" s="8">
        <v>0</v>
      </c>
      <c r="M16" s="8"/>
      <c r="N16" s="8">
        <f>I16-L16</f>
        <v>56000</v>
      </c>
      <c r="O16" s="8">
        <v>0</v>
      </c>
      <c r="P16" s="8">
        <v>0</v>
      </c>
      <c r="Q16" s="8"/>
      <c r="R16" s="8">
        <v>0</v>
      </c>
      <c r="S16" s="8">
        <v>0</v>
      </c>
    </row>
    <row r="17" ht="31.5" customHeight="1" spans="1:19" x14ac:dyDescent="0.25">
      <c r="A17" s="5" t="s">
        <v>594</v>
      </c>
      <c r="B17" s="6" t="s">
        <v>595</v>
      </c>
      <c r="C17" s="6"/>
      <c r="D17" s="5" t="s">
        <v>363</v>
      </c>
      <c r="E17" s="5" t="s">
        <v>11</v>
      </c>
      <c r="F17" s="5" t="s">
        <v>11</v>
      </c>
      <c r="G17" s="5" t="s">
        <v>11</v>
      </c>
      <c r="H17" s="7">
        <v>1</v>
      </c>
      <c r="I17" s="8">
        <v>35000</v>
      </c>
      <c r="J17" s="8"/>
      <c r="K17" s="8">
        <v>0</v>
      </c>
      <c r="L17" s="8">
        <v>0</v>
      </c>
      <c r="M17" s="8"/>
      <c r="N17" s="8">
        <f>I17-L17</f>
        <v>35000</v>
      </c>
      <c r="O17" s="8">
        <v>0</v>
      </c>
      <c r="P17" s="8">
        <v>0</v>
      </c>
      <c r="Q17" s="8"/>
      <c r="R17" s="8">
        <v>0</v>
      </c>
      <c r="S17" s="8">
        <v>0</v>
      </c>
    </row>
    <row r="18" ht="31.5" customHeight="1" spans="1:19" x14ac:dyDescent="0.25">
      <c r="A18" s="5" t="s">
        <v>596</v>
      </c>
      <c r="B18" s="6" t="s">
        <v>597</v>
      </c>
      <c r="C18" s="6"/>
      <c r="D18" s="5" t="s">
        <v>363</v>
      </c>
      <c r="E18" s="5" t="s">
        <v>11</v>
      </c>
      <c r="F18" s="5" t="s">
        <v>11</v>
      </c>
      <c r="G18" s="5" t="s">
        <v>11</v>
      </c>
      <c r="H18" s="7">
        <v>1</v>
      </c>
      <c r="I18" s="8">
        <v>10000</v>
      </c>
      <c r="J18" s="8"/>
      <c r="K18" s="8">
        <v>0</v>
      </c>
      <c r="L18" s="8">
        <v>2087.18</v>
      </c>
      <c r="M18" s="8"/>
      <c r="N18" s="8">
        <f>I18-L18</f>
        <v>7912.82</v>
      </c>
      <c r="O18" s="8">
        <v>0</v>
      </c>
      <c r="P18" s="8">
        <v>0</v>
      </c>
      <c r="Q18" s="8"/>
      <c r="R18" s="8">
        <v>0</v>
      </c>
      <c r="S18" s="8">
        <v>0</v>
      </c>
    </row>
    <row r="19" ht="31.5" customHeight="1" spans="1:19" x14ac:dyDescent="0.25">
      <c r="A19" s="5" t="s">
        <v>598</v>
      </c>
      <c r="B19" s="6" t="s">
        <v>599</v>
      </c>
      <c r="C19" s="6"/>
      <c r="D19" s="5" t="s">
        <v>363</v>
      </c>
      <c r="E19" s="5" t="s">
        <v>11</v>
      </c>
      <c r="F19" s="5" t="s">
        <v>11</v>
      </c>
      <c r="G19" s="5" t="s">
        <v>11</v>
      </c>
      <c r="H19" s="7">
        <v>1</v>
      </c>
      <c r="I19" s="8">
        <v>50000</v>
      </c>
      <c r="J19" s="8"/>
      <c r="K19" s="8">
        <v>0</v>
      </c>
      <c r="L19" s="8">
        <v>0</v>
      </c>
      <c r="M19" s="8"/>
      <c r="N19" s="8">
        <f>I19-L19</f>
        <v>50000</v>
      </c>
      <c r="O19" s="8">
        <v>0</v>
      </c>
      <c r="P19" s="8">
        <v>0</v>
      </c>
      <c r="Q19" s="8"/>
      <c r="R19" s="8">
        <v>0</v>
      </c>
      <c r="S19" s="8">
        <v>0</v>
      </c>
    </row>
    <row r="20" ht="31.5" customHeight="1" spans="1:19" x14ac:dyDescent="0.25">
      <c r="A20" s="5" t="s">
        <v>600</v>
      </c>
      <c r="B20" s="6" t="s">
        <v>601</v>
      </c>
      <c r="C20" s="6"/>
      <c r="D20" s="5" t="s">
        <v>363</v>
      </c>
      <c r="E20" s="5" t="s">
        <v>11</v>
      </c>
      <c r="F20" s="5" t="s">
        <v>11</v>
      </c>
      <c r="G20" s="5" t="s">
        <v>11</v>
      </c>
      <c r="H20" s="7">
        <v>1</v>
      </c>
      <c r="I20" s="8">
        <v>50000</v>
      </c>
      <c r="J20" s="8"/>
      <c r="K20" s="8">
        <v>0</v>
      </c>
      <c r="L20" s="8">
        <v>0</v>
      </c>
      <c r="M20" s="8"/>
      <c r="N20" s="8">
        <f>I20-L20</f>
        <v>50000</v>
      </c>
      <c r="O20" s="8">
        <v>0</v>
      </c>
      <c r="P20" s="8">
        <v>0</v>
      </c>
      <c r="Q20" s="8"/>
      <c r="R20" s="8">
        <v>0</v>
      </c>
      <c r="S20" s="8">
        <v>0</v>
      </c>
    </row>
    <row r="21" ht="31.5" customHeight="1" spans="1:19" x14ac:dyDescent="0.25">
      <c r="A21" s="5" t="s">
        <v>602</v>
      </c>
      <c r="B21" s="6" t="s">
        <v>603</v>
      </c>
      <c r="C21" s="6"/>
      <c r="D21" s="5" t="s">
        <v>363</v>
      </c>
      <c r="E21" s="5" t="s">
        <v>11</v>
      </c>
      <c r="F21" s="5" t="s">
        <v>11</v>
      </c>
      <c r="G21" s="5" t="s">
        <v>11</v>
      </c>
      <c r="H21" s="7">
        <v>1</v>
      </c>
      <c r="I21" s="8">
        <v>28000</v>
      </c>
      <c r="J21" s="8"/>
      <c r="K21" s="8">
        <v>0</v>
      </c>
      <c r="L21" s="8">
        <v>0</v>
      </c>
      <c r="M21" s="8"/>
      <c r="N21" s="8">
        <f>I21-L21</f>
        <v>28000</v>
      </c>
      <c r="O21" s="8">
        <v>0</v>
      </c>
      <c r="P21" s="8">
        <v>0</v>
      </c>
      <c r="Q21" s="8"/>
      <c r="R21" s="8">
        <v>0</v>
      </c>
      <c r="S21" s="8">
        <v>0</v>
      </c>
    </row>
    <row r="22" ht="31.5" customHeight="1" spans="1:19" x14ac:dyDescent="0.25">
      <c r="A22" s="5" t="s">
        <v>604</v>
      </c>
      <c r="B22" s="6" t="s">
        <v>605</v>
      </c>
      <c r="C22" s="6"/>
      <c r="D22" s="5" t="s">
        <v>363</v>
      </c>
      <c r="E22" s="5" t="s">
        <v>11</v>
      </c>
      <c r="F22" s="5" t="s">
        <v>11</v>
      </c>
      <c r="G22" s="5" t="s">
        <v>11</v>
      </c>
      <c r="H22" s="7">
        <v>3</v>
      </c>
      <c r="I22" s="8">
        <v>93000</v>
      </c>
      <c r="J22" s="8"/>
      <c r="K22" s="8">
        <v>0</v>
      </c>
      <c r="L22" s="8">
        <v>0</v>
      </c>
      <c r="M22" s="8"/>
      <c r="N22" s="8">
        <f>I22-L22</f>
        <v>93000</v>
      </c>
      <c r="O22" s="8">
        <v>0</v>
      </c>
      <c r="P22" s="8">
        <v>0</v>
      </c>
      <c r="Q22" s="8"/>
      <c r="R22" s="8">
        <v>0</v>
      </c>
      <c r="S22" s="8">
        <v>0</v>
      </c>
    </row>
    <row r="23" ht="31.5" customHeight="1" spans="1:19" x14ac:dyDescent="0.25">
      <c r="A23" s="5" t="s">
        <v>606</v>
      </c>
      <c r="B23" s="6" t="s">
        <v>607</v>
      </c>
      <c r="C23" s="6"/>
      <c r="D23" s="5" t="s">
        <v>363</v>
      </c>
      <c r="E23" s="5" t="s">
        <v>11</v>
      </c>
      <c r="F23" s="5" t="s">
        <v>11</v>
      </c>
      <c r="G23" s="5" t="s">
        <v>11</v>
      </c>
      <c r="H23" s="7">
        <v>1</v>
      </c>
      <c r="I23" s="8">
        <v>28000</v>
      </c>
      <c r="J23" s="8"/>
      <c r="K23" s="8">
        <v>0</v>
      </c>
      <c r="L23" s="8">
        <v>0</v>
      </c>
      <c r="M23" s="8"/>
      <c r="N23" s="8">
        <f>I23-L23</f>
        <v>28000</v>
      </c>
      <c r="O23" s="8">
        <v>0</v>
      </c>
      <c r="P23" s="8">
        <v>0</v>
      </c>
      <c r="Q23" s="8"/>
      <c r="R23" s="8">
        <v>0</v>
      </c>
      <c r="S23" s="8">
        <v>0</v>
      </c>
    </row>
    <row r="24" ht="31.5" customHeight="1" spans="1:19" x14ac:dyDescent="0.25">
      <c r="A24" s="5" t="s">
        <v>608</v>
      </c>
      <c r="B24" s="6" t="s">
        <v>609</v>
      </c>
      <c r="C24" s="6"/>
      <c r="D24" s="5" t="s">
        <v>363</v>
      </c>
      <c r="E24" s="5" t="s">
        <v>11</v>
      </c>
      <c r="F24" s="5" t="s">
        <v>11</v>
      </c>
      <c r="G24" s="5" t="s">
        <v>11</v>
      </c>
      <c r="H24" s="7">
        <v>1</v>
      </c>
      <c r="I24" s="8">
        <v>30000</v>
      </c>
      <c r="J24" s="8"/>
      <c r="K24" s="8">
        <v>0</v>
      </c>
      <c r="L24" s="8">
        <v>0</v>
      </c>
      <c r="M24" s="8"/>
      <c r="N24" s="8">
        <f>I24-L24</f>
        <v>30000</v>
      </c>
      <c r="O24" s="8">
        <v>0</v>
      </c>
      <c r="P24" s="8">
        <v>0</v>
      </c>
      <c r="Q24" s="8"/>
      <c r="R24" s="8">
        <v>0</v>
      </c>
      <c r="S24" s="8">
        <v>0</v>
      </c>
    </row>
    <row r="25" ht="31.5" customHeight="1" spans="1:19" x14ac:dyDescent="0.25">
      <c r="A25" s="5" t="s">
        <v>610</v>
      </c>
      <c r="B25" s="6" t="s">
        <v>611</v>
      </c>
      <c r="C25" s="6"/>
      <c r="D25" s="5" t="s">
        <v>363</v>
      </c>
      <c r="E25" s="5" t="s">
        <v>11</v>
      </c>
      <c r="F25" s="5" t="s">
        <v>11</v>
      </c>
      <c r="G25" s="5" t="s">
        <v>11</v>
      </c>
      <c r="H25" s="7">
        <v>3</v>
      </c>
      <c r="I25" s="8">
        <v>75000</v>
      </c>
      <c r="J25" s="8"/>
      <c r="K25" s="8">
        <v>0</v>
      </c>
      <c r="L25" s="8">
        <v>4527.77</v>
      </c>
      <c r="M25" s="8"/>
      <c r="N25" s="8">
        <f>I25-L25</f>
        <v>70472.23</v>
      </c>
      <c r="O25" s="8">
        <v>0</v>
      </c>
      <c r="P25" s="8">
        <v>0</v>
      </c>
      <c r="Q25" s="8"/>
      <c r="R25" s="8">
        <v>0</v>
      </c>
      <c r="S25" s="8">
        <v>0</v>
      </c>
    </row>
    <row r="26" ht="31.5" customHeight="1" spans="1:19" x14ac:dyDescent="0.25">
      <c r="A26" s="5" t="s">
        <v>612</v>
      </c>
      <c r="B26" s="6" t="s">
        <v>613</v>
      </c>
      <c r="C26" s="6"/>
      <c r="D26" s="5" t="s">
        <v>363</v>
      </c>
      <c r="E26" s="5" t="s">
        <v>11</v>
      </c>
      <c r="F26" s="5" t="s">
        <v>11</v>
      </c>
      <c r="G26" s="5" t="s">
        <v>11</v>
      </c>
      <c r="H26" s="7">
        <v>1</v>
      </c>
      <c r="I26" s="8">
        <v>50000</v>
      </c>
      <c r="J26" s="8"/>
      <c r="K26" s="8">
        <v>0</v>
      </c>
      <c r="L26" s="8">
        <v>0</v>
      </c>
      <c r="M26" s="8"/>
      <c r="N26" s="8">
        <f>I26-L26</f>
        <v>50000</v>
      </c>
      <c r="O26" s="8">
        <v>0</v>
      </c>
      <c r="P26" s="8">
        <v>0</v>
      </c>
      <c r="Q26" s="8"/>
      <c r="R26" s="8">
        <v>0</v>
      </c>
      <c r="S26" s="8">
        <v>0</v>
      </c>
    </row>
    <row r="27" ht="31.5" customHeight="1" spans="1:19" x14ac:dyDescent="0.25">
      <c r="A27" s="5" t="s">
        <v>614</v>
      </c>
      <c r="B27" s="6" t="s">
        <v>615</v>
      </c>
      <c r="C27" s="6"/>
      <c r="D27" s="5" t="s">
        <v>363</v>
      </c>
      <c r="E27" s="5" t="s">
        <v>11</v>
      </c>
      <c r="F27" s="5" t="s">
        <v>11</v>
      </c>
      <c r="G27" s="5" t="s">
        <v>11</v>
      </c>
      <c r="H27" s="7">
        <v>1</v>
      </c>
      <c r="I27" s="8">
        <v>15000</v>
      </c>
      <c r="J27" s="8"/>
      <c r="K27" s="8">
        <v>0</v>
      </c>
      <c r="L27" s="8">
        <v>4527.77</v>
      </c>
      <c r="M27" s="8"/>
      <c r="N27" s="8">
        <f>I27-L27</f>
        <v>10472.23</v>
      </c>
      <c r="O27" s="8">
        <v>0</v>
      </c>
      <c r="P27" s="8">
        <v>0</v>
      </c>
      <c r="Q27" s="8"/>
      <c r="R27" s="8">
        <v>0</v>
      </c>
      <c r="S27" s="8">
        <v>0</v>
      </c>
    </row>
    <row r="28" ht="31.5" customHeight="1" spans="1:19" x14ac:dyDescent="0.25">
      <c r="A28" s="5" t="s">
        <v>616</v>
      </c>
      <c r="B28" s="6" t="s">
        <v>617</v>
      </c>
      <c r="C28" s="6"/>
      <c r="D28" s="5" t="s">
        <v>363</v>
      </c>
      <c r="E28" s="5" t="s">
        <v>11</v>
      </c>
      <c r="F28" s="5" t="s">
        <v>11</v>
      </c>
      <c r="G28" s="5" t="s">
        <v>11</v>
      </c>
      <c r="H28" s="7">
        <v>2</v>
      </c>
      <c r="I28" s="8">
        <v>25000</v>
      </c>
      <c r="J28" s="8"/>
      <c r="K28" s="8">
        <v>0</v>
      </c>
      <c r="L28" s="8">
        <v>2087.18</v>
      </c>
      <c r="M28" s="8"/>
      <c r="N28" s="8">
        <f>I28-L28</f>
        <v>22912.82</v>
      </c>
      <c r="O28" s="8">
        <v>0</v>
      </c>
      <c r="P28" s="8">
        <v>0</v>
      </c>
      <c r="Q28" s="8"/>
      <c r="R28" s="8">
        <v>0</v>
      </c>
      <c r="S28" s="8">
        <v>0</v>
      </c>
    </row>
    <row r="29" ht="31.5" customHeight="1" spans="1:19" x14ac:dyDescent="0.25">
      <c r="A29" s="5" t="s">
        <v>618</v>
      </c>
      <c r="B29" s="6" t="s">
        <v>619</v>
      </c>
      <c r="C29" s="6"/>
      <c r="D29" s="5" t="s">
        <v>363</v>
      </c>
      <c r="E29" s="5" t="s">
        <v>11</v>
      </c>
      <c r="F29" s="5" t="s">
        <v>11</v>
      </c>
      <c r="G29" s="5" t="s">
        <v>11</v>
      </c>
      <c r="H29" s="7">
        <v>1</v>
      </c>
      <c r="I29" s="8">
        <v>40000</v>
      </c>
      <c r="J29" s="8"/>
      <c r="K29" s="8">
        <v>0</v>
      </c>
      <c r="L29" s="8">
        <v>0</v>
      </c>
      <c r="M29" s="8"/>
      <c r="N29" s="8">
        <f>I29-L29</f>
        <v>40000</v>
      </c>
      <c r="O29" s="8">
        <v>0</v>
      </c>
      <c r="P29" s="8">
        <v>0</v>
      </c>
      <c r="Q29" s="8"/>
      <c r="R29" s="8">
        <v>0</v>
      </c>
      <c r="S29" s="8">
        <v>0</v>
      </c>
    </row>
    <row r="30" ht="31.5" customHeight="1" spans="1:19" x14ac:dyDescent="0.25">
      <c r="A30" s="5" t="s">
        <v>620</v>
      </c>
      <c r="B30" s="6" t="s">
        <v>621</v>
      </c>
      <c r="C30" s="6"/>
      <c r="D30" s="5" t="s">
        <v>363</v>
      </c>
      <c r="E30" s="5" t="s">
        <v>11</v>
      </c>
      <c r="F30" s="5" t="s">
        <v>11</v>
      </c>
      <c r="G30" s="5" t="s">
        <v>11</v>
      </c>
      <c r="H30" s="7">
        <v>4</v>
      </c>
      <c r="I30" s="8">
        <v>143000</v>
      </c>
      <c r="J30" s="8"/>
      <c r="K30" s="8">
        <v>0</v>
      </c>
      <c r="L30" s="8">
        <v>0</v>
      </c>
      <c r="M30" s="8"/>
      <c r="N30" s="8">
        <f>I30-L30</f>
        <v>143000</v>
      </c>
      <c r="O30" s="8">
        <v>0</v>
      </c>
      <c r="P30" s="8">
        <v>0</v>
      </c>
      <c r="Q30" s="8"/>
      <c r="R30" s="8">
        <v>0</v>
      </c>
      <c r="S30" s="8">
        <v>0</v>
      </c>
    </row>
    <row r="31" ht="31.5" customHeight="1" spans="1:19" x14ac:dyDescent="0.25">
      <c r="A31" s="5" t="s">
        <v>622</v>
      </c>
      <c r="B31" s="6" t="s">
        <v>623</v>
      </c>
      <c r="C31" s="6"/>
      <c r="D31" s="5" t="s">
        <v>363</v>
      </c>
      <c r="E31" s="5" t="s">
        <v>11</v>
      </c>
      <c r="F31" s="5" t="s">
        <v>11</v>
      </c>
      <c r="G31" s="5" t="s">
        <v>11</v>
      </c>
      <c r="H31" s="7">
        <v>2</v>
      </c>
      <c r="I31" s="8">
        <v>50000</v>
      </c>
      <c r="J31" s="8"/>
      <c r="K31" s="8">
        <v>0</v>
      </c>
      <c r="L31" s="8">
        <v>0</v>
      </c>
      <c r="M31" s="8"/>
      <c r="N31" s="8">
        <f>I31-L31</f>
        <v>50000</v>
      </c>
      <c r="O31" s="8">
        <v>0</v>
      </c>
      <c r="P31" s="8">
        <v>0</v>
      </c>
      <c r="Q31" s="8"/>
      <c r="R31" s="8">
        <v>0</v>
      </c>
      <c r="S31" s="8">
        <v>0</v>
      </c>
    </row>
    <row r="32" ht="31.5" customHeight="1" spans="1:19" x14ac:dyDescent="0.25">
      <c r="A32" s="5" t="s">
        <v>624</v>
      </c>
      <c r="B32" s="6" t="s">
        <v>625</v>
      </c>
      <c r="C32" s="6"/>
      <c r="D32" s="5" t="s">
        <v>363</v>
      </c>
      <c r="E32" s="5" t="s">
        <v>11</v>
      </c>
      <c r="F32" s="5" t="s">
        <v>11</v>
      </c>
      <c r="G32" s="5" t="s">
        <v>11</v>
      </c>
      <c r="H32" s="7">
        <v>1</v>
      </c>
      <c r="I32" s="8">
        <v>15000</v>
      </c>
      <c r="J32" s="8"/>
      <c r="K32" s="8">
        <v>0</v>
      </c>
      <c r="L32" s="8">
        <v>4527.77</v>
      </c>
      <c r="M32" s="8"/>
      <c r="N32" s="8">
        <f>I32-L32</f>
        <v>10472.23</v>
      </c>
      <c r="O32" s="8">
        <v>0</v>
      </c>
      <c r="P32" s="8">
        <v>0</v>
      </c>
      <c r="Q32" s="8"/>
      <c r="R32" s="8">
        <v>0</v>
      </c>
      <c r="S32" s="8">
        <v>0</v>
      </c>
    </row>
    <row r="33" ht="31.5" customHeight="1" spans="1:19" x14ac:dyDescent="0.25">
      <c r="A33" s="5" t="s">
        <v>626</v>
      </c>
      <c r="B33" s="6" t="s">
        <v>627</v>
      </c>
      <c r="C33" s="6"/>
      <c r="D33" s="5" t="s">
        <v>363</v>
      </c>
      <c r="E33" s="5" t="s">
        <v>11</v>
      </c>
      <c r="F33" s="5" t="s">
        <v>11</v>
      </c>
      <c r="G33" s="5" t="s">
        <v>11</v>
      </c>
      <c r="H33" s="7">
        <v>1</v>
      </c>
      <c r="I33" s="8">
        <v>20000</v>
      </c>
      <c r="J33" s="8"/>
      <c r="K33" s="8">
        <v>0</v>
      </c>
      <c r="L33" s="8">
        <v>10250</v>
      </c>
      <c r="M33" s="8"/>
      <c r="N33" s="8">
        <f>I33-L33</f>
        <v>9750</v>
      </c>
      <c r="O33" s="8">
        <v>0</v>
      </c>
      <c r="P33" s="8">
        <v>0</v>
      </c>
      <c r="Q33" s="8"/>
      <c r="R33" s="8">
        <v>0</v>
      </c>
      <c r="S33" s="8">
        <v>0</v>
      </c>
    </row>
    <row r="34" ht="31.5" customHeight="1" spans="1:19" x14ac:dyDescent="0.25">
      <c r="A34" s="5" t="s">
        <v>628</v>
      </c>
      <c r="B34" s="6" t="s">
        <v>629</v>
      </c>
      <c r="C34" s="6"/>
      <c r="D34" s="5" t="s">
        <v>363</v>
      </c>
      <c r="E34" s="5" t="s">
        <v>11</v>
      </c>
      <c r="F34" s="5" t="s">
        <v>11</v>
      </c>
      <c r="G34" s="5" t="s">
        <v>11</v>
      </c>
      <c r="H34" s="7">
        <v>1</v>
      </c>
      <c r="I34" s="8">
        <v>15000</v>
      </c>
      <c r="J34" s="8"/>
      <c r="K34" s="8">
        <v>0</v>
      </c>
      <c r="L34" s="8">
        <v>4527.77</v>
      </c>
      <c r="M34" s="8"/>
      <c r="N34" s="8">
        <f>I34-L34</f>
        <v>10472.23</v>
      </c>
      <c r="O34" s="8">
        <v>0</v>
      </c>
      <c r="P34" s="8">
        <v>0</v>
      </c>
      <c r="Q34" s="8"/>
      <c r="R34" s="8">
        <v>0</v>
      </c>
      <c r="S34" s="8">
        <v>0</v>
      </c>
    </row>
    <row r="35" ht="31.5" customHeight="1" spans="1:19" x14ac:dyDescent="0.25">
      <c r="A35" s="5" t="s">
        <v>630</v>
      </c>
      <c r="B35" s="6" t="s">
        <v>631</v>
      </c>
      <c r="C35" s="6"/>
      <c r="D35" s="5" t="s">
        <v>363</v>
      </c>
      <c r="E35" s="5" t="s">
        <v>11</v>
      </c>
      <c r="F35" s="5" t="s">
        <v>11</v>
      </c>
      <c r="G35" s="5" t="s">
        <v>11</v>
      </c>
      <c r="H35" s="7">
        <v>1</v>
      </c>
      <c r="I35" s="8">
        <v>150000</v>
      </c>
      <c r="J35" s="8"/>
      <c r="K35" s="8">
        <v>0</v>
      </c>
      <c r="L35" s="8">
        <v>0</v>
      </c>
      <c r="M35" s="8"/>
      <c r="N35" s="8">
        <f>I35-L35</f>
        <v>150000</v>
      </c>
      <c r="O35" s="8">
        <v>0</v>
      </c>
      <c r="P35" s="8">
        <v>0</v>
      </c>
      <c r="Q35" s="8"/>
      <c r="R35" s="8">
        <v>0</v>
      </c>
      <c r="S35" s="8">
        <v>0</v>
      </c>
    </row>
    <row r="36" ht="31.5" customHeight="1" spans="1:19" x14ac:dyDescent="0.25">
      <c r="A36" s="5" t="s">
        <v>632</v>
      </c>
      <c r="B36" s="6" t="s">
        <v>633</v>
      </c>
      <c r="C36" s="6"/>
      <c r="D36" s="5" t="s">
        <v>363</v>
      </c>
      <c r="E36" s="5" t="s">
        <v>11</v>
      </c>
      <c r="F36" s="5" t="s">
        <v>11</v>
      </c>
      <c r="G36" s="5" t="s">
        <v>11</v>
      </c>
      <c r="H36" s="7">
        <v>1</v>
      </c>
      <c r="I36" s="8">
        <v>150000</v>
      </c>
      <c r="J36" s="8"/>
      <c r="K36" s="8">
        <v>0</v>
      </c>
      <c r="L36" s="8">
        <v>0</v>
      </c>
      <c r="M36" s="8"/>
      <c r="N36" s="8">
        <f>I36-L36</f>
        <v>150000</v>
      </c>
      <c r="O36" s="8">
        <v>0</v>
      </c>
      <c r="P36" s="8">
        <v>0</v>
      </c>
      <c r="Q36" s="8"/>
      <c r="R36" s="8">
        <v>0</v>
      </c>
      <c r="S36" s="8">
        <v>0</v>
      </c>
    </row>
    <row r="37" ht="31.5" customHeight="1" spans="1:19" x14ac:dyDescent="0.25">
      <c r="A37" s="5" t="s">
        <v>634</v>
      </c>
      <c r="B37" s="6" t="s">
        <v>635</v>
      </c>
      <c r="C37" s="6"/>
      <c r="D37" s="5" t="s">
        <v>363</v>
      </c>
      <c r="E37" s="5" t="s">
        <v>11</v>
      </c>
      <c r="F37" s="5" t="s">
        <v>11</v>
      </c>
      <c r="G37" s="5" t="s">
        <v>11</v>
      </c>
      <c r="H37" s="7">
        <v>1</v>
      </c>
      <c r="I37" s="8">
        <v>28000</v>
      </c>
      <c r="J37" s="8"/>
      <c r="K37" s="8">
        <v>0</v>
      </c>
      <c r="L37" s="8">
        <v>0</v>
      </c>
      <c r="M37" s="8"/>
      <c r="N37" s="8">
        <f>I37-L37</f>
        <v>28000</v>
      </c>
      <c r="O37" s="8">
        <v>0</v>
      </c>
      <c r="P37" s="8">
        <v>0</v>
      </c>
      <c r="Q37" s="8"/>
      <c r="R37" s="8">
        <v>0</v>
      </c>
      <c r="S37" s="8">
        <v>0</v>
      </c>
    </row>
    <row r="38" ht="31.5" customHeight="1" spans="1:19" x14ac:dyDescent="0.25">
      <c r="A38" s="5" t="s">
        <v>636</v>
      </c>
      <c r="B38" s="6" t="s">
        <v>637</v>
      </c>
      <c r="C38" s="6"/>
      <c r="D38" s="5" t="s">
        <v>363</v>
      </c>
      <c r="E38" s="5" t="s">
        <v>11</v>
      </c>
      <c r="F38" s="5" t="s">
        <v>11</v>
      </c>
      <c r="G38" s="5" t="s">
        <v>11</v>
      </c>
      <c r="H38" s="7">
        <v>1</v>
      </c>
      <c r="I38" s="8">
        <v>12000</v>
      </c>
      <c r="J38" s="8"/>
      <c r="K38" s="8">
        <v>0</v>
      </c>
      <c r="L38" s="8">
        <v>6250</v>
      </c>
      <c r="M38" s="8"/>
      <c r="N38" s="8">
        <f>I38-L38</f>
        <v>5750</v>
      </c>
      <c r="O38" s="8">
        <v>0</v>
      </c>
      <c r="P38" s="8">
        <v>0</v>
      </c>
      <c r="Q38" s="8"/>
      <c r="R38" s="8">
        <v>0</v>
      </c>
      <c r="S38" s="8">
        <v>0</v>
      </c>
    </row>
    <row r="39" ht="31.5" customHeight="1" spans="1:19" x14ac:dyDescent="0.25">
      <c r="A39" s="5" t="s">
        <v>638</v>
      </c>
      <c r="B39" s="6" t="s">
        <v>639</v>
      </c>
      <c r="C39" s="6"/>
      <c r="D39" s="5" t="s">
        <v>363</v>
      </c>
      <c r="E39" s="5" t="s">
        <v>11</v>
      </c>
      <c r="F39" s="5" t="s">
        <v>11</v>
      </c>
      <c r="G39" s="5" t="s">
        <v>11</v>
      </c>
      <c r="H39" s="7">
        <v>2</v>
      </c>
      <c r="I39" s="8">
        <v>75000</v>
      </c>
      <c r="J39" s="8"/>
      <c r="K39" s="8">
        <v>0</v>
      </c>
      <c r="L39" s="8">
        <v>44125.020000000004</v>
      </c>
      <c r="M39" s="8"/>
      <c r="N39" s="8">
        <f>I39-L39</f>
        <v>30874.979999999996</v>
      </c>
      <c r="O39" s="8">
        <v>0</v>
      </c>
      <c r="P39" s="8">
        <v>0</v>
      </c>
      <c r="Q39" s="8"/>
      <c r="R39" s="8">
        <v>0</v>
      </c>
      <c r="S39" s="8">
        <v>0</v>
      </c>
    </row>
    <row r="40" ht="31.5" customHeight="1" spans="1:19" x14ac:dyDescent="0.25">
      <c r="A40" s="5" t="s">
        <v>640</v>
      </c>
      <c r="B40" s="6" t="s">
        <v>641</v>
      </c>
      <c r="C40" s="6"/>
      <c r="D40" s="5" t="s">
        <v>363</v>
      </c>
      <c r="E40" s="5" t="s">
        <v>11</v>
      </c>
      <c r="F40" s="5" t="s">
        <v>11</v>
      </c>
      <c r="G40" s="5" t="s">
        <v>11</v>
      </c>
      <c r="H40" s="7">
        <v>1</v>
      </c>
      <c r="I40" s="8">
        <v>15000</v>
      </c>
      <c r="J40" s="8"/>
      <c r="K40" s="8">
        <v>0</v>
      </c>
      <c r="L40" s="8">
        <v>4527.77</v>
      </c>
      <c r="M40" s="8"/>
      <c r="N40" s="8">
        <f>I40-L40</f>
        <v>10472.23</v>
      </c>
      <c r="O40" s="8">
        <v>0</v>
      </c>
      <c r="P40" s="8">
        <v>0</v>
      </c>
      <c r="Q40" s="8"/>
      <c r="R40" s="8">
        <v>0</v>
      </c>
      <c r="S40" s="8">
        <v>0</v>
      </c>
    </row>
    <row r="41" ht="31.5" customHeight="1" spans="1:19" x14ac:dyDescent="0.25">
      <c r="A41" s="5" t="s">
        <v>642</v>
      </c>
      <c r="B41" s="6" t="s">
        <v>643</v>
      </c>
      <c r="C41" s="6"/>
      <c r="D41" s="5" t="s">
        <v>363</v>
      </c>
      <c r="E41" s="5" t="s">
        <v>11</v>
      </c>
      <c r="F41" s="5" t="s">
        <v>11</v>
      </c>
      <c r="G41" s="5" t="s">
        <v>11</v>
      </c>
      <c r="H41" s="7">
        <v>1</v>
      </c>
      <c r="I41" s="8">
        <v>40000</v>
      </c>
      <c r="J41" s="8"/>
      <c r="K41" s="8">
        <v>0</v>
      </c>
      <c r="L41" s="8">
        <v>0</v>
      </c>
      <c r="M41" s="8"/>
      <c r="N41" s="8">
        <f>I41-L41</f>
        <v>40000</v>
      </c>
      <c r="O41" s="8">
        <v>0</v>
      </c>
      <c r="P41" s="8">
        <v>0</v>
      </c>
      <c r="Q41" s="8"/>
      <c r="R41" s="8">
        <v>0</v>
      </c>
      <c r="S41" s="8">
        <v>0</v>
      </c>
    </row>
    <row r="42" ht="31.5" customHeight="1" spans="1:19" x14ac:dyDescent="0.25">
      <c r="A42" s="5" t="s">
        <v>644</v>
      </c>
      <c r="B42" s="6" t="s">
        <v>645</v>
      </c>
      <c r="C42" s="6"/>
      <c r="D42" s="5" t="s">
        <v>363</v>
      </c>
      <c r="E42" s="5" t="s">
        <v>11</v>
      </c>
      <c r="F42" s="5" t="s">
        <v>11</v>
      </c>
      <c r="G42" s="5" t="s">
        <v>11</v>
      </c>
      <c r="H42" s="7">
        <v>1</v>
      </c>
      <c r="I42" s="8">
        <v>12000</v>
      </c>
      <c r="J42" s="8"/>
      <c r="K42" s="8">
        <v>0</v>
      </c>
      <c r="L42" s="8">
        <v>6250</v>
      </c>
      <c r="M42" s="8"/>
      <c r="N42" s="8">
        <f>I42-L42</f>
        <v>5750</v>
      </c>
      <c r="O42" s="8">
        <v>0</v>
      </c>
      <c r="P42" s="8">
        <v>0</v>
      </c>
      <c r="Q42" s="8"/>
      <c r="R42" s="8">
        <v>0</v>
      </c>
      <c r="S42" s="8">
        <v>0</v>
      </c>
    </row>
    <row r="43" ht="31.5" customHeight="1" spans="1:19" x14ac:dyDescent="0.25">
      <c r="A43" s="5" t="s">
        <v>646</v>
      </c>
      <c r="B43" s="6" t="s">
        <v>647</v>
      </c>
      <c r="C43" s="6"/>
      <c r="D43" s="5" t="s">
        <v>363</v>
      </c>
      <c r="E43" s="5" t="s">
        <v>11</v>
      </c>
      <c r="F43" s="5" t="s">
        <v>11</v>
      </c>
      <c r="G43" s="5" t="s">
        <v>11</v>
      </c>
      <c r="H43" s="7">
        <v>1</v>
      </c>
      <c r="I43" s="8">
        <v>10000</v>
      </c>
      <c r="J43" s="8"/>
      <c r="K43" s="8">
        <v>0</v>
      </c>
      <c r="L43" s="8">
        <v>2087.18</v>
      </c>
      <c r="M43" s="8"/>
      <c r="N43" s="8">
        <f>I43-L43</f>
        <v>7912.82</v>
      </c>
      <c r="O43" s="8">
        <v>0</v>
      </c>
      <c r="P43" s="8">
        <v>0</v>
      </c>
      <c r="Q43" s="8"/>
      <c r="R43" s="8">
        <v>0</v>
      </c>
      <c r="S43" s="8">
        <v>0</v>
      </c>
    </row>
    <row r="44" ht="31.5" customHeight="1" spans="1:19" x14ac:dyDescent="0.25">
      <c r="A44" s="5" t="s">
        <v>648</v>
      </c>
      <c r="B44" s="6" t="s">
        <v>649</v>
      </c>
      <c r="C44" s="6"/>
      <c r="D44" s="5" t="s">
        <v>363</v>
      </c>
      <c r="E44" s="5" t="s">
        <v>11</v>
      </c>
      <c r="F44" s="5" t="s">
        <v>11</v>
      </c>
      <c r="G44" s="5" t="s">
        <v>11</v>
      </c>
      <c r="H44" s="7">
        <v>1</v>
      </c>
      <c r="I44" s="8">
        <v>35000</v>
      </c>
      <c r="J44" s="8"/>
      <c r="K44" s="8">
        <v>0</v>
      </c>
      <c r="L44" s="8">
        <v>25000</v>
      </c>
      <c r="M44" s="8"/>
      <c r="N44" s="8">
        <f>I44-L44</f>
        <v>10000</v>
      </c>
      <c r="O44" s="8">
        <v>0</v>
      </c>
      <c r="P44" s="8">
        <v>0</v>
      </c>
      <c r="Q44" s="8"/>
      <c r="R44" s="8">
        <v>0</v>
      </c>
      <c r="S44" s="8">
        <v>0</v>
      </c>
    </row>
    <row r="45" ht="31.5" customHeight="1" spans="1:19" x14ac:dyDescent="0.25">
      <c r="A45" s="5" t="s">
        <v>650</v>
      </c>
      <c r="B45" s="6" t="s">
        <v>651</v>
      </c>
      <c r="C45" s="6"/>
      <c r="D45" s="5" t="s">
        <v>363</v>
      </c>
      <c r="E45" s="5" t="s">
        <v>11</v>
      </c>
      <c r="F45" s="5" t="s">
        <v>11</v>
      </c>
      <c r="G45" s="5" t="s">
        <v>11</v>
      </c>
      <c r="H45" s="7">
        <v>15</v>
      </c>
      <c r="I45" s="8">
        <v>155000</v>
      </c>
      <c r="J45" s="8"/>
      <c r="K45" s="8">
        <v>0</v>
      </c>
      <c r="L45" s="8">
        <v>33748.29</v>
      </c>
      <c r="M45" s="8"/>
      <c r="N45" s="8">
        <f>I45-L45</f>
        <v>121251.70999999999</v>
      </c>
      <c r="O45" s="8">
        <v>0</v>
      </c>
      <c r="P45" s="8">
        <v>0</v>
      </c>
      <c r="Q45" s="8"/>
      <c r="R45" s="8">
        <v>0</v>
      </c>
      <c r="S45" s="8">
        <v>0</v>
      </c>
    </row>
    <row r="46" ht="31.5" customHeight="1" spans="1:19" x14ac:dyDescent="0.25">
      <c r="A46" s="5" t="s">
        <v>652</v>
      </c>
      <c r="B46" s="6" t="s">
        <v>653</v>
      </c>
      <c r="C46" s="6"/>
      <c r="D46" s="5" t="s">
        <v>363</v>
      </c>
      <c r="E46" s="5" t="s">
        <v>11</v>
      </c>
      <c r="F46" s="5" t="s">
        <v>11</v>
      </c>
      <c r="G46" s="5" t="s">
        <v>11</v>
      </c>
      <c r="H46" s="7">
        <v>3</v>
      </c>
      <c r="I46" s="8">
        <v>140000</v>
      </c>
      <c r="J46" s="8"/>
      <c r="K46" s="8">
        <v>0</v>
      </c>
      <c r="L46" s="8">
        <v>83472.73000000001</v>
      </c>
      <c r="M46" s="8"/>
      <c r="N46" s="8">
        <f>I46-L46</f>
        <v>56527.26999999999</v>
      </c>
      <c r="O46" s="8">
        <v>0</v>
      </c>
      <c r="P46" s="8">
        <v>0</v>
      </c>
      <c r="Q46" s="8"/>
      <c r="R46" s="8">
        <v>0</v>
      </c>
      <c r="S46" s="8">
        <v>0</v>
      </c>
    </row>
    <row r="47" ht="31.5" customHeight="1" spans="1:19" x14ac:dyDescent="0.25">
      <c r="A47" s="5" t="s">
        <v>654</v>
      </c>
      <c r="B47" s="6" t="s">
        <v>655</v>
      </c>
      <c r="C47" s="6"/>
      <c r="D47" s="5" t="s">
        <v>363</v>
      </c>
      <c r="E47" s="5" t="s">
        <v>11</v>
      </c>
      <c r="F47" s="5" t="s">
        <v>11</v>
      </c>
      <c r="G47" s="5" t="s">
        <v>11</v>
      </c>
      <c r="H47" s="7">
        <v>1</v>
      </c>
      <c r="I47" s="8">
        <v>20000</v>
      </c>
      <c r="J47" s="8"/>
      <c r="K47" s="8">
        <v>0</v>
      </c>
      <c r="L47" s="8">
        <v>10250</v>
      </c>
      <c r="M47" s="8"/>
      <c r="N47" s="8">
        <f>I47-L47</f>
        <v>9750</v>
      </c>
      <c r="O47" s="8">
        <v>0</v>
      </c>
      <c r="P47" s="8">
        <v>0</v>
      </c>
      <c r="Q47" s="8"/>
      <c r="R47" s="8">
        <v>0</v>
      </c>
      <c r="S47" s="8">
        <v>0</v>
      </c>
    </row>
    <row r="48" ht="31.5" customHeight="1" spans="1:19" x14ac:dyDescent="0.25">
      <c r="A48" s="5" t="s">
        <v>656</v>
      </c>
      <c r="B48" s="6" t="s">
        <v>657</v>
      </c>
      <c r="C48" s="6"/>
      <c r="D48" s="5" t="s">
        <v>363</v>
      </c>
      <c r="E48" s="5" t="s">
        <v>11</v>
      </c>
      <c r="F48" s="5" t="s">
        <v>11</v>
      </c>
      <c r="G48" s="5" t="s">
        <v>11</v>
      </c>
      <c r="H48" s="7">
        <v>2</v>
      </c>
      <c r="I48" s="8">
        <v>400000</v>
      </c>
      <c r="J48" s="8"/>
      <c r="K48" s="8">
        <v>0</v>
      </c>
      <c r="L48" s="8">
        <v>0</v>
      </c>
      <c r="M48" s="8"/>
      <c r="N48" s="8">
        <f>I48-L48</f>
        <v>400000</v>
      </c>
      <c r="O48" s="8">
        <v>0</v>
      </c>
      <c r="P48" s="8">
        <v>0</v>
      </c>
      <c r="Q48" s="8"/>
      <c r="R48" s="8">
        <v>0</v>
      </c>
      <c r="S48" s="8">
        <v>0</v>
      </c>
    </row>
    <row r="49" ht="31.5" customHeight="1" spans="1:19" x14ac:dyDescent="0.25">
      <c r="A49" s="5" t="s">
        <v>658</v>
      </c>
      <c r="B49" s="6" t="s">
        <v>659</v>
      </c>
      <c r="C49" s="6"/>
      <c r="D49" s="5" t="s">
        <v>363</v>
      </c>
      <c r="E49" s="5" t="s">
        <v>11</v>
      </c>
      <c r="F49" s="5" t="s">
        <v>11</v>
      </c>
      <c r="G49" s="5" t="s">
        <v>11</v>
      </c>
      <c r="H49" s="7">
        <v>1</v>
      </c>
      <c r="I49" s="8">
        <v>40000</v>
      </c>
      <c r="J49" s="8"/>
      <c r="K49" s="8">
        <v>0</v>
      </c>
      <c r="L49" s="8">
        <v>30000</v>
      </c>
      <c r="M49" s="8"/>
      <c r="N49" s="8">
        <f>I49-L49</f>
        <v>10000</v>
      </c>
      <c r="O49" s="8">
        <v>0</v>
      </c>
      <c r="P49" s="8">
        <v>0</v>
      </c>
      <c r="Q49" s="8"/>
      <c r="R49" s="8">
        <v>0</v>
      </c>
      <c r="S49" s="8">
        <v>0</v>
      </c>
    </row>
    <row r="50" ht="31.5" customHeight="1" spans="1:19" x14ac:dyDescent="0.25">
      <c r="A50" s="5" t="s">
        <v>660</v>
      </c>
      <c r="B50" s="6" t="s">
        <v>661</v>
      </c>
      <c r="C50" s="6"/>
      <c r="D50" s="5" t="s">
        <v>363</v>
      </c>
      <c r="E50" s="5" t="s">
        <v>11</v>
      </c>
      <c r="F50" s="5" t="s">
        <v>11</v>
      </c>
      <c r="G50" s="5" t="s">
        <v>11</v>
      </c>
      <c r="H50" s="7">
        <v>1</v>
      </c>
      <c r="I50" s="8">
        <v>15000</v>
      </c>
      <c r="J50" s="8"/>
      <c r="K50" s="8">
        <v>0</v>
      </c>
      <c r="L50" s="8">
        <v>4527.77</v>
      </c>
      <c r="M50" s="8"/>
      <c r="N50" s="8">
        <f>I50-L50</f>
        <v>10472.23</v>
      </c>
      <c r="O50" s="8">
        <v>0</v>
      </c>
      <c r="P50" s="8">
        <v>0</v>
      </c>
      <c r="Q50" s="8"/>
      <c r="R50" s="8">
        <v>0</v>
      </c>
      <c r="S50" s="8">
        <v>0</v>
      </c>
    </row>
    <row r="51" ht="31.5" customHeight="1" spans="1:19" x14ac:dyDescent="0.25">
      <c r="A51" s="5" t="s">
        <v>662</v>
      </c>
      <c r="B51" s="6" t="s">
        <v>663</v>
      </c>
      <c r="C51" s="6"/>
      <c r="D51" s="5" t="s">
        <v>363</v>
      </c>
      <c r="E51" s="5" t="s">
        <v>11</v>
      </c>
      <c r="F51" s="5" t="s">
        <v>11</v>
      </c>
      <c r="G51" s="5" t="s">
        <v>11</v>
      </c>
      <c r="H51" s="7">
        <v>3</v>
      </c>
      <c r="I51" s="8">
        <v>36000</v>
      </c>
      <c r="J51" s="8"/>
      <c r="K51" s="8">
        <v>0</v>
      </c>
      <c r="L51" s="8">
        <v>18750</v>
      </c>
      <c r="M51" s="8"/>
      <c r="N51" s="8">
        <f>I51-L51</f>
        <v>17250</v>
      </c>
      <c r="O51" s="8">
        <v>0</v>
      </c>
      <c r="P51" s="8">
        <v>0</v>
      </c>
      <c r="Q51" s="8"/>
      <c r="R51" s="8">
        <v>0</v>
      </c>
      <c r="S51" s="8">
        <v>0</v>
      </c>
    </row>
    <row r="52" ht="31.5" customHeight="1" spans="1:19" x14ac:dyDescent="0.25">
      <c r="A52" s="5" t="s">
        <v>664</v>
      </c>
      <c r="B52" s="6" t="s">
        <v>665</v>
      </c>
      <c r="C52" s="6"/>
      <c r="D52" s="5" t="s">
        <v>363</v>
      </c>
      <c r="E52" s="5" t="s">
        <v>11</v>
      </c>
      <c r="F52" s="5" t="s">
        <v>11</v>
      </c>
      <c r="G52" s="5" t="s">
        <v>11</v>
      </c>
      <c r="H52" s="7">
        <v>1</v>
      </c>
      <c r="I52" s="8">
        <v>12000</v>
      </c>
      <c r="J52" s="8"/>
      <c r="K52" s="8">
        <v>0</v>
      </c>
      <c r="L52" s="8">
        <v>6250</v>
      </c>
      <c r="M52" s="8"/>
      <c r="N52" s="8">
        <f>I52-L52</f>
        <v>5750</v>
      </c>
      <c r="O52" s="8">
        <v>0</v>
      </c>
      <c r="P52" s="8">
        <v>0</v>
      </c>
      <c r="Q52" s="8"/>
      <c r="R52" s="8">
        <v>0</v>
      </c>
      <c r="S52" s="8">
        <v>0</v>
      </c>
    </row>
    <row r="53" ht="31.5" customHeight="1" spans="1:19" x14ac:dyDescent="0.25">
      <c r="A53" s="5" t="s">
        <v>666</v>
      </c>
      <c r="B53" s="6" t="s">
        <v>667</v>
      </c>
      <c r="C53" s="6"/>
      <c r="D53" s="5" t="s">
        <v>363</v>
      </c>
      <c r="E53" s="5" t="s">
        <v>11</v>
      </c>
      <c r="F53" s="5" t="s">
        <v>11</v>
      </c>
      <c r="G53" s="5" t="s">
        <v>11</v>
      </c>
      <c r="H53" s="7">
        <v>2</v>
      </c>
      <c r="I53" s="8">
        <v>27000</v>
      </c>
      <c r="J53" s="8"/>
      <c r="K53" s="8">
        <v>0</v>
      </c>
      <c r="L53" s="8">
        <v>10777.77</v>
      </c>
      <c r="M53" s="8"/>
      <c r="N53" s="8">
        <f>I53-L53</f>
        <v>16222.23</v>
      </c>
      <c r="O53" s="8">
        <v>0</v>
      </c>
      <c r="P53" s="8">
        <v>0</v>
      </c>
      <c r="Q53" s="8"/>
      <c r="R53" s="8">
        <v>0</v>
      </c>
      <c r="S53" s="8">
        <v>0</v>
      </c>
    </row>
    <row r="54" ht="18" customHeight="1" spans="1:19" x14ac:dyDescent="0.25">
      <c r="A54" s="9" t="s">
        <v>177</v>
      </c>
      <c r="B54" s="9"/>
      <c r="C54" s="9"/>
      <c r="D54" s="9"/>
      <c r="E54" s="9"/>
      <c r="F54" s="9"/>
      <c r="G54" s="9"/>
      <c r="H54" s="10">
        <f>SUM(H5:H53)</f>
        <v>85</v>
      </c>
      <c r="I54" s="11">
        <f>SUM(I5:I53)</f>
        <v>2638000</v>
      </c>
      <c r="J54" s="11"/>
      <c r="K54" s="11">
        <v>0</v>
      </c>
      <c r="L54" s="11">
        <f>SUM(L5:L53)</f>
        <v>327254.1000000001</v>
      </c>
      <c r="M54" s="11"/>
      <c r="N54" s="11">
        <f>SUM(N5:N53)</f>
        <v>2310745.9</v>
      </c>
      <c r="O54" s="11">
        <v>0</v>
      </c>
      <c r="P54" s="11">
        <v>0</v>
      </c>
      <c r="Q54" s="11"/>
      <c r="R54" s="11">
        <f>SUM(R5:R53)</f>
        <v>0</v>
      </c>
      <c r="S54" s="11">
        <v>0</v>
      </c>
    </row>
  </sheetData>
  <mergeCells count="216">
    <mergeCell ref="A1:S1"/>
    <mergeCell ref="A2:B2"/>
    <mergeCell ref="C2:E2"/>
    <mergeCell ref="F2:I2"/>
    <mergeCell ref="J2:L2"/>
    <mergeCell ref="M2:P2"/>
    <mergeCell ref="Q2:S2"/>
    <mergeCell ref="A3:B3"/>
    <mergeCell ref="C3:E3"/>
    <mergeCell ref="F3:I3"/>
    <mergeCell ref="J3:L3"/>
    <mergeCell ref="M3:S3"/>
    <mergeCell ref="B4:C4"/>
    <mergeCell ref="I4:J4"/>
    <mergeCell ref="L4:M4"/>
    <mergeCell ref="P4:Q4"/>
    <mergeCell ref="B5:C5"/>
    <mergeCell ref="I5:J5"/>
    <mergeCell ref="L5:M5"/>
    <mergeCell ref="P5:Q5"/>
    <mergeCell ref="B6:C6"/>
    <mergeCell ref="I6:J6"/>
    <mergeCell ref="L6:M6"/>
    <mergeCell ref="P6:Q6"/>
    <mergeCell ref="B7:C7"/>
    <mergeCell ref="I7:J7"/>
    <mergeCell ref="L7:M7"/>
    <mergeCell ref="P7:Q7"/>
    <mergeCell ref="B8:C8"/>
    <mergeCell ref="I8:J8"/>
    <mergeCell ref="L8:M8"/>
    <mergeCell ref="P8:Q8"/>
    <mergeCell ref="B9:C9"/>
    <mergeCell ref="I9:J9"/>
    <mergeCell ref="L9:M9"/>
    <mergeCell ref="P9:Q9"/>
    <mergeCell ref="B10:C10"/>
    <mergeCell ref="I10:J10"/>
    <mergeCell ref="L10:M10"/>
    <mergeCell ref="P10:Q10"/>
    <mergeCell ref="B11:C11"/>
    <mergeCell ref="I11:J11"/>
    <mergeCell ref="L11:M11"/>
    <mergeCell ref="P11:Q11"/>
    <mergeCell ref="B12:C12"/>
    <mergeCell ref="I12:J12"/>
    <mergeCell ref="L12:M12"/>
    <mergeCell ref="P12:Q12"/>
    <mergeCell ref="B13:C13"/>
    <mergeCell ref="I13:J13"/>
    <mergeCell ref="L13:M13"/>
    <mergeCell ref="P13:Q13"/>
    <mergeCell ref="B14:C14"/>
    <mergeCell ref="I14:J14"/>
    <mergeCell ref="L14:M14"/>
    <mergeCell ref="P14:Q14"/>
    <mergeCell ref="B15:C15"/>
    <mergeCell ref="I15:J15"/>
    <mergeCell ref="L15:M15"/>
    <mergeCell ref="P15:Q15"/>
    <mergeCell ref="B16:C16"/>
    <mergeCell ref="I16:J16"/>
    <mergeCell ref="L16:M16"/>
    <mergeCell ref="P16:Q16"/>
    <mergeCell ref="B17:C17"/>
    <mergeCell ref="I17:J17"/>
    <mergeCell ref="L17:M17"/>
    <mergeCell ref="P17:Q17"/>
    <mergeCell ref="B18:C18"/>
    <mergeCell ref="I18:J18"/>
    <mergeCell ref="L18:M18"/>
    <mergeCell ref="P18:Q18"/>
    <mergeCell ref="B19:C19"/>
    <mergeCell ref="I19:J19"/>
    <mergeCell ref="L19:M19"/>
    <mergeCell ref="P19:Q19"/>
    <mergeCell ref="B20:C20"/>
    <mergeCell ref="I20:J20"/>
    <mergeCell ref="L20:M20"/>
    <mergeCell ref="P20:Q20"/>
    <mergeCell ref="B21:C21"/>
    <mergeCell ref="I21:J21"/>
    <mergeCell ref="L21:M21"/>
    <mergeCell ref="P21:Q21"/>
    <mergeCell ref="B22:C22"/>
    <mergeCell ref="I22:J22"/>
    <mergeCell ref="L22:M22"/>
    <mergeCell ref="P22:Q22"/>
    <mergeCell ref="B23:C23"/>
    <mergeCell ref="I23:J23"/>
    <mergeCell ref="L23:M23"/>
    <mergeCell ref="P23:Q23"/>
    <mergeCell ref="B24:C24"/>
    <mergeCell ref="I24:J24"/>
    <mergeCell ref="L24:M24"/>
    <mergeCell ref="P24:Q24"/>
    <mergeCell ref="B25:C25"/>
    <mergeCell ref="I25:J25"/>
    <mergeCell ref="L25:M25"/>
    <mergeCell ref="P25:Q25"/>
    <mergeCell ref="B26:C26"/>
    <mergeCell ref="I26:J26"/>
    <mergeCell ref="L26:M26"/>
    <mergeCell ref="P26:Q26"/>
    <mergeCell ref="B27:C27"/>
    <mergeCell ref="I27:J27"/>
    <mergeCell ref="L27:M27"/>
    <mergeCell ref="P27:Q27"/>
    <mergeCell ref="B28:C28"/>
    <mergeCell ref="I28:J28"/>
    <mergeCell ref="L28:M28"/>
    <mergeCell ref="P28:Q28"/>
    <mergeCell ref="B29:C29"/>
    <mergeCell ref="I29:J29"/>
    <mergeCell ref="L29:M29"/>
    <mergeCell ref="P29:Q29"/>
    <mergeCell ref="B30:C30"/>
    <mergeCell ref="I30:J30"/>
    <mergeCell ref="L30:M30"/>
    <mergeCell ref="P30:Q30"/>
    <mergeCell ref="B31:C31"/>
    <mergeCell ref="I31:J31"/>
    <mergeCell ref="L31:M31"/>
    <mergeCell ref="P31:Q31"/>
    <mergeCell ref="B32:C32"/>
    <mergeCell ref="I32:J32"/>
    <mergeCell ref="L32:M32"/>
    <mergeCell ref="P32:Q32"/>
    <mergeCell ref="B33:C33"/>
    <mergeCell ref="I33:J33"/>
    <mergeCell ref="L33:M33"/>
    <mergeCell ref="P33:Q33"/>
    <mergeCell ref="B34:C34"/>
    <mergeCell ref="I34:J34"/>
    <mergeCell ref="L34:M34"/>
    <mergeCell ref="P34:Q34"/>
    <mergeCell ref="B35:C35"/>
    <mergeCell ref="I35:J35"/>
    <mergeCell ref="L35:M35"/>
    <mergeCell ref="P35:Q35"/>
    <mergeCell ref="B36:C36"/>
    <mergeCell ref="I36:J36"/>
    <mergeCell ref="L36:M36"/>
    <mergeCell ref="P36:Q36"/>
    <mergeCell ref="B37:C37"/>
    <mergeCell ref="I37:J37"/>
    <mergeCell ref="L37:M37"/>
    <mergeCell ref="P37:Q37"/>
    <mergeCell ref="B38:C38"/>
    <mergeCell ref="I38:J38"/>
    <mergeCell ref="L38:M38"/>
    <mergeCell ref="P38:Q38"/>
    <mergeCell ref="B39:C39"/>
    <mergeCell ref="I39:J39"/>
    <mergeCell ref="L39:M39"/>
    <mergeCell ref="P39:Q39"/>
    <mergeCell ref="B40:C40"/>
    <mergeCell ref="I40:J40"/>
    <mergeCell ref="L40:M40"/>
    <mergeCell ref="P40:Q40"/>
    <mergeCell ref="B41:C41"/>
    <mergeCell ref="I41:J41"/>
    <mergeCell ref="L41:M41"/>
    <mergeCell ref="P41:Q41"/>
    <mergeCell ref="B42:C42"/>
    <mergeCell ref="I42:J42"/>
    <mergeCell ref="L42:M42"/>
    <mergeCell ref="P42:Q42"/>
    <mergeCell ref="B43:C43"/>
    <mergeCell ref="I43:J43"/>
    <mergeCell ref="L43:M43"/>
    <mergeCell ref="P43:Q43"/>
    <mergeCell ref="B44:C44"/>
    <mergeCell ref="I44:J44"/>
    <mergeCell ref="L44:M44"/>
    <mergeCell ref="P44:Q44"/>
    <mergeCell ref="B45:C45"/>
    <mergeCell ref="I45:J45"/>
    <mergeCell ref="L45:M45"/>
    <mergeCell ref="P45:Q45"/>
    <mergeCell ref="B46:C46"/>
    <mergeCell ref="I46:J46"/>
    <mergeCell ref="L46:M46"/>
    <mergeCell ref="P46:Q46"/>
    <mergeCell ref="B47:C47"/>
    <mergeCell ref="I47:J47"/>
    <mergeCell ref="L47:M47"/>
    <mergeCell ref="P47:Q47"/>
    <mergeCell ref="B48:C48"/>
    <mergeCell ref="I48:J48"/>
    <mergeCell ref="L48:M48"/>
    <mergeCell ref="P48:Q48"/>
    <mergeCell ref="B49:C49"/>
    <mergeCell ref="I49:J49"/>
    <mergeCell ref="L49:M49"/>
    <mergeCell ref="P49:Q49"/>
    <mergeCell ref="B50:C50"/>
    <mergeCell ref="I50:J50"/>
    <mergeCell ref="L50:M50"/>
    <mergeCell ref="P50:Q50"/>
    <mergeCell ref="B51:C51"/>
    <mergeCell ref="I51:J51"/>
    <mergeCell ref="L51:M51"/>
    <mergeCell ref="P51:Q51"/>
    <mergeCell ref="B52:C52"/>
    <mergeCell ref="I52:J52"/>
    <mergeCell ref="L52:M52"/>
    <mergeCell ref="P52:Q52"/>
    <mergeCell ref="B53:C53"/>
    <mergeCell ref="I53:J53"/>
    <mergeCell ref="L53:M53"/>
    <mergeCell ref="P53:Q53"/>
    <mergeCell ref="A54:G54"/>
    <mergeCell ref="I54:J54"/>
    <mergeCell ref="L54:M54"/>
    <mergeCell ref="P54:Q54"/>
  </mergeCells>
  <pageMargins left="0.2" right="0.2" top="0.3" bottom="0.3" header="0.1" footer="0.1"/>
  <pageSetup paperSize="9" orientation="landscape" horizontalDpi="4294967295" verticalDpi="4294967295" scale="100" fitToWidth="1" fitToHeight="0"/>
  <headerFooter>
    <oddFooter>&amp;LGenerated by AYO Olsera&amp;CPage &amp;P of &amp;N&amp;R&amp;D 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2"/>
  <sheetViews>
    <sheetView workbookViewId="0" zoomScale="80"/>
  </sheetViews>
  <sheetFormatPr defaultRowHeight="15.75" outlineLevelRow="0" outlineLevelCol="0" x14ac:dyDescent="55" customHeight="1"/>
  <cols>
    <col min="1" max="1" width="22" customWidth="1"/>
    <col min="2" max="2" width="12.1" hidden="1" customWidth="1"/>
    <col min="3" max="3" width="15.7" customWidth="1"/>
    <col min="4" max="4" width="17.4" customWidth="1"/>
    <col min="5" max="5" width="0.1" hidden="1" customWidth="1"/>
    <col min="6" max="6" width="16" customWidth="1"/>
    <col min="7" max="7" width="12" customWidth="1"/>
    <col min="9" max="9" width="14" customWidth="1"/>
    <col min="10" max="10" width="10" customWidth="1"/>
    <col min="12" max="12" width="9" hidden="1" customWidth="1"/>
    <col min="13" max="13" width="10" customWidth="1"/>
    <col min="14" max="14" width="15" customWidth="1"/>
    <col min="16" max="16" width="0.1" customWidth="1"/>
    <col min="17" max="18" width="10" customWidth="1"/>
    <col min="19" max="19" width="11" customWidth="1"/>
  </cols>
  <sheetData>
    <row r="1" ht="52.5" customHeight="1" spans="1:19" x14ac:dyDescent="0.25">
      <c r="A1" s="1" t="s">
        <v>668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8.5" customHeight="1" spans="1:19" x14ac:dyDescent="0.25">
      <c r="A2" s="2" t="s">
        <v>669</v>
      </c>
      <c r="B2" s="2"/>
      <c r="C2" s="2" t="s">
        <v>2</v>
      </c>
      <c r="D2" s="2"/>
      <c r="E2" s="2"/>
      <c r="F2" s="2" t="s">
        <v>670</v>
      </c>
      <c r="G2" s="2"/>
      <c r="H2" s="2"/>
      <c r="I2" s="2"/>
      <c r="J2" s="2" t="s">
        <v>671</v>
      </c>
      <c r="K2" s="2"/>
      <c r="L2" s="2"/>
      <c r="M2" s="2" t="s">
        <v>5</v>
      </c>
      <c r="N2" s="2"/>
      <c r="O2" s="2"/>
      <c r="P2" s="2"/>
      <c r="Q2" s="2" t="s">
        <v>6</v>
      </c>
      <c r="R2" s="2"/>
      <c r="S2" s="2"/>
    </row>
    <row r="3" ht="31.5" customHeight="1" spans="1:19" x14ac:dyDescent="0.25">
      <c r="A3" s="2" t="s">
        <v>7</v>
      </c>
      <c r="B3" s="2"/>
      <c r="C3" s="2" t="s">
        <v>8</v>
      </c>
      <c r="D3" s="2"/>
      <c r="E3" s="2"/>
      <c r="F3" s="2" t="s">
        <v>672</v>
      </c>
      <c r="G3" s="2"/>
      <c r="H3" s="2"/>
      <c r="I3" s="2"/>
      <c r="J3" s="2" t="s">
        <v>10</v>
      </c>
      <c r="K3" s="2"/>
      <c r="L3" s="2"/>
      <c r="M3" s="3" t="s">
        <v>11</v>
      </c>
      <c r="N3" s="3"/>
      <c r="O3" s="3"/>
      <c r="P3" s="3"/>
      <c r="Q3" s="3"/>
      <c r="R3" s="3"/>
      <c r="S3" s="3"/>
    </row>
    <row r="4" ht="25.5" customHeight="1" spans="1:19" x14ac:dyDescent="0.25">
      <c r="A4" s="4" t="s">
        <v>12</v>
      </c>
      <c r="B4" s="4" t="s">
        <v>13</v>
      </c>
      <c r="C4" s="4"/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/>
      <c r="K4" s="4" t="s">
        <v>20</v>
      </c>
      <c r="L4" s="4" t="s">
        <v>21</v>
      </c>
      <c r="M4" s="4"/>
      <c r="N4" s="4" t="s">
        <v>22</v>
      </c>
      <c r="O4" s="4" t="s">
        <v>23</v>
      </c>
      <c r="P4" s="4" t="s">
        <v>24</v>
      </c>
      <c r="Q4" s="4"/>
      <c r="R4" s="4" t="s">
        <v>25</v>
      </c>
      <c r="S4" s="4" t="s">
        <v>26</v>
      </c>
    </row>
    <row r="5" ht="31.5" customHeight="1" spans="1:19" x14ac:dyDescent="0.25">
      <c r="A5" s="5" t="s">
        <v>673</v>
      </c>
      <c r="B5" s="6" t="s">
        <v>674</v>
      </c>
      <c r="C5" s="6"/>
      <c r="D5" s="5" t="s">
        <v>29</v>
      </c>
      <c r="E5" s="5" t="s">
        <v>11</v>
      </c>
      <c r="F5" s="5" t="s">
        <v>11</v>
      </c>
      <c r="G5" s="5" t="s">
        <v>11</v>
      </c>
      <c r="H5" s="7">
        <v>1</v>
      </c>
      <c r="I5" s="8">
        <v>30000</v>
      </c>
      <c r="J5" s="8"/>
      <c r="K5" s="8">
        <v>0</v>
      </c>
      <c r="L5" s="8">
        <v>0</v>
      </c>
      <c r="M5" s="8"/>
      <c r="N5" s="8">
        <f>I5-L5</f>
        <v>30000</v>
      </c>
      <c r="O5" s="8">
        <v>0</v>
      </c>
      <c r="P5" s="8">
        <v>0</v>
      </c>
      <c r="Q5" s="8"/>
      <c r="R5" s="8">
        <v>0</v>
      </c>
      <c r="S5" s="8">
        <v>0</v>
      </c>
    </row>
    <row r="6" ht="31.5" customHeight="1" spans="1:19" x14ac:dyDescent="0.25">
      <c r="A6" s="5" t="s">
        <v>675</v>
      </c>
      <c r="B6" s="6" t="s">
        <v>676</v>
      </c>
      <c r="C6" s="6"/>
      <c r="D6" s="5" t="s">
        <v>29</v>
      </c>
      <c r="E6" s="5" t="s">
        <v>11</v>
      </c>
      <c r="F6" s="5" t="s">
        <v>11</v>
      </c>
      <c r="G6" s="5" t="s">
        <v>11</v>
      </c>
      <c r="H6" s="7">
        <v>1</v>
      </c>
      <c r="I6" s="8">
        <v>30000</v>
      </c>
      <c r="J6" s="8"/>
      <c r="K6" s="8">
        <v>0</v>
      </c>
      <c r="L6" s="8">
        <v>0</v>
      </c>
      <c r="M6" s="8"/>
      <c r="N6" s="8">
        <f>I6-L6</f>
        <v>30000</v>
      </c>
      <c r="O6" s="8">
        <v>0</v>
      </c>
      <c r="P6" s="8">
        <v>0</v>
      </c>
      <c r="Q6" s="8"/>
      <c r="R6" s="8">
        <v>0</v>
      </c>
      <c r="S6" s="8">
        <v>0</v>
      </c>
    </row>
    <row r="7" ht="31.5" customHeight="1" spans="1:19" x14ac:dyDescent="0.25">
      <c r="A7" s="5" t="s">
        <v>677</v>
      </c>
      <c r="B7" s="6" t="s">
        <v>678</v>
      </c>
      <c r="C7" s="6"/>
      <c r="D7" s="5" t="s">
        <v>29</v>
      </c>
      <c r="E7" s="5" t="s">
        <v>11</v>
      </c>
      <c r="F7" s="5" t="s">
        <v>11</v>
      </c>
      <c r="G7" s="5" t="s">
        <v>11</v>
      </c>
      <c r="H7" s="7">
        <v>1</v>
      </c>
      <c r="I7" s="8">
        <v>30000</v>
      </c>
      <c r="J7" s="8"/>
      <c r="K7" s="8">
        <v>0</v>
      </c>
      <c r="L7" s="8">
        <v>0</v>
      </c>
      <c r="M7" s="8"/>
      <c r="N7" s="8">
        <f>I7-L7</f>
        <v>30000</v>
      </c>
      <c r="O7" s="8">
        <v>0</v>
      </c>
      <c r="P7" s="8">
        <v>0</v>
      </c>
      <c r="Q7" s="8"/>
      <c r="R7" s="8">
        <v>0</v>
      </c>
      <c r="S7" s="8">
        <v>0</v>
      </c>
    </row>
    <row r="8" ht="31.5" customHeight="1" spans="1:19" x14ac:dyDescent="0.25">
      <c r="A8" s="5" t="s">
        <v>679</v>
      </c>
      <c r="B8" s="6" t="s">
        <v>680</v>
      </c>
      <c r="C8" s="6"/>
      <c r="D8" s="5" t="s">
        <v>29</v>
      </c>
      <c r="E8" s="5" t="s">
        <v>11</v>
      </c>
      <c r="F8" s="5" t="s">
        <v>11</v>
      </c>
      <c r="G8" s="5" t="s">
        <v>11</v>
      </c>
      <c r="H8" s="7">
        <v>1</v>
      </c>
      <c r="I8" s="8">
        <v>25000</v>
      </c>
      <c r="J8" s="8"/>
      <c r="K8" s="8">
        <v>0</v>
      </c>
      <c r="L8" s="8">
        <v>0</v>
      </c>
      <c r="M8" s="8"/>
      <c r="N8" s="8">
        <f>I8-L8</f>
        <v>25000</v>
      </c>
      <c r="O8" s="8">
        <v>0</v>
      </c>
      <c r="P8" s="8">
        <v>0</v>
      </c>
      <c r="Q8" s="8"/>
      <c r="R8" s="8">
        <v>0</v>
      </c>
      <c r="S8" s="8">
        <v>0</v>
      </c>
    </row>
    <row r="9" ht="31.5" customHeight="1" spans="1:19" x14ac:dyDescent="0.25">
      <c r="A9" s="5" t="s">
        <v>681</v>
      </c>
      <c r="B9" s="6" t="s">
        <v>682</v>
      </c>
      <c r="C9" s="6"/>
      <c r="D9" s="5" t="s">
        <v>29</v>
      </c>
      <c r="E9" s="5" t="s">
        <v>11</v>
      </c>
      <c r="F9" s="5" t="s">
        <v>11</v>
      </c>
      <c r="G9" s="5" t="s">
        <v>11</v>
      </c>
      <c r="H9" s="7">
        <v>1</v>
      </c>
      <c r="I9" s="8">
        <v>90000</v>
      </c>
      <c r="J9" s="8"/>
      <c r="K9" s="8">
        <v>0</v>
      </c>
      <c r="L9" s="8">
        <v>58472.73</v>
      </c>
      <c r="M9" s="8"/>
      <c r="N9" s="8">
        <f>I9-L9</f>
        <v>31527.269999999997</v>
      </c>
      <c r="O9" s="8">
        <v>0</v>
      </c>
      <c r="P9" s="8">
        <v>0</v>
      </c>
      <c r="Q9" s="8"/>
      <c r="R9" s="8">
        <v>0</v>
      </c>
      <c r="S9" s="8">
        <v>0</v>
      </c>
    </row>
    <row r="10" ht="31.5" customHeight="1" spans="1:19" x14ac:dyDescent="0.25">
      <c r="A10" s="5" t="s">
        <v>683</v>
      </c>
      <c r="B10" s="6" t="s">
        <v>684</v>
      </c>
      <c r="C10" s="6"/>
      <c r="D10" s="5" t="s">
        <v>29</v>
      </c>
      <c r="E10" s="5" t="s">
        <v>11</v>
      </c>
      <c r="F10" s="5" t="s">
        <v>11</v>
      </c>
      <c r="G10" s="5" t="s">
        <v>11</v>
      </c>
      <c r="H10" s="7">
        <v>1</v>
      </c>
      <c r="I10" s="8">
        <v>30000</v>
      </c>
      <c r="J10" s="8"/>
      <c r="K10" s="8">
        <v>0</v>
      </c>
      <c r="L10" s="8">
        <v>0</v>
      </c>
      <c r="M10" s="8"/>
      <c r="N10" s="8">
        <f>I10-L10</f>
        <v>30000</v>
      </c>
      <c r="O10" s="8">
        <v>0</v>
      </c>
      <c r="P10" s="8">
        <v>0</v>
      </c>
      <c r="Q10" s="8"/>
      <c r="R10" s="8">
        <v>0</v>
      </c>
      <c r="S10" s="8">
        <v>0</v>
      </c>
    </row>
    <row r="11" ht="31.5" customHeight="1" spans="1:19" x14ac:dyDescent="0.25">
      <c r="A11" s="5" t="s">
        <v>685</v>
      </c>
      <c r="B11" s="6" t="s">
        <v>686</v>
      </c>
      <c r="C11" s="6"/>
      <c r="D11" s="5" t="s">
        <v>29</v>
      </c>
      <c r="E11" s="5" t="s">
        <v>11</v>
      </c>
      <c r="F11" s="5" t="s">
        <v>11</v>
      </c>
      <c r="G11" s="5" t="s">
        <v>11</v>
      </c>
      <c r="H11" s="7">
        <v>2</v>
      </c>
      <c r="I11" s="8">
        <v>47000</v>
      </c>
      <c r="J11" s="8"/>
      <c r="K11" s="8">
        <v>0</v>
      </c>
      <c r="L11" s="8">
        <v>6250</v>
      </c>
      <c r="M11" s="8"/>
      <c r="N11" s="8">
        <f>I11-L11</f>
        <v>40750</v>
      </c>
      <c r="O11" s="8">
        <v>0</v>
      </c>
      <c r="P11" s="8">
        <v>0</v>
      </c>
      <c r="Q11" s="8"/>
      <c r="R11" s="8">
        <v>0</v>
      </c>
      <c r="S11" s="8">
        <v>0</v>
      </c>
    </row>
    <row r="12" ht="31.5" customHeight="1" spans="1:19" x14ac:dyDescent="0.25">
      <c r="A12" s="5" t="s">
        <v>687</v>
      </c>
      <c r="B12" s="6" t="s">
        <v>688</v>
      </c>
      <c r="C12" s="6"/>
      <c r="D12" s="5" t="s">
        <v>29</v>
      </c>
      <c r="E12" s="5" t="s">
        <v>11</v>
      </c>
      <c r="F12" s="5" t="s">
        <v>11</v>
      </c>
      <c r="G12" s="5" t="s">
        <v>11</v>
      </c>
      <c r="H12" s="7">
        <v>1</v>
      </c>
      <c r="I12" s="8">
        <v>10000</v>
      </c>
      <c r="J12" s="8"/>
      <c r="K12" s="8">
        <v>0</v>
      </c>
      <c r="L12" s="8">
        <v>2087.18</v>
      </c>
      <c r="M12" s="8"/>
      <c r="N12" s="8">
        <f>I12-L12</f>
        <v>7912.82</v>
      </c>
      <c r="O12" s="8">
        <v>0</v>
      </c>
      <c r="P12" s="8">
        <v>0</v>
      </c>
      <c r="Q12" s="8"/>
      <c r="R12" s="8">
        <v>0</v>
      </c>
      <c r="S12" s="8">
        <v>0</v>
      </c>
    </row>
    <row r="13" ht="31.5" customHeight="1" spans="1:19" x14ac:dyDescent="0.25">
      <c r="A13" s="5" t="s">
        <v>689</v>
      </c>
      <c r="B13" s="6" t="s">
        <v>690</v>
      </c>
      <c r="C13" s="6"/>
      <c r="D13" s="5" t="s">
        <v>29</v>
      </c>
      <c r="E13" s="5" t="s">
        <v>11</v>
      </c>
      <c r="F13" s="5" t="s">
        <v>11</v>
      </c>
      <c r="G13" s="5" t="s">
        <v>11</v>
      </c>
      <c r="H13" s="7">
        <v>3</v>
      </c>
      <c r="I13" s="8">
        <v>82000</v>
      </c>
      <c r="J13" s="8"/>
      <c r="K13" s="8">
        <v>0</v>
      </c>
      <c r="L13" s="8">
        <v>0</v>
      </c>
      <c r="M13" s="8"/>
      <c r="N13" s="8">
        <f>I13-L13</f>
        <v>82000</v>
      </c>
      <c r="O13" s="8">
        <v>0</v>
      </c>
      <c r="P13" s="8">
        <v>0</v>
      </c>
      <c r="Q13" s="8"/>
      <c r="R13" s="8">
        <v>0</v>
      </c>
      <c r="S13" s="8">
        <v>0</v>
      </c>
    </row>
    <row r="14" ht="31.5" customHeight="1" spans="1:19" x14ac:dyDescent="0.25">
      <c r="A14" s="5" t="s">
        <v>691</v>
      </c>
      <c r="B14" s="6" t="s">
        <v>692</v>
      </c>
      <c r="C14" s="6"/>
      <c r="D14" s="5" t="s">
        <v>29</v>
      </c>
      <c r="E14" s="5" t="s">
        <v>11</v>
      </c>
      <c r="F14" s="5" t="s">
        <v>11</v>
      </c>
      <c r="G14" s="5" t="s">
        <v>11</v>
      </c>
      <c r="H14" s="7">
        <v>1</v>
      </c>
      <c r="I14" s="8">
        <v>12000</v>
      </c>
      <c r="J14" s="8"/>
      <c r="K14" s="8">
        <v>0</v>
      </c>
      <c r="L14" s="8">
        <v>6250</v>
      </c>
      <c r="M14" s="8"/>
      <c r="N14" s="8">
        <f>I14-L14</f>
        <v>5750</v>
      </c>
      <c r="O14" s="8">
        <v>0</v>
      </c>
      <c r="P14" s="8">
        <v>0</v>
      </c>
      <c r="Q14" s="8"/>
      <c r="R14" s="8">
        <v>0</v>
      </c>
      <c r="S14" s="8">
        <v>0</v>
      </c>
    </row>
    <row r="15" ht="31.5" customHeight="1" spans="1:19" x14ac:dyDescent="0.25">
      <c r="A15" s="5" t="s">
        <v>693</v>
      </c>
      <c r="B15" s="6" t="s">
        <v>694</v>
      </c>
      <c r="C15" s="6"/>
      <c r="D15" s="5" t="s">
        <v>29</v>
      </c>
      <c r="E15" s="5" t="s">
        <v>11</v>
      </c>
      <c r="F15" s="5" t="s">
        <v>11</v>
      </c>
      <c r="G15" s="5" t="s">
        <v>11</v>
      </c>
      <c r="H15" s="7">
        <v>3</v>
      </c>
      <c r="I15" s="8">
        <v>150000</v>
      </c>
      <c r="J15" s="8"/>
      <c r="K15" s="8">
        <v>0</v>
      </c>
      <c r="L15" s="8">
        <v>0</v>
      </c>
      <c r="M15" s="8"/>
      <c r="N15" s="8">
        <f>I15-L15</f>
        <v>150000</v>
      </c>
      <c r="O15" s="8">
        <v>0</v>
      </c>
      <c r="P15" s="8">
        <v>0</v>
      </c>
      <c r="Q15" s="8"/>
      <c r="R15" s="8">
        <v>0</v>
      </c>
      <c r="S15" s="8">
        <v>0</v>
      </c>
    </row>
    <row r="16" ht="31.5" customHeight="1" spans="1:19" x14ac:dyDescent="0.25">
      <c r="A16" s="5" t="s">
        <v>695</v>
      </c>
      <c r="B16" s="6" t="s">
        <v>696</v>
      </c>
      <c r="C16" s="6"/>
      <c r="D16" s="5" t="s">
        <v>29</v>
      </c>
      <c r="E16" s="5" t="s">
        <v>11</v>
      </c>
      <c r="F16" s="5" t="s">
        <v>11</v>
      </c>
      <c r="G16" s="5" t="s">
        <v>11</v>
      </c>
      <c r="H16" s="7">
        <v>1</v>
      </c>
      <c r="I16" s="8">
        <v>15000</v>
      </c>
      <c r="J16" s="8"/>
      <c r="K16" s="8">
        <v>0</v>
      </c>
      <c r="L16" s="8">
        <v>4527.77</v>
      </c>
      <c r="M16" s="8"/>
      <c r="N16" s="8">
        <f>I16-L16</f>
        <v>10472.23</v>
      </c>
      <c r="O16" s="8">
        <v>0</v>
      </c>
      <c r="P16" s="8">
        <v>0</v>
      </c>
      <c r="Q16" s="8"/>
      <c r="R16" s="8">
        <v>0</v>
      </c>
      <c r="S16" s="8">
        <v>0</v>
      </c>
    </row>
    <row r="17" ht="31.5" customHeight="1" spans="1:19" x14ac:dyDescent="0.25">
      <c r="A17" s="5" t="s">
        <v>697</v>
      </c>
      <c r="B17" s="6" t="s">
        <v>698</v>
      </c>
      <c r="C17" s="6"/>
      <c r="D17" s="5" t="s">
        <v>29</v>
      </c>
      <c r="E17" s="5" t="s">
        <v>11</v>
      </c>
      <c r="F17" s="5" t="s">
        <v>11</v>
      </c>
      <c r="G17" s="5" t="s">
        <v>11</v>
      </c>
      <c r="H17" s="7">
        <v>1</v>
      </c>
      <c r="I17" s="8">
        <v>30000</v>
      </c>
      <c r="J17" s="8"/>
      <c r="K17" s="8">
        <v>0</v>
      </c>
      <c r="L17" s="8">
        <v>0</v>
      </c>
      <c r="M17" s="8"/>
      <c r="N17" s="8">
        <f>I17-L17</f>
        <v>30000</v>
      </c>
      <c r="O17" s="8">
        <v>0</v>
      </c>
      <c r="P17" s="8">
        <v>0</v>
      </c>
      <c r="Q17" s="8"/>
      <c r="R17" s="8">
        <v>0</v>
      </c>
      <c r="S17" s="8">
        <v>0</v>
      </c>
    </row>
    <row r="18" ht="31.5" customHeight="1" spans="1:19" x14ac:dyDescent="0.25">
      <c r="A18" s="5" t="s">
        <v>699</v>
      </c>
      <c r="B18" s="6" t="s">
        <v>700</v>
      </c>
      <c r="C18" s="6"/>
      <c r="D18" s="5" t="s">
        <v>29</v>
      </c>
      <c r="E18" s="5" t="s">
        <v>11</v>
      </c>
      <c r="F18" s="5" t="s">
        <v>11</v>
      </c>
      <c r="G18" s="5" t="s">
        <v>11</v>
      </c>
      <c r="H18" s="7">
        <v>2</v>
      </c>
      <c r="I18" s="8">
        <v>50000</v>
      </c>
      <c r="J18" s="8"/>
      <c r="K18" s="8">
        <v>0</v>
      </c>
      <c r="L18" s="8">
        <v>0</v>
      </c>
      <c r="M18" s="8"/>
      <c r="N18" s="8">
        <f>I18-L18</f>
        <v>50000</v>
      </c>
      <c r="O18" s="8">
        <v>0</v>
      </c>
      <c r="P18" s="8">
        <v>0</v>
      </c>
      <c r="Q18" s="8"/>
      <c r="R18" s="8">
        <v>0</v>
      </c>
      <c r="S18" s="8">
        <v>0</v>
      </c>
    </row>
    <row r="19" ht="31.5" customHeight="1" spans="1:19" x14ac:dyDescent="0.25">
      <c r="A19" s="5" t="s">
        <v>701</v>
      </c>
      <c r="B19" s="6" t="s">
        <v>702</v>
      </c>
      <c r="C19" s="6"/>
      <c r="D19" s="5" t="s">
        <v>29</v>
      </c>
      <c r="E19" s="5" t="s">
        <v>11</v>
      </c>
      <c r="F19" s="5" t="s">
        <v>11</v>
      </c>
      <c r="G19" s="5" t="s">
        <v>11</v>
      </c>
      <c r="H19" s="7">
        <v>1</v>
      </c>
      <c r="I19" s="8">
        <v>300000</v>
      </c>
      <c r="J19" s="8"/>
      <c r="K19" s="8">
        <v>0</v>
      </c>
      <c r="L19" s="8">
        <v>0</v>
      </c>
      <c r="M19" s="8"/>
      <c r="N19" s="8">
        <f>I19-L19</f>
        <v>300000</v>
      </c>
      <c r="O19" s="8">
        <v>0</v>
      </c>
      <c r="P19" s="8">
        <v>0</v>
      </c>
      <c r="Q19" s="8"/>
      <c r="R19" s="8">
        <v>0</v>
      </c>
      <c r="S19" s="8">
        <v>0</v>
      </c>
    </row>
    <row r="20" ht="31.5" customHeight="1" spans="1:19" x14ac:dyDescent="0.25">
      <c r="A20" s="5" t="s">
        <v>703</v>
      </c>
      <c r="B20" s="6" t="s">
        <v>704</v>
      </c>
      <c r="C20" s="6"/>
      <c r="D20" s="5" t="s">
        <v>29</v>
      </c>
      <c r="E20" s="5" t="s">
        <v>11</v>
      </c>
      <c r="F20" s="5" t="s">
        <v>11</v>
      </c>
      <c r="G20" s="5" t="s">
        <v>11</v>
      </c>
      <c r="H20" s="7">
        <v>6</v>
      </c>
      <c r="I20" s="8">
        <v>177000</v>
      </c>
      <c r="J20" s="8"/>
      <c r="K20" s="8">
        <v>0</v>
      </c>
      <c r="L20" s="8">
        <v>0</v>
      </c>
      <c r="M20" s="8"/>
      <c r="N20" s="8">
        <f>I20-L20</f>
        <v>177000</v>
      </c>
      <c r="O20" s="8">
        <v>0</v>
      </c>
      <c r="P20" s="8">
        <v>0</v>
      </c>
      <c r="Q20" s="8"/>
      <c r="R20" s="8">
        <v>0</v>
      </c>
      <c r="S20" s="8">
        <v>0</v>
      </c>
    </row>
    <row r="21" ht="31.5" customHeight="1" spans="1:19" x14ac:dyDescent="0.25">
      <c r="A21" s="5" t="s">
        <v>705</v>
      </c>
      <c r="B21" s="6" t="s">
        <v>706</v>
      </c>
      <c r="C21" s="6"/>
      <c r="D21" s="5" t="s">
        <v>29</v>
      </c>
      <c r="E21" s="5" t="s">
        <v>11</v>
      </c>
      <c r="F21" s="5" t="s">
        <v>11</v>
      </c>
      <c r="G21" s="5" t="s">
        <v>11</v>
      </c>
      <c r="H21" s="7">
        <v>1</v>
      </c>
      <c r="I21" s="8">
        <v>15000</v>
      </c>
      <c r="J21" s="8"/>
      <c r="K21" s="8">
        <v>0</v>
      </c>
      <c r="L21" s="8">
        <v>4527.77</v>
      </c>
      <c r="M21" s="8"/>
      <c r="N21" s="8">
        <f>I21-L21</f>
        <v>10472.23</v>
      </c>
      <c r="O21" s="8">
        <v>0</v>
      </c>
      <c r="P21" s="8">
        <v>0</v>
      </c>
      <c r="Q21" s="8"/>
      <c r="R21" s="8">
        <v>0</v>
      </c>
      <c r="S21" s="8">
        <v>0</v>
      </c>
    </row>
    <row r="22" ht="31.5" customHeight="1" spans="1:19" x14ac:dyDescent="0.25">
      <c r="A22" s="5" t="s">
        <v>707</v>
      </c>
      <c r="B22" s="6" t="s">
        <v>708</v>
      </c>
      <c r="C22" s="6"/>
      <c r="D22" s="5" t="s">
        <v>29</v>
      </c>
      <c r="E22" s="5" t="s">
        <v>11</v>
      </c>
      <c r="F22" s="5" t="s">
        <v>11</v>
      </c>
      <c r="G22" s="5" t="s">
        <v>11</v>
      </c>
      <c r="H22" s="7">
        <v>1</v>
      </c>
      <c r="I22" s="8">
        <v>28000</v>
      </c>
      <c r="J22" s="8"/>
      <c r="K22" s="8">
        <v>0</v>
      </c>
      <c r="L22" s="8">
        <v>0</v>
      </c>
      <c r="M22" s="8"/>
      <c r="N22" s="8">
        <f>I22-L22</f>
        <v>28000</v>
      </c>
      <c r="O22" s="8">
        <v>0</v>
      </c>
      <c r="P22" s="8">
        <v>0</v>
      </c>
      <c r="Q22" s="8"/>
      <c r="R22" s="8">
        <v>0</v>
      </c>
      <c r="S22" s="8">
        <v>0</v>
      </c>
    </row>
    <row r="23" ht="31.5" customHeight="1" spans="1:19" x14ac:dyDescent="0.25">
      <c r="A23" s="5" t="s">
        <v>709</v>
      </c>
      <c r="B23" s="6" t="s">
        <v>710</v>
      </c>
      <c r="C23" s="6"/>
      <c r="D23" s="5" t="s">
        <v>29</v>
      </c>
      <c r="E23" s="5" t="s">
        <v>11</v>
      </c>
      <c r="F23" s="5" t="s">
        <v>11</v>
      </c>
      <c r="G23" s="5" t="s">
        <v>11</v>
      </c>
      <c r="H23" s="7">
        <v>1</v>
      </c>
      <c r="I23" s="8">
        <v>28000</v>
      </c>
      <c r="J23" s="8"/>
      <c r="K23" s="8">
        <v>0</v>
      </c>
      <c r="L23" s="8">
        <v>0</v>
      </c>
      <c r="M23" s="8"/>
      <c r="N23" s="8">
        <f>I23-L23</f>
        <v>28000</v>
      </c>
      <c r="O23" s="8">
        <v>0</v>
      </c>
      <c r="P23" s="8">
        <v>0</v>
      </c>
      <c r="Q23" s="8"/>
      <c r="R23" s="8">
        <v>0</v>
      </c>
      <c r="S23" s="8">
        <v>0</v>
      </c>
    </row>
    <row r="24" ht="31.5" customHeight="1" spans="1:19" x14ac:dyDescent="0.25">
      <c r="A24" s="5" t="s">
        <v>711</v>
      </c>
      <c r="B24" s="6" t="s">
        <v>712</v>
      </c>
      <c r="C24" s="6"/>
      <c r="D24" s="5" t="s">
        <v>29</v>
      </c>
      <c r="E24" s="5" t="s">
        <v>11</v>
      </c>
      <c r="F24" s="5" t="s">
        <v>11</v>
      </c>
      <c r="G24" s="5" t="s">
        <v>11</v>
      </c>
      <c r="H24" s="7">
        <v>1</v>
      </c>
      <c r="I24" s="8">
        <v>15000</v>
      </c>
      <c r="J24" s="8"/>
      <c r="K24" s="8">
        <v>0</v>
      </c>
      <c r="L24" s="8">
        <v>0</v>
      </c>
      <c r="M24" s="8"/>
      <c r="N24" s="8">
        <f>I24-L24</f>
        <v>15000</v>
      </c>
      <c r="O24" s="8">
        <v>0</v>
      </c>
      <c r="P24" s="8">
        <v>0</v>
      </c>
      <c r="Q24" s="8"/>
      <c r="R24" s="8">
        <v>0</v>
      </c>
      <c r="S24" s="8">
        <v>0</v>
      </c>
    </row>
    <row r="25" ht="31.5" customHeight="1" spans="1:19" x14ac:dyDescent="0.25">
      <c r="A25" s="5" t="s">
        <v>713</v>
      </c>
      <c r="B25" s="6" t="s">
        <v>714</v>
      </c>
      <c r="C25" s="6"/>
      <c r="D25" s="5" t="s">
        <v>29</v>
      </c>
      <c r="E25" s="5" t="s">
        <v>11</v>
      </c>
      <c r="F25" s="5" t="s">
        <v>11</v>
      </c>
      <c r="G25" s="5" t="s">
        <v>11</v>
      </c>
      <c r="H25" s="7">
        <v>2</v>
      </c>
      <c r="I25" s="8">
        <v>55000</v>
      </c>
      <c r="J25" s="8"/>
      <c r="K25" s="8">
        <v>0</v>
      </c>
      <c r="L25" s="8">
        <v>0</v>
      </c>
      <c r="M25" s="8"/>
      <c r="N25" s="8">
        <f>I25-L25</f>
        <v>55000</v>
      </c>
      <c r="O25" s="8">
        <v>0</v>
      </c>
      <c r="P25" s="8">
        <v>0</v>
      </c>
      <c r="Q25" s="8"/>
      <c r="R25" s="8">
        <v>0</v>
      </c>
      <c r="S25" s="8">
        <v>0</v>
      </c>
    </row>
    <row r="26" ht="31.5" customHeight="1" spans="1:19" x14ac:dyDescent="0.25">
      <c r="A26" s="5" t="s">
        <v>715</v>
      </c>
      <c r="B26" s="6" t="s">
        <v>716</v>
      </c>
      <c r="C26" s="6"/>
      <c r="D26" s="5" t="s">
        <v>29</v>
      </c>
      <c r="E26" s="5" t="s">
        <v>11</v>
      </c>
      <c r="F26" s="5" t="s">
        <v>11</v>
      </c>
      <c r="G26" s="5" t="s">
        <v>11</v>
      </c>
      <c r="H26" s="7">
        <v>1</v>
      </c>
      <c r="I26" s="8">
        <v>28000</v>
      </c>
      <c r="J26" s="8"/>
      <c r="K26" s="8">
        <v>0</v>
      </c>
      <c r="L26" s="8">
        <v>0</v>
      </c>
      <c r="M26" s="8"/>
      <c r="N26" s="8">
        <f>I26-L26</f>
        <v>28000</v>
      </c>
      <c r="O26" s="8">
        <v>0</v>
      </c>
      <c r="P26" s="8">
        <v>0</v>
      </c>
      <c r="Q26" s="8"/>
      <c r="R26" s="8">
        <v>0</v>
      </c>
      <c r="S26" s="8">
        <v>0</v>
      </c>
    </row>
    <row r="27" ht="31.5" customHeight="1" spans="1:19" x14ac:dyDescent="0.25">
      <c r="A27" s="5" t="s">
        <v>717</v>
      </c>
      <c r="B27" s="6" t="s">
        <v>718</v>
      </c>
      <c r="C27" s="6"/>
      <c r="D27" s="5" t="s">
        <v>29</v>
      </c>
      <c r="E27" s="5" t="s">
        <v>11</v>
      </c>
      <c r="F27" s="5" t="s">
        <v>11</v>
      </c>
      <c r="G27" s="5" t="s">
        <v>11</v>
      </c>
      <c r="H27" s="7">
        <v>1</v>
      </c>
      <c r="I27" s="8">
        <v>40000</v>
      </c>
      <c r="J27" s="8"/>
      <c r="K27" s="8">
        <v>0</v>
      </c>
      <c r="L27" s="8">
        <v>0</v>
      </c>
      <c r="M27" s="8"/>
      <c r="N27" s="8">
        <f>I27-L27</f>
        <v>40000</v>
      </c>
      <c r="O27" s="8">
        <v>0</v>
      </c>
      <c r="P27" s="8">
        <v>0</v>
      </c>
      <c r="Q27" s="8"/>
      <c r="R27" s="8">
        <v>0</v>
      </c>
      <c r="S27" s="8">
        <v>0</v>
      </c>
    </row>
    <row r="28" ht="31.5" customHeight="1" spans="1:19" x14ac:dyDescent="0.25">
      <c r="A28" s="5" t="s">
        <v>719</v>
      </c>
      <c r="B28" s="6" t="s">
        <v>720</v>
      </c>
      <c r="C28" s="6"/>
      <c r="D28" s="5" t="s">
        <v>29</v>
      </c>
      <c r="E28" s="5" t="s">
        <v>11</v>
      </c>
      <c r="F28" s="5" t="s">
        <v>11</v>
      </c>
      <c r="G28" s="5" t="s">
        <v>11</v>
      </c>
      <c r="H28" s="7">
        <v>3</v>
      </c>
      <c r="I28" s="8">
        <v>36000</v>
      </c>
      <c r="J28" s="8"/>
      <c r="K28" s="8">
        <v>0</v>
      </c>
      <c r="L28" s="8">
        <v>18750</v>
      </c>
      <c r="M28" s="8"/>
      <c r="N28" s="8">
        <f>I28-L28</f>
        <v>17250</v>
      </c>
      <c r="O28" s="8">
        <v>0</v>
      </c>
      <c r="P28" s="8">
        <v>0</v>
      </c>
      <c r="Q28" s="8"/>
      <c r="R28" s="8">
        <v>0</v>
      </c>
      <c r="S28" s="8">
        <v>0</v>
      </c>
    </row>
    <row r="29" ht="31.5" customHeight="1" spans="1:19" x14ac:dyDescent="0.25">
      <c r="A29" s="5" t="s">
        <v>721</v>
      </c>
      <c r="B29" s="6" t="s">
        <v>722</v>
      </c>
      <c r="C29" s="6"/>
      <c r="D29" s="5" t="s">
        <v>29</v>
      </c>
      <c r="E29" s="5" t="s">
        <v>11</v>
      </c>
      <c r="F29" s="5" t="s">
        <v>11</v>
      </c>
      <c r="G29" s="5" t="s">
        <v>11</v>
      </c>
      <c r="H29" s="7">
        <v>1</v>
      </c>
      <c r="I29" s="8">
        <v>10000</v>
      </c>
      <c r="J29" s="8"/>
      <c r="K29" s="8">
        <v>0</v>
      </c>
      <c r="L29" s="8">
        <v>2087.18</v>
      </c>
      <c r="M29" s="8"/>
      <c r="N29" s="8">
        <f>I29-L29</f>
        <v>7912.82</v>
      </c>
      <c r="O29" s="8">
        <v>0</v>
      </c>
      <c r="P29" s="8">
        <v>0</v>
      </c>
      <c r="Q29" s="8"/>
      <c r="R29" s="8">
        <v>0</v>
      </c>
      <c r="S29" s="8">
        <v>0</v>
      </c>
    </row>
    <row r="30" ht="31.5" customHeight="1" spans="1:19" x14ac:dyDescent="0.25">
      <c r="A30" s="5" t="s">
        <v>723</v>
      </c>
      <c r="B30" s="6" t="s">
        <v>724</v>
      </c>
      <c r="C30" s="6"/>
      <c r="D30" s="5" t="s">
        <v>29</v>
      </c>
      <c r="E30" s="5" t="s">
        <v>11</v>
      </c>
      <c r="F30" s="5" t="s">
        <v>11</v>
      </c>
      <c r="G30" s="5" t="s">
        <v>11</v>
      </c>
      <c r="H30" s="7">
        <v>1</v>
      </c>
      <c r="I30" s="8">
        <v>35000</v>
      </c>
      <c r="J30" s="8"/>
      <c r="K30" s="8">
        <v>0</v>
      </c>
      <c r="L30" s="8">
        <v>0</v>
      </c>
      <c r="M30" s="8"/>
      <c r="N30" s="8">
        <f>I30-L30</f>
        <v>35000</v>
      </c>
      <c r="O30" s="8">
        <v>0</v>
      </c>
      <c r="P30" s="8">
        <v>0</v>
      </c>
      <c r="Q30" s="8"/>
      <c r="R30" s="8">
        <v>0</v>
      </c>
      <c r="S30" s="8">
        <v>0</v>
      </c>
    </row>
    <row r="31" ht="31.5" customHeight="1" spans="1:19" x14ac:dyDescent="0.25">
      <c r="A31" s="5" t="s">
        <v>725</v>
      </c>
      <c r="B31" s="6" t="s">
        <v>726</v>
      </c>
      <c r="C31" s="6"/>
      <c r="D31" s="5" t="s">
        <v>29</v>
      </c>
      <c r="E31" s="5" t="s">
        <v>11</v>
      </c>
      <c r="F31" s="5" t="s">
        <v>11</v>
      </c>
      <c r="G31" s="5" t="s">
        <v>11</v>
      </c>
      <c r="H31" s="7">
        <v>3</v>
      </c>
      <c r="I31" s="8">
        <v>52000</v>
      </c>
      <c r="J31" s="8"/>
      <c r="K31" s="8">
        <v>0</v>
      </c>
      <c r="L31" s="8">
        <v>10777.77</v>
      </c>
      <c r="M31" s="8"/>
      <c r="N31" s="8">
        <f>I31-L31</f>
        <v>41222.229999999996</v>
      </c>
      <c r="O31" s="8">
        <v>0</v>
      </c>
      <c r="P31" s="8">
        <v>0</v>
      </c>
      <c r="Q31" s="8"/>
      <c r="R31" s="8">
        <v>0</v>
      </c>
      <c r="S31" s="8">
        <v>0</v>
      </c>
    </row>
    <row r="32" ht="31.5" customHeight="1" spans="1:19" x14ac:dyDescent="0.25">
      <c r="A32" s="5" t="s">
        <v>727</v>
      </c>
      <c r="B32" s="6" t="s">
        <v>728</v>
      </c>
      <c r="C32" s="6"/>
      <c r="D32" s="5" t="s">
        <v>29</v>
      </c>
      <c r="E32" s="5" t="s">
        <v>11</v>
      </c>
      <c r="F32" s="5" t="s">
        <v>11</v>
      </c>
      <c r="G32" s="5" t="s">
        <v>11</v>
      </c>
      <c r="H32" s="7">
        <v>1</v>
      </c>
      <c r="I32" s="8">
        <v>30000</v>
      </c>
      <c r="J32" s="8"/>
      <c r="K32" s="8">
        <v>0</v>
      </c>
      <c r="L32" s="8">
        <v>0</v>
      </c>
      <c r="M32" s="8"/>
      <c r="N32" s="8">
        <f>I32-L32</f>
        <v>30000</v>
      </c>
      <c r="O32" s="8">
        <v>0</v>
      </c>
      <c r="P32" s="8">
        <v>0</v>
      </c>
      <c r="Q32" s="8"/>
      <c r="R32" s="8">
        <v>0</v>
      </c>
      <c r="S32" s="8">
        <v>0</v>
      </c>
    </row>
    <row r="33" ht="31.5" customHeight="1" spans="1:19" x14ac:dyDescent="0.25">
      <c r="A33" s="5" t="s">
        <v>729</v>
      </c>
      <c r="B33" s="6" t="s">
        <v>730</v>
      </c>
      <c r="C33" s="6"/>
      <c r="D33" s="5" t="s">
        <v>29</v>
      </c>
      <c r="E33" s="5" t="s">
        <v>11</v>
      </c>
      <c r="F33" s="5" t="s">
        <v>11</v>
      </c>
      <c r="G33" s="5" t="s">
        <v>11</v>
      </c>
      <c r="H33" s="7">
        <v>1</v>
      </c>
      <c r="I33" s="8">
        <v>15000</v>
      </c>
      <c r="J33" s="8"/>
      <c r="K33" s="8">
        <v>0</v>
      </c>
      <c r="L33" s="8">
        <v>4527.77</v>
      </c>
      <c r="M33" s="8"/>
      <c r="N33" s="8">
        <f>I33-L33</f>
        <v>10472.23</v>
      </c>
      <c r="O33" s="8">
        <v>0</v>
      </c>
      <c r="P33" s="8">
        <v>0</v>
      </c>
      <c r="Q33" s="8"/>
      <c r="R33" s="8">
        <v>0</v>
      </c>
      <c r="S33" s="8">
        <v>0</v>
      </c>
    </row>
    <row r="34" ht="31.5" customHeight="1" spans="1:19" x14ac:dyDescent="0.25">
      <c r="A34" s="5" t="s">
        <v>731</v>
      </c>
      <c r="B34" s="6" t="s">
        <v>732</v>
      </c>
      <c r="C34" s="6"/>
      <c r="D34" s="5" t="s">
        <v>29</v>
      </c>
      <c r="E34" s="5" t="s">
        <v>11</v>
      </c>
      <c r="F34" s="5" t="s">
        <v>11</v>
      </c>
      <c r="G34" s="5" t="s">
        <v>11</v>
      </c>
      <c r="H34" s="7">
        <v>1</v>
      </c>
      <c r="I34" s="8">
        <v>150000</v>
      </c>
      <c r="J34" s="8"/>
      <c r="K34" s="8">
        <v>0</v>
      </c>
      <c r="L34" s="8">
        <v>0</v>
      </c>
      <c r="M34" s="8"/>
      <c r="N34" s="8">
        <f>I34-L34</f>
        <v>150000</v>
      </c>
      <c r="O34" s="8">
        <v>0</v>
      </c>
      <c r="P34" s="8">
        <v>0</v>
      </c>
      <c r="Q34" s="8"/>
      <c r="R34" s="8">
        <v>0</v>
      </c>
      <c r="S34" s="8">
        <v>0</v>
      </c>
    </row>
    <row r="35" ht="31.5" customHeight="1" spans="1:19" x14ac:dyDescent="0.25">
      <c r="A35" s="5" t="s">
        <v>733</v>
      </c>
      <c r="B35" s="6" t="s">
        <v>734</v>
      </c>
      <c r="C35" s="6"/>
      <c r="D35" s="5" t="s">
        <v>29</v>
      </c>
      <c r="E35" s="5" t="s">
        <v>11</v>
      </c>
      <c r="F35" s="5" t="s">
        <v>11</v>
      </c>
      <c r="G35" s="5" t="s">
        <v>11</v>
      </c>
      <c r="H35" s="7">
        <v>1</v>
      </c>
      <c r="I35" s="8">
        <v>10000</v>
      </c>
      <c r="J35" s="8"/>
      <c r="K35" s="8">
        <v>0</v>
      </c>
      <c r="L35" s="8">
        <v>2087.18</v>
      </c>
      <c r="M35" s="8"/>
      <c r="N35" s="8">
        <f>I35-L35</f>
        <v>7912.82</v>
      </c>
      <c r="O35" s="8">
        <v>0</v>
      </c>
      <c r="P35" s="8">
        <v>0</v>
      </c>
      <c r="Q35" s="8"/>
      <c r="R35" s="8">
        <v>0</v>
      </c>
      <c r="S35" s="8">
        <v>0</v>
      </c>
    </row>
    <row r="36" ht="31.5" customHeight="1" spans="1:19" x14ac:dyDescent="0.25">
      <c r="A36" s="5" t="s">
        <v>735</v>
      </c>
      <c r="B36" s="6" t="s">
        <v>736</v>
      </c>
      <c r="C36" s="6"/>
      <c r="D36" s="5" t="s">
        <v>29</v>
      </c>
      <c r="E36" s="5" t="s">
        <v>11</v>
      </c>
      <c r="F36" s="5" t="s">
        <v>11</v>
      </c>
      <c r="G36" s="5" t="s">
        <v>11</v>
      </c>
      <c r="H36" s="7">
        <v>3</v>
      </c>
      <c r="I36" s="8">
        <v>30000</v>
      </c>
      <c r="J36" s="8"/>
      <c r="K36" s="8">
        <v>0</v>
      </c>
      <c r="L36" s="8">
        <v>6261.54</v>
      </c>
      <c r="M36" s="8"/>
      <c r="N36" s="8">
        <f>I36-L36</f>
        <v>23738.46</v>
      </c>
      <c r="O36" s="8">
        <v>0</v>
      </c>
      <c r="P36" s="8">
        <v>0</v>
      </c>
      <c r="Q36" s="8"/>
      <c r="R36" s="8">
        <v>0</v>
      </c>
      <c r="S36" s="8">
        <v>0</v>
      </c>
    </row>
    <row r="37" ht="31.5" customHeight="1" spans="1:19" x14ac:dyDescent="0.25">
      <c r="A37" s="5" t="s">
        <v>737</v>
      </c>
      <c r="B37" s="6" t="s">
        <v>738</v>
      </c>
      <c r="C37" s="6"/>
      <c r="D37" s="5" t="s">
        <v>29</v>
      </c>
      <c r="E37" s="5" t="s">
        <v>11</v>
      </c>
      <c r="F37" s="5" t="s">
        <v>11</v>
      </c>
      <c r="G37" s="5" t="s">
        <v>11</v>
      </c>
      <c r="H37" s="7">
        <v>2</v>
      </c>
      <c r="I37" s="8">
        <v>55000</v>
      </c>
      <c r="J37" s="8"/>
      <c r="K37" s="8">
        <v>0</v>
      </c>
      <c r="L37" s="8">
        <v>4527.77</v>
      </c>
      <c r="M37" s="8"/>
      <c r="N37" s="8">
        <f>I37-L37</f>
        <v>50472.229999999996</v>
      </c>
      <c r="O37" s="8">
        <v>0</v>
      </c>
      <c r="P37" s="8">
        <v>0</v>
      </c>
      <c r="Q37" s="8"/>
      <c r="R37" s="8">
        <v>0</v>
      </c>
      <c r="S37" s="8">
        <v>0</v>
      </c>
    </row>
    <row r="38" ht="31.5" customHeight="1" spans="1:19" x14ac:dyDescent="0.25">
      <c r="A38" s="5" t="s">
        <v>739</v>
      </c>
      <c r="B38" s="6" t="s">
        <v>740</v>
      </c>
      <c r="C38" s="6"/>
      <c r="D38" s="5" t="s">
        <v>29</v>
      </c>
      <c r="E38" s="5" t="s">
        <v>11</v>
      </c>
      <c r="F38" s="5" t="s">
        <v>11</v>
      </c>
      <c r="G38" s="5" t="s">
        <v>11</v>
      </c>
      <c r="H38" s="7">
        <v>1</v>
      </c>
      <c r="I38" s="8">
        <v>35000</v>
      </c>
      <c r="J38" s="8"/>
      <c r="K38" s="8">
        <v>0</v>
      </c>
      <c r="L38" s="8">
        <v>0</v>
      </c>
      <c r="M38" s="8"/>
      <c r="N38" s="8">
        <f>I38-L38</f>
        <v>35000</v>
      </c>
      <c r="O38" s="8">
        <v>0</v>
      </c>
      <c r="P38" s="8">
        <v>0</v>
      </c>
      <c r="Q38" s="8"/>
      <c r="R38" s="8">
        <v>0</v>
      </c>
      <c r="S38" s="8">
        <v>0</v>
      </c>
    </row>
    <row r="39" ht="31.5" customHeight="1" spans="1:19" x14ac:dyDescent="0.25">
      <c r="A39" s="5" t="s">
        <v>741</v>
      </c>
      <c r="B39" s="6" t="s">
        <v>742</v>
      </c>
      <c r="C39" s="6"/>
      <c r="D39" s="5" t="s">
        <v>29</v>
      </c>
      <c r="E39" s="5" t="s">
        <v>11</v>
      </c>
      <c r="F39" s="5" t="s">
        <v>11</v>
      </c>
      <c r="G39" s="5" t="s">
        <v>11</v>
      </c>
      <c r="H39" s="7">
        <v>1</v>
      </c>
      <c r="I39" s="8">
        <v>30000</v>
      </c>
      <c r="J39" s="8"/>
      <c r="K39" s="8">
        <v>0</v>
      </c>
      <c r="L39" s="8">
        <v>0</v>
      </c>
      <c r="M39" s="8"/>
      <c r="N39" s="8">
        <f>I39-L39</f>
        <v>30000</v>
      </c>
      <c r="O39" s="8">
        <v>0</v>
      </c>
      <c r="P39" s="8">
        <v>0</v>
      </c>
      <c r="Q39" s="8"/>
      <c r="R39" s="8">
        <v>0</v>
      </c>
      <c r="S39" s="8">
        <v>0</v>
      </c>
    </row>
    <row r="40" ht="31.5" customHeight="1" spans="1:19" x14ac:dyDescent="0.25">
      <c r="A40" s="5" t="s">
        <v>743</v>
      </c>
      <c r="B40" s="6" t="s">
        <v>744</v>
      </c>
      <c r="C40" s="6"/>
      <c r="D40" s="5" t="s">
        <v>29</v>
      </c>
      <c r="E40" s="5" t="s">
        <v>11</v>
      </c>
      <c r="F40" s="5" t="s">
        <v>11</v>
      </c>
      <c r="G40" s="5" t="s">
        <v>11</v>
      </c>
      <c r="H40" s="7">
        <v>1</v>
      </c>
      <c r="I40" s="8">
        <v>15000</v>
      </c>
      <c r="J40" s="8"/>
      <c r="K40" s="8">
        <v>0</v>
      </c>
      <c r="L40" s="8">
        <v>4527.77</v>
      </c>
      <c r="M40" s="8"/>
      <c r="N40" s="8">
        <f>I40-L40</f>
        <v>10472.23</v>
      </c>
      <c r="O40" s="8">
        <v>0</v>
      </c>
      <c r="P40" s="8">
        <v>0</v>
      </c>
      <c r="Q40" s="8"/>
      <c r="R40" s="8">
        <v>0</v>
      </c>
      <c r="S40" s="8">
        <v>0</v>
      </c>
    </row>
    <row r="41" ht="31.5" customHeight="1" spans="1:19" x14ac:dyDescent="0.25">
      <c r="A41" s="5" t="s">
        <v>745</v>
      </c>
      <c r="B41" s="6" t="s">
        <v>746</v>
      </c>
      <c r="C41" s="6"/>
      <c r="D41" s="5" t="s">
        <v>29</v>
      </c>
      <c r="E41" s="5" t="s">
        <v>11</v>
      </c>
      <c r="F41" s="5" t="s">
        <v>11</v>
      </c>
      <c r="G41" s="5" t="s">
        <v>11</v>
      </c>
      <c r="H41" s="7">
        <v>3</v>
      </c>
      <c r="I41" s="8">
        <v>90000</v>
      </c>
      <c r="J41" s="8"/>
      <c r="K41" s="8">
        <v>0</v>
      </c>
      <c r="L41" s="8">
        <v>0</v>
      </c>
      <c r="M41" s="8"/>
      <c r="N41" s="8">
        <f>I41-L41</f>
        <v>90000</v>
      </c>
      <c r="O41" s="8">
        <v>0</v>
      </c>
      <c r="P41" s="8">
        <v>0</v>
      </c>
      <c r="Q41" s="8"/>
      <c r="R41" s="8">
        <v>0</v>
      </c>
      <c r="S41" s="8">
        <v>0</v>
      </c>
    </row>
    <row r="42" ht="31.5" customHeight="1" spans="1:19" x14ac:dyDescent="0.25">
      <c r="A42" s="5" t="s">
        <v>747</v>
      </c>
      <c r="B42" s="6" t="s">
        <v>748</v>
      </c>
      <c r="C42" s="6"/>
      <c r="D42" s="5" t="s">
        <v>29</v>
      </c>
      <c r="E42" s="5" t="s">
        <v>11</v>
      </c>
      <c r="F42" s="5" t="s">
        <v>11</v>
      </c>
      <c r="G42" s="5" t="s">
        <v>11</v>
      </c>
      <c r="H42" s="7">
        <v>2</v>
      </c>
      <c r="I42" s="8">
        <v>58000</v>
      </c>
      <c r="J42" s="8"/>
      <c r="K42" s="8">
        <v>0</v>
      </c>
      <c r="L42" s="8">
        <v>0</v>
      </c>
      <c r="M42" s="8"/>
      <c r="N42" s="8">
        <f>I42-L42</f>
        <v>58000</v>
      </c>
      <c r="O42" s="8">
        <v>0</v>
      </c>
      <c r="P42" s="8">
        <v>0</v>
      </c>
      <c r="Q42" s="8"/>
      <c r="R42" s="8">
        <v>0</v>
      </c>
      <c r="S42" s="8">
        <v>0</v>
      </c>
    </row>
    <row r="43" ht="31.5" customHeight="1" spans="1:19" x14ac:dyDescent="0.25">
      <c r="A43" s="5" t="s">
        <v>749</v>
      </c>
      <c r="B43" s="6" t="s">
        <v>750</v>
      </c>
      <c r="C43" s="6"/>
      <c r="D43" s="5" t="s">
        <v>29</v>
      </c>
      <c r="E43" s="5" t="s">
        <v>11</v>
      </c>
      <c r="F43" s="5" t="s">
        <v>11</v>
      </c>
      <c r="G43" s="5" t="s">
        <v>11</v>
      </c>
      <c r="H43" s="7">
        <v>1</v>
      </c>
      <c r="I43" s="8">
        <v>35000</v>
      </c>
      <c r="J43" s="8"/>
      <c r="K43" s="8">
        <v>0</v>
      </c>
      <c r="L43" s="8">
        <v>0</v>
      </c>
      <c r="M43" s="8"/>
      <c r="N43" s="8">
        <f>I43-L43</f>
        <v>35000</v>
      </c>
      <c r="O43" s="8">
        <v>0</v>
      </c>
      <c r="P43" s="8">
        <v>0</v>
      </c>
      <c r="Q43" s="8"/>
      <c r="R43" s="8">
        <v>0</v>
      </c>
      <c r="S43" s="8">
        <v>0</v>
      </c>
    </row>
    <row r="44" ht="31.5" customHeight="1" spans="1:19" x14ac:dyDescent="0.25">
      <c r="A44" s="5" t="s">
        <v>751</v>
      </c>
      <c r="B44" s="6" t="s">
        <v>752</v>
      </c>
      <c r="C44" s="6"/>
      <c r="D44" s="5" t="s">
        <v>29</v>
      </c>
      <c r="E44" s="5" t="s">
        <v>11</v>
      </c>
      <c r="F44" s="5" t="s">
        <v>11</v>
      </c>
      <c r="G44" s="5" t="s">
        <v>11</v>
      </c>
      <c r="H44" s="7">
        <v>1</v>
      </c>
      <c r="I44" s="8">
        <v>35000</v>
      </c>
      <c r="J44" s="8"/>
      <c r="K44" s="8">
        <v>0</v>
      </c>
      <c r="L44" s="8">
        <v>0</v>
      </c>
      <c r="M44" s="8"/>
      <c r="N44" s="8">
        <f>I44-L44</f>
        <v>35000</v>
      </c>
      <c r="O44" s="8">
        <v>0</v>
      </c>
      <c r="P44" s="8">
        <v>0</v>
      </c>
      <c r="Q44" s="8"/>
      <c r="R44" s="8">
        <v>0</v>
      </c>
      <c r="S44" s="8">
        <v>0</v>
      </c>
    </row>
    <row r="45" ht="31.5" customHeight="1" spans="1:19" x14ac:dyDescent="0.25">
      <c r="A45" s="5" t="s">
        <v>753</v>
      </c>
      <c r="B45" s="6" t="s">
        <v>754</v>
      </c>
      <c r="C45" s="6"/>
      <c r="D45" s="5" t="s">
        <v>29</v>
      </c>
      <c r="E45" s="5" t="s">
        <v>11</v>
      </c>
      <c r="F45" s="5" t="s">
        <v>11</v>
      </c>
      <c r="G45" s="5" t="s">
        <v>11</v>
      </c>
      <c r="H45" s="7">
        <v>1</v>
      </c>
      <c r="I45" s="8">
        <v>35000</v>
      </c>
      <c r="J45" s="8"/>
      <c r="K45" s="8">
        <v>0</v>
      </c>
      <c r="L45" s="8">
        <v>0</v>
      </c>
      <c r="M45" s="8"/>
      <c r="N45" s="8">
        <f>I45-L45</f>
        <v>35000</v>
      </c>
      <c r="O45" s="8">
        <v>0</v>
      </c>
      <c r="P45" s="8">
        <v>0</v>
      </c>
      <c r="Q45" s="8"/>
      <c r="R45" s="8">
        <v>0</v>
      </c>
      <c r="S45" s="8">
        <v>0</v>
      </c>
    </row>
    <row r="46" ht="31.5" customHeight="1" spans="1:19" x14ac:dyDescent="0.25">
      <c r="A46" s="5" t="s">
        <v>755</v>
      </c>
      <c r="B46" s="6" t="s">
        <v>756</v>
      </c>
      <c r="C46" s="6"/>
      <c r="D46" s="5" t="s">
        <v>29</v>
      </c>
      <c r="E46" s="5" t="s">
        <v>11</v>
      </c>
      <c r="F46" s="5" t="s">
        <v>11</v>
      </c>
      <c r="G46" s="5" t="s">
        <v>11</v>
      </c>
      <c r="H46" s="7">
        <v>2</v>
      </c>
      <c r="I46" s="8">
        <v>300000</v>
      </c>
      <c r="J46" s="8"/>
      <c r="K46" s="8">
        <v>0</v>
      </c>
      <c r="L46" s="8">
        <v>0</v>
      </c>
      <c r="M46" s="8"/>
      <c r="N46" s="8">
        <f>I46-L46</f>
        <v>300000</v>
      </c>
      <c r="O46" s="8">
        <v>0</v>
      </c>
      <c r="P46" s="8">
        <v>0</v>
      </c>
      <c r="Q46" s="8"/>
      <c r="R46" s="8">
        <v>0</v>
      </c>
      <c r="S46" s="8">
        <v>0</v>
      </c>
    </row>
    <row r="47" ht="31.5" customHeight="1" spans="1:19" x14ac:dyDescent="0.25">
      <c r="A47" s="5" t="s">
        <v>757</v>
      </c>
      <c r="B47" s="6" t="s">
        <v>758</v>
      </c>
      <c r="C47" s="6"/>
      <c r="D47" s="5" t="s">
        <v>29</v>
      </c>
      <c r="E47" s="5" t="s">
        <v>11</v>
      </c>
      <c r="F47" s="5" t="s">
        <v>11</v>
      </c>
      <c r="G47" s="5" t="s">
        <v>11</v>
      </c>
      <c r="H47" s="7">
        <v>1</v>
      </c>
      <c r="I47" s="8">
        <v>90000</v>
      </c>
      <c r="J47" s="8"/>
      <c r="K47" s="8">
        <v>0</v>
      </c>
      <c r="L47" s="8">
        <v>58472.73</v>
      </c>
      <c r="M47" s="8"/>
      <c r="N47" s="8">
        <f>I47-L47</f>
        <v>31527.269999999997</v>
      </c>
      <c r="O47" s="8">
        <v>0</v>
      </c>
      <c r="P47" s="8">
        <v>0</v>
      </c>
      <c r="Q47" s="8"/>
      <c r="R47" s="8">
        <v>0</v>
      </c>
      <c r="S47" s="8">
        <v>0</v>
      </c>
    </row>
    <row r="48" ht="31.5" customHeight="1" spans="1:19" x14ac:dyDescent="0.25">
      <c r="A48" s="5" t="s">
        <v>759</v>
      </c>
      <c r="B48" s="6" t="s">
        <v>760</v>
      </c>
      <c r="C48" s="6"/>
      <c r="D48" s="5" t="s">
        <v>29</v>
      </c>
      <c r="E48" s="5" t="s">
        <v>11</v>
      </c>
      <c r="F48" s="5" t="s">
        <v>11</v>
      </c>
      <c r="G48" s="5" t="s">
        <v>11</v>
      </c>
      <c r="H48" s="7">
        <v>1</v>
      </c>
      <c r="I48" s="8">
        <v>12000</v>
      </c>
      <c r="J48" s="8"/>
      <c r="K48" s="8">
        <v>0</v>
      </c>
      <c r="L48" s="8">
        <v>6250</v>
      </c>
      <c r="M48" s="8"/>
      <c r="N48" s="8">
        <f>I48-L48</f>
        <v>5750</v>
      </c>
      <c r="O48" s="8">
        <v>0</v>
      </c>
      <c r="P48" s="8">
        <v>0</v>
      </c>
      <c r="Q48" s="8"/>
      <c r="R48" s="8">
        <v>0</v>
      </c>
      <c r="S48" s="8">
        <v>0</v>
      </c>
    </row>
    <row r="49" ht="31.5" customHeight="1" spans="1:19" x14ac:dyDescent="0.25">
      <c r="A49" s="5" t="s">
        <v>761</v>
      </c>
      <c r="B49" s="6" t="s">
        <v>762</v>
      </c>
      <c r="C49" s="6"/>
      <c r="D49" s="5" t="s">
        <v>29</v>
      </c>
      <c r="E49" s="5" t="s">
        <v>11</v>
      </c>
      <c r="F49" s="5" t="s">
        <v>11</v>
      </c>
      <c r="G49" s="5" t="s">
        <v>11</v>
      </c>
      <c r="H49" s="7">
        <v>1</v>
      </c>
      <c r="I49" s="8">
        <v>25000</v>
      </c>
      <c r="J49" s="8"/>
      <c r="K49" s="8">
        <v>0</v>
      </c>
      <c r="L49" s="8">
        <v>0</v>
      </c>
      <c r="M49" s="8"/>
      <c r="N49" s="8">
        <f>I49-L49</f>
        <v>25000</v>
      </c>
      <c r="O49" s="8">
        <v>0</v>
      </c>
      <c r="P49" s="8">
        <v>0</v>
      </c>
      <c r="Q49" s="8"/>
      <c r="R49" s="8">
        <v>0</v>
      </c>
      <c r="S49" s="8">
        <v>0</v>
      </c>
    </row>
    <row r="50" ht="31.5" customHeight="1" spans="1:19" x14ac:dyDescent="0.25">
      <c r="A50" s="5" t="s">
        <v>763</v>
      </c>
      <c r="B50" s="6" t="s">
        <v>764</v>
      </c>
      <c r="C50" s="6"/>
      <c r="D50" s="5" t="s">
        <v>29</v>
      </c>
      <c r="E50" s="5" t="s">
        <v>11</v>
      </c>
      <c r="F50" s="5" t="s">
        <v>11</v>
      </c>
      <c r="G50" s="5" t="s">
        <v>11</v>
      </c>
      <c r="H50" s="7">
        <v>1</v>
      </c>
      <c r="I50" s="8">
        <v>50000</v>
      </c>
      <c r="J50" s="8"/>
      <c r="K50" s="8">
        <v>0</v>
      </c>
      <c r="L50" s="8">
        <v>0</v>
      </c>
      <c r="M50" s="8"/>
      <c r="N50" s="8">
        <f>I50-L50</f>
        <v>50000</v>
      </c>
      <c r="O50" s="8">
        <v>0</v>
      </c>
      <c r="P50" s="8">
        <v>0</v>
      </c>
      <c r="Q50" s="8"/>
      <c r="R50" s="8">
        <v>0</v>
      </c>
      <c r="S50" s="8">
        <v>0</v>
      </c>
    </row>
    <row r="51" ht="31.5" customHeight="1" spans="1:19" x14ac:dyDescent="0.25">
      <c r="A51" s="5" t="s">
        <v>765</v>
      </c>
      <c r="B51" s="6" t="s">
        <v>766</v>
      </c>
      <c r="C51" s="6"/>
      <c r="D51" s="5" t="s">
        <v>29</v>
      </c>
      <c r="E51" s="5" t="s">
        <v>11</v>
      </c>
      <c r="F51" s="5" t="s">
        <v>11</v>
      </c>
      <c r="G51" s="5" t="s">
        <v>11</v>
      </c>
      <c r="H51" s="7">
        <v>4</v>
      </c>
      <c r="I51" s="8">
        <v>69000</v>
      </c>
      <c r="J51" s="8"/>
      <c r="K51" s="8">
        <v>0</v>
      </c>
      <c r="L51" s="8">
        <v>6250</v>
      </c>
      <c r="M51" s="8"/>
      <c r="N51" s="8">
        <f>I51-L51</f>
        <v>62750</v>
      </c>
      <c r="O51" s="8">
        <v>0</v>
      </c>
      <c r="P51" s="8">
        <v>0</v>
      </c>
      <c r="Q51" s="8"/>
      <c r="R51" s="8">
        <v>0</v>
      </c>
      <c r="S51" s="8">
        <v>0</v>
      </c>
    </row>
    <row r="52" ht="31.5" customHeight="1" spans="1:19" x14ac:dyDescent="0.25">
      <c r="A52" s="5" t="s">
        <v>767</v>
      </c>
      <c r="B52" s="6" t="s">
        <v>768</v>
      </c>
      <c r="C52" s="6"/>
      <c r="D52" s="5" t="s">
        <v>29</v>
      </c>
      <c r="E52" s="5" t="s">
        <v>11</v>
      </c>
      <c r="F52" s="5" t="s">
        <v>11</v>
      </c>
      <c r="G52" s="5" t="s">
        <v>11</v>
      </c>
      <c r="H52" s="7">
        <v>12</v>
      </c>
      <c r="I52" s="8">
        <v>132000</v>
      </c>
      <c r="J52" s="8"/>
      <c r="K52" s="8">
        <v>0</v>
      </c>
      <c r="L52" s="8">
        <v>50023.08</v>
      </c>
      <c r="M52" s="8"/>
      <c r="N52" s="8">
        <f>I52-L52</f>
        <v>81976.92</v>
      </c>
      <c r="O52" s="8">
        <v>0</v>
      </c>
      <c r="P52" s="8">
        <v>0</v>
      </c>
      <c r="Q52" s="8"/>
      <c r="R52" s="8">
        <v>0</v>
      </c>
      <c r="S52" s="8">
        <v>0</v>
      </c>
    </row>
    <row r="53" ht="31.5" customHeight="1" spans="1:19" x14ac:dyDescent="0.25">
      <c r="A53" s="5" t="s">
        <v>769</v>
      </c>
      <c r="B53" s="6" t="s">
        <v>770</v>
      </c>
      <c r="C53" s="6"/>
      <c r="D53" s="5" t="s">
        <v>29</v>
      </c>
      <c r="E53" s="5" t="s">
        <v>11</v>
      </c>
      <c r="F53" s="5" t="s">
        <v>11</v>
      </c>
      <c r="G53" s="5" t="s">
        <v>11</v>
      </c>
      <c r="H53" s="7">
        <v>9</v>
      </c>
      <c r="I53" s="8">
        <v>580000</v>
      </c>
      <c r="J53" s="8"/>
      <c r="K53" s="8">
        <v>0</v>
      </c>
      <c r="L53" s="8">
        <v>154044.87</v>
      </c>
      <c r="M53" s="8"/>
      <c r="N53" s="8">
        <f>I53-L53</f>
        <v>425955.13</v>
      </c>
      <c r="O53" s="8">
        <v>0</v>
      </c>
      <c r="P53" s="8">
        <v>0</v>
      </c>
      <c r="Q53" s="8"/>
      <c r="R53" s="8">
        <v>0</v>
      </c>
      <c r="S53" s="8">
        <v>0</v>
      </c>
    </row>
    <row r="54" ht="31.5" customHeight="1" spans="1:19" x14ac:dyDescent="0.25">
      <c r="A54" s="5" t="s">
        <v>771</v>
      </c>
      <c r="B54" s="6" t="s">
        <v>772</v>
      </c>
      <c r="C54" s="6"/>
      <c r="D54" s="5" t="s">
        <v>29</v>
      </c>
      <c r="E54" s="5" t="s">
        <v>11</v>
      </c>
      <c r="F54" s="5" t="s">
        <v>11</v>
      </c>
      <c r="G54" s="5" t="s">
        <v>11</v>
      </c>
      <c r="H54" s="7">
        <v>1</v>
      </c>
      <c r="I54" s="8">
        <v>30000</v>
      </c>
      <c r="J54" s="8"/>
      <c r="K54" s="8">
        <v>0</v>
      </c>
      <c r="L54" s="8">
        <v>0</v>
      </c>
      <c r="M54" s="8"/>
      <c r="N54" s="8">
        <f>I54-L54</f>
        <v>30000</v>
      </c>
      <c r="O54" s="8">
        <v>0</v>
      </c>
      <c r="P54" s="8">
        <v>0</v>
      </c>
      <c r="Q54" s="8"/>
      <c r="R54" s="8">
        <v>0</v>
      </c>
      <c r="S54" s="8">
        <v>0</v>
      </c>
    </row>
    <row r="55" ht="31.5" customHeight="1" spans="1:19" x14ac:dyDescent="0.25">
      <c r="A55" s="5" t="s">
        <v>773</v>
      </c>
      <c r="B55" s="6" t="s">
        <v>774</v>
      </c>
      <c r="C55" s="6"/>
      <c r="D55" s="5" t="s">
        <v>363</v>
      </c>
      <c r="E55" s="5" t="s">
        <v>11</v>
      </c>
      <c r="F55" s="5" t="s">
        <v>11</v>
      </c>
      <c r="G55" s="5" t="s">
        <v>11</v>
      </c>
      <c r="H55" s="7">
        <v>3</v>
      </c>
      <c r="I55" s="8">
        <v>105000</v>
      </c>
      <c r="J55" s="8"/>
      <c r="K55" s="8">
        <v>0</v>
      </c>
      <c r="L55" s="8">
        <v>0</v>
      </c>
      <c r="M55" s="8"/>
      <c r="N55" s="8">
        <f>I55-L55</f>
        <v>105000</v>
      </c>
      <c r="O55" s="8">
        <v>0</v>
      </c>
      <c r="P55" s="8">
        <v>0</v>
      </c>
      <c r="Q55" s="8"/>
      <c r="R55" s="8">
        <v>0</v>
      </c>
      <c r="S55" s="8">
        <v>0</v>
      </c>
    </row>
    <row r="56" ht="31.5" customHeight="1" spans="1:19" x14ac:dyDescent="0.25">
      <c r="A56" s="5" t="s">
        <v>775</v>
      </c>
      <c r="B56" s="6" t="s">
        <v>776</v>
      </c>
      <c r="C56" s="6"/>
      <c r="D56" s="5" t="s">
        <v>363</v>
      </c>
      <c r="E56" s="5" t="s">
        <v>11</v>
      </c>
      <c r="F56" s="5" t="s">
        <v>11</v>
      </c>
      <c r="G56" s="5" t="s">
        <v>11</v>
      </c>
      <c r="H56" s="7">
        <v>5</v>
      </c>
      <c r="I56" s="8">
        <v>173000</v>
      </c>
      <c r="J56" s="8"/>
      <c r="K56" s="8">
        <v>0</v>
      </c>
      <c r="L56" s="8">
        <v>129285.71</v>
      </c>
      <c r="M56" s="8"/>
      <c r="N56" s="8">
        <f>I56-L56</f>
        <v>43714.28999999999</v>
      </c>
      <c r="O56" s="8">
        <v>0</v>
      </c>
      <c r="P56" s="8">
        <v>0</v>
      </c>
      <c r="Q56" s="8"/>
      <c r="R56" s="8">
        <v>0</v>
      </c>
      <c r="S56" s="8">
        <v>0</v>
      </c>
    </row>
    <row r="57" ht="31.5" customHeight="1" spans="1:19" x14ac:dyDescent="0.25">
      <c r="A57" s="5" t="s">
        <v>777</v>
      </c>
      <c r="B57" s="6" t="s">
        <v>778</v>
      </c>
      <c r="C57" s="6"/>
      <c r="D57" s="5" t="s">
        <v>363</v>
      </c>
      <c r="E57" s="5" t="s">
        <v>11</v>
      </c>
      <c r="F57" s="5" t="s">
        <v>11</v>
      </c>
      <c r="G57" s="5" t="s">
        <v>11</v>
      </c>
      <c r="H57" s="7">
        <v>1</v>
      </c>
      <c r="I57" s="8">
        <v>50000</v>
      </c>
      <c r="J57" s="8"/>
      <c r="K57" s="8">
        <v>0</v>
      </c>
      <c r="L57" s="8">
        <v>0</v>
      </c>
      <c r="M57" s="8"/>
      <c r="N57" s="8">
        <f>I57-L57</f>
        <v>50000</v>
      </c>
      <c r="O57" s="8">
        <v>0</v>
      </c>
      <c r="P57" s="8">
        <v>0</v>
      </c>
      <c r="Q57" s="8"/>
      <c r="R57" s="8">
        <v>0</v>
      </c>
      <c r="S57" s="8">
        <v>0</v>
      </c>
    </row>
    <row r="58" ht="31.5" customHeight="1" spans="1:19" x14ac:dyDescent="0.25">
      <c r="A58" s="5" t="s">
        <v>779</v>
      </c>
      <c r="B58" s="6" t="s">
        <v>780</v>
      </c>
      <c r="C58" s="6"/>
      <c r="D58" s="5" t="s">
        <v>363</v>
      </c>
      <c r="E58" s="5" t="s">
        <v>11</v>
      </c>
      <c r="F58" s="5" t="s">
        <v>11</v>
      </c>
      <c r="G58" s="5" t="s">
        <v>11</v>
      </c>
      <c r="H58" s="7">
        <v>2</v>
      </c>
      <c r="I58" s="8">
        <v>56000</v>
      </c>
      <c r="J58" s="8"/>
      <c r="K58" s="8">
        <v>0</v>
      </c>
      <c r="L58" s="8">
        <v>0</v>
      </c>
      <c r="M58" s="8"/>
      <c r="N58" s="8">
        <f>I58-L58</f>
        <v>56000</v>
      </c>
      <c r="O58" s="8">
        <v>0</v>
      </c>
      <c r="P58" s="8">
        <v>0</v>
      </c>
      <c r="Q58" s="8"/>
      <c r="R58" s="8">
        <v>0</v>
      </c>
      <c r="S58" s="8">
        <v>0</v>
      </c>
    </row>
    <row r="59" ht="31.5" customHeight="1" spans="1:19" x14ac:dyDescent="0.25">
      <c r="A59" s="5" t="s">
        <v>781</v>
      </c>
      <c r="B59" s="6" t="s">
        <v>782</v>
      </c>
      <c r="C59" s="6"/>
      <c r="D59" s="5" t="s">
        <v>363</v>
      </c>
      <c r="E59" s="5" t="s">
        <v>11</v>
      </c>
      <c r="F59" s="5" t="s">
        <v>11</v>
      </c>
      <c r="G59" s="5" t="s">
        <v>11</v>
      </c>
      <c r="H59" s="7">
        <v>1</v>
      </c>
      <c r="I59" s="8">
        <v>50000</v>
      </c>
      <c r="J59" s="8"/>
      <c r="K59" s="8">
        <v>0</v>
      </c>
      <c r="L59" s="8">
        <v>0</v>
      </c>
      <c r="M59" s="8"/>
      <c r="N59" s="8">
        <f>I59-L59</f>
        <v>50000</v>
      </c>
      <c r="O59" s="8">
        <v>0</v>
      </c>
      <c r="P59" s="8">
        <v>0</v>
      </c>
      <c r="Q59" s="8"/>
      <c r="R59" s="8">
        <v>0</v>
      </c>
      <c r="S59" s="8">
        <v>0</v>
      </c>
    </row>
    <row r="60" ht="31.5" customHeight="1" spans="1:19" x14ac:dyDescent="0.25">
      <c r="A60" s="5" t="s">
        <v>783</v>
      </c>
      <c r="B60" s="6" t="s">
        <v>784</v>
      </c>
      <c r="C60" s="6"/>
      <c r="D60" s="5" t="s">
        <v>363</v>
      </c>
      <c r="E60" s="5" t="s">
        <v>11</v>
      </c>
      <c r="F60" s="5" t="s">
        <v>11</v>
      </c>
      <c r="G60" s="5" t="s">
        <v>11</v>
      </c>
      <c r="H60" s="7">
        <v>3</v>
      </c>
      <c r="I60" s="8">
        <v>30000</v>
      </c>
      <c r="J60" s="8"/>
      <c r="K60" s="8">
        <v>0</v>
      </c>
      <c r="L60" s="8">
        <v>6261.54</v>
      </c>
      <c r="M60" s="8"/>
      <c r="N60" s="8">
        <f>I60-L60</f>
        <v>23738.46</v>
      </c>
      <c r="O60" s="8">
        <v>0</v>
      </c>
      <c r="P60" s="8">
        <v>0</v>
      </c>
      <c r="Q60" s="8"/>
      <c r="R60" s="8">
        <v>0</v>
      </c>
      <c r="S60" s="8">
        <v>0</v>
      </c>
    </row>
    <row r="61" ht="31.5" customHeight="1" spans="1:19" x14ac:dyDescent="0.25">
      <c r="A61" s="5" t="s">
        <v>785</v>
      </c>
      <c r="B61" s="6" t="s">
        <v>786</v>
      </c>
      <c r="C61" s="6"/>
      <c r="D61" s="5" t="s">
        <v>363</v>
      </c>
      <c r="E61" s="5" t="s">
        <v>11</v>
      </c>
      <c r="F61" s="5" t="s">
        <v>11</v>
      </c>
      <c r="G61" s="5" t="s">
        <v>11</v>
      </c>
      <c r="H61" s="7">
        <v>1</v>
      </c>
      <c r="I61" s="8">
        <v>12000</v>
      </c>
      <c r="J61" s="8"/>
      <c r="K61" s="8">
        <v>0</v>
      </c>
      <c r="L61" s="8">
        <v>6250</v>
      </c>
      <c r="M61" s="8"/>
      <c r="N61" s="8">
        <f>I61-L61</f>
        <v>5750</v>
      </c>
      <c r="O61" s="8">
        <v>0</v>
      </c>
      <c r="P61" s="8">
        <v>0</v>
      </c>
      <c r="Q61" s="8"/>
      <c r="R61" s="8">
        <v>0</v>
      </c>
      <c r="S61" s="8">
        <v>0</v>
      </c>
    </row>
    <row r="62" ht="31.5" customHeight="1" spans="1:19" x14ac:dyDescent="0.25">
      <c r="A62" s="5" t="s">
        <v>787</v>
      </c>
      <c r="B62" s="6" t="s">
        <v>788</v>
      </c>
      <c r="C62" s="6"/>
      <c r="D62" s="5" t="s">
        <v>363</v>
      </c>
      <c r="E62" s="5" t="s">
        <v>11</v>
      </c>
      <c r="F62" s="5" t="s">
        <v>11</v>
      </c>
      <c r="G62" s="5" t="s">
        <v>11</v>
      </c>
      <c r="H62" s="7">
        <v>1</v>
      </c>
      <c r="I62" s="8">
        <v>300000</v>
      </c>
      <c r="J62" s="8"/>
      <c r="K62" s="8">
        <v>0</v>
      </c>
      <c r="L62" s="8">
        <v>0</v>
      </c>
      <c r="M62" s="8"/>
      <c r="N62" s="8">
        <f>I62-L62</f>
        <v>300000</v>
      </c>
      <c r="O62" s="8">
        <v>0</v>
      </c>
      <c r="P62" s="8">
        <v>0</v>
      </c>
      <c r="Q62" s="8"/>
      <c r="R62" s="8">
        <v>0</v>
      </c>
      <c r="S62" s="8">
        <v>0</v>
      </c>
    </row>
    <row r="63" ht="31.5" customHeight="1" spans="1:19" x14ac:dyDescent="0.25">
      <c r="A63" s="5" t="s">
        <v>789</v>
      </c>
      <c r="B63" s="6" t="s">
        <v>790</v>
      </c>
      <c r="C63" s="6"/>
      <c r="D63" s="5" t="s">
        <v>363</v>
      </c>
      <c r="E63" s="5" t="s">
        <v>11</v>
      </c>
      <c r="F63" s="5" t="s">
        <v>11</v>
      </c>
      <c r="G63" s="5" t="s">
        <v>11</v>
      </c>
      <c r="H63" s="7">
        <v>1</v>
      </c>
      <c r="I63" s="8">
        <v>40000</v>
      </c>
      <c r="J63" s="8"/>
      <c r="K63" s="8">
        <v>0</v>
      </c>
      <c r="L63" s="8">
        <v>0</v>
      </c>
      <c r="M63" s="8"/>
      <c r="N63" s="8">
        <f>I63-L63</f>
        <v>40000</v>
      </c>
      <c r="O63" s="8">
        <v>0</v>
      </c>
      <c r="P63" s="8">
        <v>0</v>
      </c>
      <c r="Q63" s="8"/>
      <c r="R63" s="8">
        <v>0</v>
      </c>
      <c r="S63" s="8">
        <v>0</v>
      </c>
    </row>
    <row r="64" ht="31.5" customHeight="1" spans="1:19" x14ac:dyDescent="0.25">
      <c r="A64" s="5" t="s">
        <v>791</v>
      </c>
      <c r="B64" s="6" t="s">
        <v>792</v>
      </c>
      <c r="C64" s="6"/>
      <c r="D64" s="5" t="s">
        <v>363</v>
      </c>
      <c r="E64" s="5" t="s">
        <v>11</v>
      </c>
      <c r="F64" s="5" t="s">
        <v>11</v>
      </c>
      <c r="G64" s="5" t="s">
        <v>11</v>
      </c>
      <c r="H64" s="7">
        <v>2</v>
      </c>
      <c r="I64" s="8">
        <v>30000</v>
      </c>
      <c r="J64" s="8"/>
      <c r="K64" s="8">
        <v>0</v>
      </c>
      <c r="L64" s="8">
        <v>9055.54</v>
      </c>
      <c r="M64" s="8"/>
      <c r="N64" s="8">
        <f>I64-L64</f>
        <v>20944.46</v>
      </c>
      <c r="O64" s="8">
        <v>0</v>
      </c>
      <c r="P64" s="8">
        <v>0</v>
      </c>
      <c r="Q64" s="8"/>
      <c r="R64" s="8">
        <v>0</v>
      </c>
      <c r="S64" s="8">
        <v>0</v>
      </c>
    </row>
    <row r="65" ht="31.5" customHeight="1" spans="1:19" x14ac:dyDescent="0.25">
      <c r="A65" s="5" t="s">
        <v>793</v>
      </c>
      <c r="B65" s="6" t="s">
        <v>794</v>
      </c>
      <c r="C65" s="6"/>
      <c r="D65" s="5" t="s">
        <v>363</v>
      </c>
      <c r="E65" s="5" t="s">
        <v>11</v>
      </c>
      <c r="F65" s="5" t="s">
        <v>11</v>
      </c>
      <c r="G65" s="5" t="s">
        <v>11</v>
      </c>
      <c r="H65" s="7">
        <v>4</v>
      </c>
      <c r="I65" s="8">
        <v>40000</v>
      </c>
      <c r="J65" s="8"/>
      <c r="K65" s="8">
        <v>0</v>
      </c>
      <c r="L65" s="8">
        <v>8348.72</v>
      </c>
      <c r="M65" s="8"/>
      <c r="N65" s="8">
        <f>I65-L65</f>
        <v>31651.28</v>
      </c>
      <c r="O65" s="8">
        <v>0</v>
      </c>
      <c r="P65" s="8">
        <v>0</v>
      </c>
      <c r="Q65" s="8"/>
      <c r="R65" s="8">
        <v>0</v>
      </c>
      <c r="S65" s="8">
        <v>0</v>
      </c>
    </row>
    <row r="66" ht="31.5" customHeight="1" spans="1:19" x14ac:dyDescent="0.25">
      <c r="A66" s="5" t="s">
        <v>795</v>
      </c>
      <c r="B66" s="6" t="s">
        <v>796</v>
      </c>
      <c r="C66" s="6"/>
      <c r="D66" s="5" t="s">
        <v>363</v>
      </c>
      <c r="E66" s="5" t="s">
        <v>11</v>
      </c>
      <c r="F66" s="5" t="s">
        <v>11</v>
      </c>
      <c r="G66" s="5" t="s">
        <v>11</v>
      </c>
      <c r="H66" s="7">
        <v>1</v>
      </c>
      <c r="I66" s="8">
        <v>150000</v>
      </c>
      <c r="J66" s="8"/>
      <c r="K66" s="8">
        <v>0</v>
      </c>
      <c r="L66" s="8">
        <v>0</v>
      </c>
      <c r="M66" s="8"/>
      <c r="N66" s="8">
        <f>I66-L66</f>
        <v>150000</v>
      </c>
      <c r="O66" s="8">
        <v>0</v>
      </c>
      <c r="P66" s="8">
        <v>0</v>
      </c>
      <c r="Q66" s="8"/>
      <c r="R66" s="8">
        <v>0</v>
      </c>
      <c r="S66" s="8">
        <v>0</v>
      </c>
    </row>
    <row r="67" ht="31.5" customHeight="1" spans="1:19" x14ac:dyDescent="0.25">
      <c r="A67" s="5" t="s">
        <v>797</v>
      </c>
      <c r="B67" s="6" t="s">
        <v>798</v>
      </c>
      <c r="C67" s="6"/>
      <c r="D67" s="5" t="s">
        <v>363</v>
      </c>
      <c r="E67" s="5" t="s">
        <v>11</v>
      </c>
      <c r="F67" s="5" t="s">
        <v>11</v>
      </c>
      <c r="G67" s="5" t="s">
        <v>11</v>
      </c>
      <c r="H67" s="7">
        <v>2</v>
      </c>
      <c r="I67" s="8">
        <v>50000</v>
      </c>
      <c r="J67" s="8"/>
      <c r="K67" s="8">
        <v>0</v>
      </c>
      <c r="L67" s="8">
        <v>0</v>
      </c>
      <c r="M67" s="8"/>
      <c r="N67" s="8">
        <f>I67-L67</f>
        <v>50000</v>
      </c>
      <c r="O67" s="8">
        <v>0</v>
      </c>
      <c r="P67" s="8">
        <v>0</v>
      </c>
      <c r="Q67" s="8"/>
      <c r="R67" s="8">
        <v>0</v>
      </c>
      <c r="S67" s="8">
        <v>0</v>
      </c>
    </row>
    <row r="68" ht="31.5" customHeight="1" spans="1:19" x14ac:dyDescent="0.25">
      <c r="A68" s="5" t="s">
        <v>799</v>
      </c>
      <c r="B68" s="6" t="s">
        <v>800</v>
      </c>
      <c r="C68" s="6"/>
      <c r="D68" s="5" t="s">
        <v>363</v>
      </c>
      <c r="E68" s="5" t="s">
        <v>11</v>
      </c>
      <c r="F68" s="5" t="s">
        <v>11</v>
      </c>
      <c r="G68" s="5" t="s">
        <v>11</v>
      </c>
      <c r="H68" s="7">
        <v>2</v>
      </c>
      <c r="I68" s="8">
        <v>275000</v>
      </c>
      <c r="J68" s="8"/>
      <c r="K68" s="8">
        <v>0</v>
      </c>
      <c r="L68" s="8">
        <v>0</v>
      </c>
      <c r="M68" s="8"/>
      <c r="N68" s="8">
        <f>I68-L68</f>
        <v>275000</v>
      </c>
      <c r="O68" s="8">
        <v>0</v>
      </c>
      <c r="P68" s="8">
        <v>0</v>
      </c>
      <c r="Q68" s="8"/>
      <c r="R68" s="8">
        <v>0</v>
      </c>
      <c r="S68" s="8">
        <v>0</v>
      </c>
    </row>
    <row r="69" ht="31.5" customHeight="1" spans="1:19" x14ac:dyDescent="0.25">
      <c r="A69" s="5" t="s">
        <v>801</v>
      </c>
      <c r="B69" s="6" t="s">
        <v>802</v>
      </c>
      <c r="C69" s="6"/>
      <c r="D69" s="5" t="s">
        <v>363</v>
      </c>
      <c r="E69" s="5" t="s">
        <v>11</v>
      </c>
      <c r="F69" s="5" t="s">
        <v>11</v>
      </c>
      <c r="G69" s="5" t="s">
        <v>11</v>
      </c>
      <c r="H69" s="7">
        <v>1</v>
      </c>
      <c r="I69" s="8">
        <v>15000</v>
      </c>
      <c r="J69" s="8"/>
      <c r="K69" s="8">
        <v>0</v>
      </c>
      <c r="L69" s="8">
        <v>4527.77</v>
      </c>
      <c r="M69" s="8"/>
      <c r="N69" s="8">
        <f>I69-L69</f>
        <v>10472.23</v>
      </c>
      <c r="O69" s="8">
        <v>0</v>
      </c>
      <c r="P69" s="8">
        <v>0</v>
      </c>
      <c r="Q69" s="8"/>
      <c r="R69" s="8">
        <v>0</v>
      </c>
      <c r="S69" s="8">
        <v>0</v>
      </c>
    </row>
    <row r="70" ht="31.5" customHeight="1" spans="1:19" x14ac:dyDescent="0.25">
      <c r="A70" s="5" t="s">
        <v>803</v>
      </c>
      <c r="B70" s="6" t="s">
        <v>804</v>
      </c>
      <c r="C70" s="6"/>
      <c r="D70" s="5" t="s">
        <v>363</v>
      </c>
      <c r="E70" s="5" t="s">
        <v>11</v>
      </c>
      <c r="F70" s="5" t="s">
        <v>11</v>
      </c>
      <c r="G70" s="5" t="s">
        <v>11</v>
      </c>
      <c r="H70" s="7">
        <v>1</v>
      </c>
      <c r="I70" s="8">
        <v>10000</v>
      </c>
      <c r="J70" s="8"/>
      <c r="K70" s="8">
        <v>0</v>
      </c>
      <c r="L70" s="8">
        <v>2087.18</v>
      </c>
      <c r="M70" s="8"/>
      <c r="N70" s="8">
        <f>I70-L70</f>
        <v>7912.82</v>
      </c>
      <c r="O70" s="8">
        <v>0</v>
      </c>
      <c r="P70" s="8">
        <v>0</v>
      </c>
      <c r="Q70" s="8"/>
      <c r="R70" s="8">
        <v>0</v>
      </c>
      <c r="S70" s="8">
        <v>0</v>
      </c>
    </row>
    <row r="71" ht="31.5" customHeight="1" spans="1:19" x14ac:dyDescent="0.25">
      <c r="A71" s="5" t="s">
        <v>805</v>
      </c>
      <c r="B71" s="6" t="s">
        <v>806</v>
      </c>
      <c r="C71" s="6"/>
      <c r="D71" s="5" t="s">
        <v>363</v>
      </c>
      <c r="E71" s="5" t="s">
        <v>11</v>
      </c>
      <c r="F71" s="5" t="s">
        <v>11</v>
      </c>
      <c r="G71" s="5" t="s">
        <v>11</v>
      </c>
      <c r="H71" s="7">
        <v>1</v>
      </c>
      <c r="I71" s="8">
        <v>10000</v>
      </c>
      <c r="J71" s="8"/>
      <c r="K71" s="8">
        <v>0</v>
      </c>
      <c r="L71" s="8">
        <v>2087.18</v>
      </c>
      <c r="M71" s="8"/>
      <c r="N71" s="8">
        <f>I71-L71</f>
        <v>7912.82</v>
      </c>
      <c r="O71" s="8">
        <v>0</v>
      </c>
      <c r="P71" s="8">
        <v>0</v>
      </c>
      <c r="Q71" s="8"/>
      <c r="R71" s="8">
        <v>0</v>
      </c>
      <c r="S71" s="8">
        <v>0</v>
      </c>
    </row>
    <row r="72" ht="18" customHeight="1" spans="1:19" x14ac:dyDescent="0.25">
      <c r="A72" s="9" t="s">
        <v>177</v>
      </c>
      <c r="B72" s="9"/>
      <c r="C72" s="9"/>
      <c r="D72" s="9"/>
      <c r="E72" s="9"/>
      <c r="F72" s="9"/>
      <c r="G72" s="9"/>
      <c r="H72" s="10">
        <f>SUM(H5:H71)</f>
        <v>127</v>
      </c>
      <c r="I72" s="11">
        <f>SUM(I5:I71)</f>
        <v>4757000</v>
      </c>
      <c r="J72" s="11"/>
      <c r="K72" s="11">
        <v>0</v>
      </c>
      <c r="L72" s="11">
        <f>SUM(L5:L71)</f>
        <v>578606.7500000001</v>
      </c>
      <c r="M72" s="11"/>
      <c r="N72" s="11">
        <f>SUM(N5:N71)</f>
        <v>4178393.25</v>
      </c>
      <c r="O72" s="11">
        <v>0</v>
      </c>
      <c r="P72" s="11">
        <v>0</v>
      </c>
      <c r="Q72" s="11"/>
      <c r="R72" s="11">
        <f>SUM(R5:R71)</f>
        <v>0</v>
      </c>
      <c r="S72" s="11">
        <v>0</v>
      </c>
    </row>
  </sheetData>
  <mergeCells count="288">
    <mergeCell ref="A1:S1"/>
    <mergeCell ref="A2:B2"/>
    <mergeCell ref="C2:E2"/>
    <mergeCell ref="F2:I2"/>
    <mergeCell ref="J2:L2"/>
    <mergeCell ref="M2:P2"/>
    <mergeCell ref="Q2:S2"/>
    <mergeCell ref="A3:B3"/>
    <mergeCell ref="C3:E3"/>
    <mergeCell ref="F3:I3"/>
    <mergeCell ref="J3:L3"/>
    <mergeCell ref="M3:S3"/>
    <mergeCell ref="B4:C4"/>
    <mergeCell ref="I4:J4"/>
    <mergeCell ref="L4:M4"/>
    <mergeCell ref="P4:Q4"/>
    <mergeCell ref="B5:C5"/>
    <mergeCell ref="I5:J5"/>
    <mergeCell ref="L5:M5"/>
    <mergeCell ref="P5:Q5"/>
    <mergeCell ref="B6:C6"/>
    <mergeCell ref="I6:J6"/>
    <mergeCell ref="L6:M6"/>
    <mergeCell ref="P6:Q6"/>
    <mergeCell ref="B7:C7"/>
    <mergeCell ref="I7:J7"/>
    <mergeCell ref="L7:M7"/>
    <mergeCell ref="P7:Q7"/>
    <mergeCell ref="B8:C8"/>
    <mergeCell ref="I8:J8"/>
    <mergeCell ref="L8:M8"/>
    <mergeCell ref="P8:Q8"/>
    <mergeCell ref="B9:C9"/>
    <mergeCell ref="I9:J9"/>
    <mergeCell ref="L9:M9"/>
    <mergeCell ref="P9:Q9"/>
    <mergeCell ref="B10:C10"/>
    <mergeCell ref="I10:J10"/>
    <mergeCell ref="L10:M10"/>
    <mergeCell ref="P10:Q10"/>
    <mergeCell ref="B11:C11"/>
    <mergeCell ref="I11:J11"/>
    <mergeCell ref="L11:M11"/>
    <mergeCell ref="P11:Q11"/>
    <mergeCell ref="B12:C12"/>
    <mergeCell ref="I12:J12"/>
    <mergeCell ref="L12:M12"/>
    <mergeCell ref="P12:Q12"/>
    <mergeCell ref="B13:C13"/>
    <mergeCell ref="I13:J13"/>
    <mergeCell ref="L13:M13"/>
    <mergeCell ref="P13:Q13"/>
    <mergeCell ref="B14:C14"/>
    <mergeCell ref="I14:J14"/>
    <mergeCell ref="L14:M14"/>
    <mergeCell ref="P14:Q14"/>
    <mergeCell ref="B15:C15"/>
    <mergeCell ref="I15:J15"/>
    <mergeCell ref="L15:M15"/>
    <mergeCell ref="P15:Q15"/>
    <mergeCell ref="B16:C16"/>
    <mergeCell ref="I16:J16"/>
    <mergeCell ref="L16:M16"/>
    <mergeCell ref="P16:Q16"/>
    <mergeCell ref="B17:C17"/>
    <mergeCell ref="I17:J17"/>
    <mergeCell ref="L17:M17"/>
    <mergeCell ref="P17:Q17"/>
    <mergeCell ref="B18:C18"/>
    <mergeCell ref="I18:J18"/>
    <mergeCell ref="L18:M18"/>
    <mergeCell ref="P18:Q18"/>
    <mergeCell ref="B19:C19"/>
    <mergeCell ref="I19:J19"/>
    <mergeCell ref="L19:M19"/>
    <mergeCell ref="P19:Q19"/>
    <mergeCell ref="B20:C20"/>
    <mergeCell ref="I20:J20"/>
    <mergeCell ref="L20:M20"/>
    <mergeCell ref="P20:Q20"/>
    <mergeCell ref="B21:C21"/>
    <mergeCell ref="I21:J21"/>
    <mergeCell ref="L21:M21"/>
    <mergeCell ref="P21:Q21"/>
    <mergeCell ref="B22:C22"/>
    <mergeCell ref="I22:J22"/>
    <mergeCell ref="L22:M22"/>
    <mergeCell ref="P22:Q22"/>
    <mergeCell ref="B23:C23"/>
    <mergeCell ref="I23:J23"/>
    <mergeCell ref="L23:M23"/>
    <mergeCell ref="P23:Q23"/>
    <mergeCell ref="B24:C24"/>
    <mergeCell ref="I24:J24"/>
    <mergeCell ref="L24:M24"/>
    <mergeCell ref="P24:Q24"/>
    <mergeCell ref="B25:C25"/>
    <mergeCell ref="I25:J25"/>
    <mergeCell ref="L25:M25"/>
    <mergeCell ref="P25:Q25"/>
    <mergeCell ref="B26:C26"/>
    <mergeCell ref="I26:J26"/>
    <mergeCell ref="L26:M26"/>
    <mergeCell ref="P26:Q26"/>
    <mergeCell ref="B27:C27"/>
    <mergeCell ref="I27:J27"/>
    <mergeCell ref="L27:M27"/>
    <mergeCell ref="P27:Q27"/>
    <mergeCell ref="B28:C28"/>
    <mergeCell ref="I28:J28"/>
    <mergeCell ref="L28:M28"/>
    <mergeCell ref="P28:Q28"/>
    <mergeCell ref="B29:C29"/>
    <mergeCell ref="I29:J29"/>
    <mergeCell ref="L29:M29"/>
    <mergeCell ref="P29:Q29"/>
    <mergeCell ref="B30:C30"/>
    <mergeCell ref="I30:J30"/>
    <mergeCell ref="L30:M30"/>
    <mergeCell ref="P30:Q30"/>
    <mergeCell ref="B31:C31"/>
    <mergeCell ref="I31:J31"/>
    <mergeCell ref="L31:M31"/>
    <mergeCell ref="P31:Q31"/>
    <mergeCell ref="B32:C32"/>
    <mergeCell ref="I32:J32"/>
    <mergeCell ref="L32:M32"/>
    <mergeCell ref="P32:Q32"/>
    <mergeCell ref="B33:C33"/>
    <mergeCell ref="I33:J33"/>
    <mergeCell ref="L33:M33"/>
    <mergeCell ref="P33:Q33"/>
    <mergeCell ref="B34:C34"/>
    <mergeCell ref="I34:J34"/>
    <mergeCell ref="L34:M34"/>
    <mergeCell ref="P34:Q34"/>
    <mergeCell ref="B35:C35"/>
    <mergeCell ref="I35:J35"/>
    <mergeCell ref="L35:M35"/>
    <mergeCell ref="P35:Q35"/>
    <mergeCell ref="B36:C36"/>
    <mergeCell ref="I36:J36"/>
    <mergeCell ref="L36:M36"/>
    <mergeCell ref="P36:Q36"/>
    <mergeCell ref="B37:C37"/>
    <mergeCell ref="I37:J37"/>
    <mergeCell ref="L37:M37"/>
    <mergeCell ref="P37:Q37"/>
    <mergeCell ref="B38:C38"/>
    <mergeCell ref="I38:J38"/>
    <mergeCell ref="L38:M38"/>
    <mergeCell ref="P38:Q38"/>
    <mergeCell ref="B39:C39"/>
    <mergeCell ref="I39:J39"/>
    <mergeCell ref="L39:M39"/>
    <mergeCell ref="P39:Q39"/>
    <mergeCell ref="B40:C40"/>
    <mergeCell ref="I40:J40"/>
    <mergeCell ref="L40:M40"/>
    <mergeCell ref="P40:Q40"/>
    <mergeCell ref="B41:C41"/>
    <mergeCell ref="I41:J41"/>
    <mergeCell ref="L41:M41"/>
    <mergeCell ref="P41:Q41"/>
    <mergeCell ref="B42:C42"/>
    <mergeCell ref="I42:J42"/>
    <mergeCell ref="L42:M42"/>
    <mergeCell ref="P42:Q42"/>
    <mergeCell ref="B43:C43"/>
    <mergeCell ref="I43:J43"/>
    <mergeCell ref="L43:M43"/>
    <mergeCell ref="P43:Q43"/>
    <mergeCell ref="B44:C44"/>
    <mergeCell ref="I44:J44"/>
    <mergeCell ref="L44:M44"/>
    <mergeCell ref="P44:Q44"/>
    <mergeCell ref="B45:C45"/>
    <mergeCell ref="I45:J45"/>
    <mergeCell ref="L45:M45"/>
    <mergeCell ref="P45:Q45"/>
    <mergeCell ref="B46:C46"/>
    <mergeCell ref="I46:J46"/>
    <mergeCell ref="L46:M46"/>
    <mergeCell ref="P46:Q46"/>
    <mergeCell ref="B47:C47"/>
    <mergeCell ref="I47:J47"/>
    <mergeCell ref="L47:M47"/>
    <mergeCell ref="P47:Q47"/>
    <mergeCell ref="B48:C48"/>
    <mergeCell ref="I48:J48"/>
    <mergeCell ref="L48:M48"/>
    <mergeCell ref="P48:Q48"/>
    <mergeCell ref="B49:C49"/>
    <mergeCell ref="I49:J49"/>
    <mergeCell ref="L49:M49"/>
    <mergeCell ref="P49:Q49"/>
    <mergeCell ref="B50:C50"/>
    <mergeCell ref="I50:J50"/>
    <mergeCell ref="L50:M50"/>
    <mergeCell ref="P50:Q50"/>
    <mergeCell ref="B51:C51"/>
    <mergeCell ref="I51:J51"/>
    <mergeCell ref="L51:M51"/>
    <mergeCell ref="P51:Q51"/>
    <mergeCell ref="B52:C52"/>
    <mergeCell ref="I52:J52"/>
    <mergeCell ref="L52:M52"/>
    <mergeCell ref="P52:Q52"/>
    <mergeCell ref="B53:C53"/>
    <mergeCell ref="I53:J53"/>
    <mergeCell ref="L53:M53"/>
    <mergeCell ref="P53:Q53"/>
    <mergeCell ref="B54:C54"/>
    <mergeCell ref="I54:J54"/>
    <mergeCell ref="L54:M54"/>
    <mergeCell ref="P54:Q54"/>
    <mergeCell ref="B55:C55"/>
    <mergeCell ref="I55:J55"/>
    <mergeCell ref="L55:M55"/>
    <mergeCell ref="P55:Q55"/>
    <mergeCell ref="B56:C56"/>
    <mergeCell ref="I56:J56"/>
    <mergeCell ref="L56:M56"/>
    <mergeCell ref="P56:Q56"/>
    <mergeCell ref="B57:C57"/>
    <mergeCell ref="I57:J57"/>
    <mergeCell ref="L57:M57"/>
    <mergeCell ref="P57:Q57"/>
    <mergeCell ref="B58:C58"/>
    <mergeCell ref="I58:J58"/>
    <mergeCell ref="L58:M58"/>
    <mergeCell ref="P58:Q58"/>
    <mergeCell ref="B59:C59"/>
    <mergeCell ref="I59:J59"/>
    <mergeCell ref="L59:M59"/>
    <mergeCell ref="P59:Q59"/>
    <mergeCell ref="B60:C60"/>
    <mergeCell ref="I60:J60"/>
    <mergeCell ref="L60:M60"/>
    <mergeCell ref="P60:Q60"/>
    <mergeCell ref="B61:C61"/>
    <mergeCell ref="I61:J61"/>
    <mergeCell ref="L61:M61"/>
    <mergeCell ref="P61:Q61"/>
    <mergeCell ref="B62:C62"/>
    <mergeCell ref="I62:J62"/>
    <mergeCell ref="L62:M62"/>
    <mergeCell ref="P62:Q62"/>
    <mergeCell ref="B63:C63"/>
    <mergeCell ref="I63:J63"/>
    <mergeCell ref="L63:M63"/>
    <mergeCell ref="P63:Q63"/>
    <mergeCell ref="B64:C64"/>
    <mergeCell ref="I64:J64"/>
    <mergeCell ref="L64:M64"/>
    <mergeCell ref="P64:Q64"/>
    <mergeCell ref="B65:C65"/>
    <mergeCell ref="I65:J65"/>
    <mergeCell ref="L65:M65"/>
    <mergeCell ref="P65:Q65"/>
    <mergeCell ref="B66:C66"/>
    <mergeCell ref="I66:J66"/>
    <mergeCell ref="L66:M66"/>
    <mergeCell ref="P66:Q66"/>
    <mergeCell ref="B67:C67"/>
    <mergeCell ref="I67:J67"/>
    <mergeCell ref="L67:M67"/>
    <mergeCell ref="P67:Q67"/>
    <mergeCell ref="B68:C68"/>
    <mergeCell ref="I68:J68"/>
    <mergeCell ref="L68:M68"/>
    <mergeCell ref="P68:Q68"/>
    <mergeCell ref="B69:C69"/>
    <mergeCell ref="I69:J69"/>
    <mergeCell ref="L69:M69"/>
    <mergeCell ref="P69:Q69"/>
    <mergeCell ref="B70:C70"/>
    <mergeCell ref="I70:J70"/>
    <mergeCell ref="L70:M70"/>
    <mergeCell ref="P70:Q70"/>
    <mergeCell ref="B71:C71"/>
    <mergeCell ref="I71:J71"/>
    <mergeCell ref="L71:M71"/>
    <mergeCell ref="P71:Q71"/>
    <mergeCell ref="A72:G72"/>
    <mergeCell ref="I72:J72"/>
    <mergeCell ref="L72:M72"/>
    <mergeCell ref="P72:Q72"/>
  </mergeCells>
  <pageMargins left="0.2" right="0.2" top="0.3" bottom="0.3" header="0.1" footer="0.1"/>
  <pageSetup paperSize="9" orientation="landscape" horizontalDpi="4294967295" verticalDpi="4294967295" scale="100" fitToWidth="1" fitToHeight="0"/>
  <headerFooter>
    <oddFooter>&amp;LGenerated by AYO Olsera&amp;CPage &amp;P of &amp;N&amp;R&amp;D 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4"/>
  <sheetViews>
    <sheetView workbookViewId="0" zoomScale="80"/>
  </sheetViews>
  <sheetFormatPr defaultRowHeight="15.75" outlineLevelRow="0" outlineLevelCol="0" x14ac:dyDescent="55" customHeight="1"/>
  <cols>
    <col min="1" max="1" width="22" customWidth="1"/>
    <col min="2" max="2" width="12.1" hidden="1" customWidth="1"/>
    <col min="3" max="3" width="15.7" customWidth="1"/>
    <col min="4" max="4" width="17.4" customWidth="1"/>
    <col min="5" max="5" width="0.1" hidden="1" customWidth="1"/>
    <col min="6" max="6" width="16" customWidth="1"/>
    <col min="7" max="7" width="12" customWidth="1"/>
    <col min="9" max="9" width="14" customWidth="1"/>
    <col min="10" max="10" width="10" customWidth="1"/>
    <col min="12" max="12" width="9" hidden="1" customWidth="1"/>
    <col min="13" max="13" width="10" customWidth="1"/>
    <col min="14" max="14" width="15" customWidth="1"/>
    <col min="16" max="16" width="0.1" customWidth="1"/>
    <col min="17" max="18" width="10" customWidth="1"/>
    <col min="19" max="19" width="11" customWidth="1"/>
  </cols>
  <sheetData>
    <row r="1" ht="52.5" customHeight="1" spans="1:19" x14ac:dyDescent="0.25">
      <c r="A1" s="1" t="s">
        <v>807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8.5" customHeight="1" spans="1:19" x14ac:dyDescent="0.25">
      <c r="A2" s="2" t="s">
        <v>808</v>
      </c>
      <c r="B2" s="2"/>
      <c r="C2" s="2" t="s">
        <v>2</v>
      </c>
      <c r="D2" s="2"/>
      <c r="E2" s="2"/>
      <c r="F2" s="2" t="s">
        <v>809</v>
      </c>
      <c r="G2" s="2"/>
      <c r="H2" s="2"/>
      <c r="I2" s="2"/>
      <c r="J2" s="2" t="s">
        <v>810</v>
      </c>
      <c r="K2" s="2"/>
      <c r="L2" s="2"/>
      <c r="M2" s="2" t="s">
        <v>5</v>
      </c>
      <c r="N2" s="2"/>
      <c r="O2" s="2"/>
      <c r="P2" s="2"/>
      <c r="Q2" s="2" t="s">
        <v>6</v>
      </c>
      <c r="R2" s="2"/>
      <c r="S2" s="2"/>
    </row>
    <row r="3" ht="31.5" customHeight="1" spans="1:19" x14ac:dyDescent="0.25">
      <c r="A3" s="2" t="s">
        <v>7</v>
      </c>
      <c r="B3" s="2"/>
      <c r="C3" s="2" t="s">
        <v>8</v>
      </c>
      <c r="D3" s="2"/>
      <c r="E3" s="2"/>
      <c r="F3" s="2" t="s">
        <v>811</v>
      </c>
      <c r="G3" s="2"/>
      <c r="H3" s="2"/>
      <c r="I3" s="2"/>
      <c r="J3" s="2" t="s">
        <v>10</v>
      </c>
      <c r="K3" s="2"/>
      <c r="L3" s="2"/>
      <c r="M3" s="3" t="s">
        <v>11</v>
      </c>
      <c r="N3" s="3"/>
      <c r="O3" s="3"/>
      <c r="P3" s="3"/>
      <c r="Q3" s="3"/>
      <c r="R3" s="3"/>
      <c r="S3" s="3"/>
    </row>
    <row r="4" ht="25.5" customHeight="1" spans="1:19" x14ac:dyDescent="0.25">
      <c r="A4" s="4" t="s">
        <v>12</v>
      </c>
      <c r="B4" s="4" t="s">
        <v>13</v>
      </c>
      <c r="C4" s="4"/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/>
      <c r="K4" s="4" t="s">
        <v>20</v>
      </c>
      <c r="L4" s="4" t="s">
        <v>21</v>
      </c>
      <c r="M4" s="4"/>
      <c r="N4" s="4" t="s">
        <v>22</v>
      </c>
      <c r="O4" s="4" t="s">
        <v>23</v>
      </c>
      <c r="P4" s="4" t="s">
        <v>24</v>
      </c>
      <c r="Q4" s="4"/>
      <c r="R4" s="4" t="s">
        <v>25</v>
      </c>
      <c r="S4" s="4" t="s">
        <v>26</v>
      </c>
    </row>
    <row r="5" ht="31.5" customHeight="1" spans="1:19" x14ac:dyDescent="0.25">
      <c r="A5" s="5" t="s">
        <v>812</v>
      </c>
      <c r="B5" s="6" t="s">
        <v>813</v>
      </c>
      <c r="C5" s="6"/>
      <c r="D5" s="5" t="s">
        <v>29</v>
      </c>
      <c r="E5" s="5" t="s">
        <v>11</v>
      </c>
      <c r="F5" s="5" t="s">
        <v>11</v>
      </c>
      <c r="G5" s="5" t="s">
        <v>11</v>
      </c>
      <c r="H5" s="7">
        <v>1</v>
      </c>
      <c r="I5" s="8">
        <v>30000</v>
      </c>
      <c r="J5" s="8"/>
      <c r="K5" s="8">
        <v>0</v>
      </c>
      <c r="L5" s="8">
        <v>0</v>
      </c>
      <c r="M5" s="8"/>
      <c r="N5" s="8">
        <f>I5-L5</f>
        <v>30000</v>
      </c>
      <c r="O5" s="8">
        <v>0</v>
      </c>
      <c r="P5" s="8">
        <v>0</v>
      </c>
      <c r="Q5" s="8"/>
      <c r="R5" s="8">
        <v>0</v>
      </c>
      <c r="S5" s="8">
        <v>0</v>
      </c>
    </row>
    <row r="6" ht="31.5" customHeight="1" spans="1:19" x14ac:dyDescent="0.25">
      <c r="A6" s="5" t="s">
        <v>814</v>
      </c>
      <c r="B6" s="6" t="s">
        <v>815</v>
      </c>
      <c r="C6" s="6"/>
      <c r="D6" s="5" t="s">
        <v>29</v>
      </c>
      <c r="E6" s="5" t="s">
        <v>11</v>
      </c>
      <c r="F6" s="5" t="s">
        <v>11</v>
      </c>
      <c r="G6" s="5" t="s">
        <v>11</v>
      </c>
      <c r="H6" s="7">
        <v>1</v>
      </c>
      <c r="I6" s="8">
        <v>30000</v>
      </c>
      <c r="J6" s="8"/>
      <c r="K6" s="8">
        <v>0</v>
      </c>
      <c r="L6" s="8">
        <v>0</v>
      </c>
      <c r="M6" s="8"/>
      <c r="N6" s="8">
        <f>I6-L6</f>
        <v>30000</v>
      </c>
      <c r="O6" s="8">
        <v>0</v>
      </c>
      <c r="P6" s="8">
        <v>0</v>
      </c>
      <c r="Q6" s="8"/>
      <c r="R6" s="8">
        <v>0</v>
      </c>
      <c r="S6" s="8">
        <v>0</v>
      </c>
    </row>
    <row r="7" ht="31.5" customHeight="1" spans="1:19" x14ac:dyDescent="0.25">
      <c r="A7" s="5" t="s">
        <v>816</v>
      </c>
      <c r="B7" s="6" t="s">
        <v>817</v>
      </c>
      <c r="C7" s="6"/>
      <c r="D7" s="5" t="s">
        <v>29</v>
      </c>
      <c r="E7" s="5" t="s">
        <v>11</v>
      </c>
      <c r="F7" s="5" t="s">
        <v>11</v>
      </c>
      <c r="G7" s="5" t="s">
        <v>11</v>
      </c>
      <c r="H7" s="7">
        <v>1</v>
      </c>
      <c r="I7" s="8">
        <v>50000</v>
      </c>
      <c r="J7" s="8"/>
      <c r="K7" s="8">
        <v>0</v>
      </c>
      <c r="L7" s="8">
        <v>0</v>
      </c>
      <c r="M7" s="8"/>
      <c r="N7" s="8">
        <f>I7-L7</f>
        <v>50000</v>
      </c>
      <c r="O7" s="8">
        <v>0</v>
      </c>
      <c r="P7" s="8">
        <v>0</v>
      </c>
      <c r="Q7" s="8"/>
      <c r="R7" s="8">
        <v>0</v>
      </c>
      <c r="S7" s="8">
        <v>0</v>
      </c>
    </row>
    <row r="8" ht="31.5" customHeight="1" spans="1:19" x14ac:dyDescent="0.25">
      <c r="A8" s="5" t="s">
        <v>818</v>
      </c>
      <c r="B8" s="6" t="s">
        <v>819</v>
      </c>
      <c r="C8" s="6"/>
      <c r="D8" s="5" t="s">
        <v>29</v>
      </c>
      <c r="E8" s="5" t="s">
        <v>11</v>
      </c>
      <c r="F8" s="5" t="s">
        <v>11</v>
      </c>
      <c r="G8" s="5" t="s">
        <v>11</v>
      </c>
      <c r="H8" s="7">
        <v>1</v>
      </c>
      <c r="I8" s="8">
        <v>50000</v>
      </c>
      <c r="J8" s="8"/>
      <c r="K8" s="8">
        <v>0</v>
      </c>
      <c r="L8" s="8">
        <v>0</v>
      </c>
      <c r="M8" s="8"/>
      <c r="N8" s="8">
        <f>I8-L8</f>
        <v>50000</v>
      </c>
      <c r="O8" s="8">
        <v>0</v>
      </c>
      <c r="P8" s="8">
        <v>0</v>
      </c>
      <c r="Q8" s="8"/>
      <c r="R8" s="8">
        <v>0</v>
      </c>
      <c r="S8" s="8">
        <v>0</v>
      </c>
    </row>
    <row r="9" ht="31.5" customHeight="1" spans="1:19" x14ac:dyDescent="0.25">
      <c r="A9" s="5" t="s">
        <v>820</v>
      </c>
      <c r="B9" s="6" t="s">
        <v>821</v>
      </c>
      <c r="C9" s="6"/>
      <c r="D9" s="5" t="s">
        <v>29</v>
      </c>
      <c r="E9" s="5" t="s">
        <v>11</v>
      </c>
      <c r="F9" s="5" t="s">
        <v>11</v>
      </c>
      <c r="G9" s="5" t="s">
        <v>11</v>
      </c>
      <c r="H9" s="7">
        <v>1</v>
      </c>
      <c r="I9" s="8">
        <v>15000</v>
      </c>
      <c r="J9" s="8"/>
      <c r="K9" s="8">
        <v>0</v>
      </c>
      <c r="L9" s="8">
        <v>4527.77</v>
      </c>
      <c r="M9" s="8"/>
      <c r="N9" s="8">
        <f>I9-L9</f>
        <v>10472.23</v>
      </c>
      <c r="O9" s="8">
        <v>0</v>
      </c>
      <c r="P9" s="8">
        <v>0</v>
      </c>
      <c r="Q9" s="8"/>
      <c r="R9" s="8">
        <v>0</v>
      </c>
      <c r="S9" s="8">
        <v>0</v>
      </c>
    </row>
    <row r="10" ht="31.5" customHeight="1" spans="1:19" x14ac:dyDescent="0.25">
      <c r="A10" s="5" t="s">
        <v>822</v>
      </c>
      <c r="B10" s="6" t="s">
        <v>823</v>
      </c>
      <c r="C10" s="6"/>
      <c r="D10" s="5" t="s">
        <v>29</v>
      </c>
      <c r="E10" s="5" t="s">
        <v>11</v>
      </c>
      <c r="F10" s="5" t="s">
        <v>11</v>
      </c>
      <c r="G10" s="5" t="s">
        <v>11</v>
      </c>
      <c r="H10" s="7">
        <v>1</v>
      </c>
      <c r="I10" s="8">
        <v>30000</v>
      </c>
      <c r="J10" s="8"/>
      <c r="K10" s="8">
        <v>0</v>
      </c>
      <c r="L10" s="8">
        <v>0</v>
      </c>
      <c r="M10" s="8"/>
      <c r="N10" s="8">
        <f>I10-L10</f>
        <v>30000</v>
      </c>
      <c r="O10" s="8">
        <v>0</v>
      </c>
      <c r="P10" s="8">
        <v>0</v>
      </c>
      <c r="Q10" s="8"/>
      <c r="R10" s="8">
        <v>0</v>
      </c>
      <c r="S10" s="8">
        <v>0</v>
      </c>
    </row>
    <row r="11" ht="31.5" customHeight="1" spans="1:19" x14ac:dyDescent="0.25">
      <c r="A11" s="5" t="s">
        <v>824</v>
      </c>
      <c r="B11" s="6" t="s">
        <v>825</v>
      </c>
      <c r="C11" s="6"/>
      <c r="D11" s="5" t="s">
        <v>29</v>
      </c>
      <c r="E11" s="5" t="s">
        <v>11</v>
      </c>
      <c r="F11" s="5" t="s">
        <v>11</v>
      </c>
      <c r="G11" s="5" t="s">
        <v>11</v>
      </c>
      <c r="H11" s="7">
        <v>1</v>
      </c>
      <c r="I11" s="8">
        <v>50000</v>
      </c>
      <c r="J11" s="8"/>
      <c r="K11" s="8">
        <v>0</v>
      </c>
      <c r="L11" s="8">
        <v>0</v>
      </c>
      <c r="M11" s="8"/>
      <c r="N11" s="8">
        <f>I11-L11</f>
        <v>50000</v>
      </c>
      <c r="O11" s="8">
        <v>0</v>
      </c>
      <c r="P11" s="8">
        <v>0</v>
      </c>
      <c r="Q11" s="8"/>
      <c r="R11" s="8">
        <v>0</v>
      </c>
      <c r="S11" s="8">
        <v>0</v>
      </c>
    </row>
    <row r="12" ht="31.5" customHeight="1" spans="1:19" x14ac:dyDescent="0.25">
      <c r="A12" s="5" t="s">
        <v>826</v>
      </c>
      <c r="B12" s="6" t="s">
        <v>827</v>
      </c>
      <c r="C12" s="6"/>
      <c r="D12" s="5" t="s">
        <v>29</v>
      </c>
      <c r="E12" s="5" t="s">
        <v>11</v>
      </c>
      <c r="F12" s="5" t="s">
        <v>11</v>
      </c>
      <c r="G12" s="5" t="s">
        <v>11</v>
      </c>
      <c r="H12" s="7">
        <v>1</v>
      </c>
      <c r="I12" s="8">
        <v>275000</v>
      </c>
      <c r="J12" s="8"/>
      <c r="K12" s="8">
        <v>0</v>
      </c>
      <c r="L12" s="8">
        <v>0</v>
      </c>
      <c r="M12" s="8"/>
      <c r="N12" s="8">
        <f>I12-L12</f>
        <v>275000</v>
      </c>
      <c r="O12" s="8">
        <v>0</v>
      </c>
      <c r="P12" s="8">
        <v>0</v>
      </c>
      <c r="Q12" s="8"/>
      <c r="R12" s="8">
        <v>0</v>
      </c>
      <c r="S12" s="8">
        <v>0</v>
      </c>
    </row>
    <row r="13" ht="31.5" customHeight="1" spans="1:19" x14ac:dyDescent="0.25">
      <c r="A13" s="5" t="s">
        <v>828</v>
      </c>
      <c r="B13" s="6" t="s">
        <v>829</v>
      </c>
      <c r="C13" s="6"/>
      <c r="D13" s="5" t="s">
        <v>29</v>
      </c>
      <c r="E13" s="5" t="s">
        <v>11</v>
      </c>
      <c r="F13" s="5" t="s">
        <v>11</v>
      </c>
      <c r="G13" s="5" t="s">
        <v>11</v>
      </c>
      <c r="H13" s="7">
        <v>1</v>
      </c>
      <c r="I13" s="8">
        <v>30000</v>
      </c>
      <c r="J13" s="8"/>
      <c r="K13" s="8">
        <v>0</v>
      </c>
      <c r="L13" s="8">
        <v>0</v>
      </c>
      <c r="M13" s="8"/>
      <c r="N13" s="8">
        <f>I13-L13</f>
        <v>30000</v>
      </c>
      <c r="O13" s="8">
        <v>0</v>
      </c>
      <c r="P13" s="8">
        <v>0</v>
      </c>
      <c r="Q13" s="8"/>
      <c r="R13" s="8">
        <v>0</v>
      </c>
      <c r="S13" s="8">
        <v>0</v>
      </c>
    </row>
    <row r="14" ht="31.5" customHeight="1" spans="1:19" x14ac:dyDescent="0.25">
      <c r="A14" s="5" t="s">
        <v>830</v>
      </c>
      <c r="B14" s="6" t="s">
        <v>831</v>
      </c>
      <c r="C14" s="6"/>
      <c r="D14" s="5" t="s">
        <v>29</v>
      </c>
      <c r="E14" s="5" t="s">
        <v>11</v>
      </c>
      <c r="F14" s="5" t="s">
        <v>11</v>
      </c>
      <c r="G14" s="5" t="s">
        <v>11</v>
      </c>
      <c r="H14" s="7">
        <v>1</v>
      </c>
      <c r="I14" s="8">
        <v>15000</v>
      </c>
      <c r="J14" s="8"/>
      <c r="K14" s="8">
        <v>0</v>
      </c>
      <c r="L14" s="8">
        <v>4527.77</v>
      </c>
      <c r="M14" s="8"/>
      <c r="N14" s="8">
        <f>I14-L14</f>
        <v>10472.23</v>
      </c>
      <c r="O14" s="8">
        <v>0</v>
      </c>
      <c r="P14" s="8">
        <v>0</v>
      </c>
      <c r="Q14" s="8"/>
      <c r="R14" s="8">
        <v>0</v>
      </c>
      <c r="S14" s="8">
        <v>0</v>
      </c>
    </row>
    <row r="15" ht="31.5" customHeight="1" spans="1:19" x14ac:dyDescent="0.25">
      <c r="A15" s="5" t="s">
        <v>832</v>
      </c>
      <c r="B15" s="6" t="s">
        <v>833</v>
      </c>
      <c r="C15" s="6"/>
      <c r="D15" s="5" t="s">
        <v>29</v>
      </c>
      <c r="E15" s="5" t="s">
        <v>11</v>
      </c>
      <c r="F15" s="5" t="s">
        <v>11</v>
      </c>
      <c r="G15" s="5" t="s">
        <v>11</v>
      </c>
      <c r="H15" s="7">
        <v>1</v>
      </c>
      <c r="I15" s="8">
        <v>50000</v>
      </c>
      <c r="J15" s="8"/>
      <c r="K15" s="8">
        <v>0</v>
      </c>
      <c r="L15" s="8">
        <v>0</v>
      </c>
      <c r="M15" s="8"/>
      <c r="N15" s="8">
        <f>I15-L15</f>
        <v>50000</v>
      </c>
      <c r="O15" s="8">
        <v>0</v>
      </c>
      <c r="P15" s="8">
        <v>0</v>
      </c>
      <c r="Q15" s="8"/>
      <c r="R15" s="8">
        <v>0</v>
      </c>
      <c r="S15" s="8">
        <v>0</v>
      </c>
    </row>
    <row r="16" ht="31.5" customHeight="1" spans="1:19" x14ac:dyDescent="0.25">
      <c r="A16" s="5" t="s">
        <v>834</v>
      </c>
      <c r="B16" s="6" t="s">
        <v>835</v>
      </c>
      <c r="C16" s="6"/>
      <c r="D16" s="5" t="s">
        <v>29</v>
      </c>
      <c r="E16" s="5" t="s">
        <v>11</v>
      </c>
      <c r="F16" s="5" t="s">
        <v>11</v>
      </c>
      <c r="G16" s="5" t="s">
        <v>11</v>
      </c>
      <c r="H16" s="7">
        <v>2</v>
      </c>
      <c r="I16" s="8">
        <v>100000</v>
      </c>
      <c r="J16" s="8"/>
      <c r="K16" s="8">
        <v>0</v>
      </c>
      <c r="L16" s="8">
        <v>0</v>
      </c>
      <c r="M16" s="8"/>
      <c r="N16" s="8">
        <f>I16-L16</f>
        <v>100000</v>
      </c>
      <c r="O16" s="8">
        <v>0</v>
      </c>
      <c r="P16" s="8">
        <v>0</v>
      </c>
      <c r="Q16" s="8"/>
      <c r="R16" s="8">
        <v>0</v>
      </c>
      <c r="S16" s="8">
        <v>0</v>
      </c>
    </row>
    <row r="17" ht="31.5" customHeight="1" spans="1:19" x14ac:dyDescent="0.25">
      <c r="A17" s="5" t="s">
        <v>836</v>
      </c>
      <c r="B17" s="6" t="s">
        <v>837</v>
      </c>
      <c r="C17" s="6"/>
      <c r="D17" s="5" t="s">
        <v>29</v>
      </c>
      <c r="E17" s="5" t="s">
        <v>11</v>
      </c>
      <c r="F17" s="5" t="s">
        <v>11</v>
      </c>
      <c r="G17" s="5" t="s">
        <v>11</v>
      </c>
      <c r="H17" s="7">
        <v>1</v>
      </c>
      <c r="I17" s="8">
        <v>12000</v>
      </c>
      <c r="J17" s="8"/>
      <c r="K17" s="8">
        <v>0</v>
      </c>
      <c r="L17" s="8">
        <v>6250</v>
      </c>
      <c r="M17" s="8"/>
      <c r="N17" s="8">
        <f>I17-L17</f>
        <v>5750</v>
      </c>
      <c r="O17" s="8">
        <v>0</v>
      </c>
      <c r="P17" s="8">
        <v>0</v>
      </c>
      <c r="Q17" s="8"/>
      <c r="R17" s="8">
        <v>0</v>
      </c>
      <c r="S17" s="8">
        <v>0</v>
      </c>
    </row>
    <row r="18" ht="31.5" customHeight="1" spans="1:19" x14ac:dyDescent="0.25">
      <c r="A18" s="5" t="s">
        <v>838</v>
      </c>
      <c r="B18" s="6" t="s">
        <v>839</v>
      </c>
      <c r="C18" s="6"/>
      <c r="D18" s="5" t="s">
        <v>29</v>
      </c>
      <c r="E18" s="5" t="s">
        <v>11</v>
      </c>
      <c r="F18" s="5" t="s">
        <v>11</v>
      </c>
      <c r="G18" s="5" t="s">
        <v>11</v>
      </c>
      <c r="H18" s="7">
        <v>1</v>
      </c>
      <c r="I18" s="8">
        <v>50000</v>
      </c>
      <c r="J18" s="8"/>
      <c r="K18" s="8">
        <v>0</v>
      </c>
      <c r="L18" s="8">
        <v>0</v>
      </c>
      <c r="M18" s="8"/>
      <c r="N18" s="8">
        <f>I18-L18</f>
        <v>50000</v>
      </c>
      <c r="O18" s="8">
        <v>0</v>
      </c>
      <c r="P18" s="8">
        <v>0</v>
      </c>
      <c r="Q18" s="8"/>
      <c r="R18" s="8">
        <v>0</v>
      </c>
      <c r="S18" s="8">
        <v>0</v>
      </c>
    </row>
    <row r="19" ht="31.5" customHeight="1" spans="1:19" x14ac:dyDescent="0.25">
      <c r="A19" s="5" t="s">
        <v>840</v>
      </c>
      <c r="B19" s="6" t="s">
        <v>841</v>
      </c>
      <c r="C19" s="6"/>
      <c r="D19" s="5" t="s">
        <v>29</v>
      </c>
      <c r="E19" s="5" t="s">
        <v>11</v>
      </c>
      <c r="F19" s="5" t="s">
        <v>11</v>
      </c>
      <c r="G19" s="5" t="s">
        <v>11</v>
      </c>
      <c r="H19" s="7">
        <v>1</v>
      </c>
      <c r="I19" s="8">
        <v>30000</v>
      </c>
      <c r="J19" s="8"/>
      <c r="K19" s="8">
        <v>0</v>
      </c>
      <c r="L19" s="8">
        <v>0</v>
      </c>
      <c r="M19" s="8"/>
      <c r="N19" s="8">
        <f>I19-L19</f>
        <v>30000</v>
      </c>
      <c r="O19" s="8">
        <v>0</v>
      </c>
      <c r="P19" s="8">
        <v>0</v>
      </c>
      <c r="Q19" s="8"/>
      <c r="R19" s="8">
        <v>0</v>
      </c>
      <c r="S19" s="8">
        <v>0</v>
      </c>
    </row>
    <row r="20" ht="31.5" customHeight="1" spans="1:19" x14ac:dyDescent="0.25">
      <c r="A20" s="5" t="s">
        <v>842</v>
      </c>
      <c r="B20" s="6" t="s">
        <v>843</v>
      </c>
      <c r="C20" s="6"/>
      <c r="D20" s="5" t="s">
        <v>29</v>
      </c>
      <c r="E20" s="5" t="s">
        <v>11</v>
      </c>
      <c r="F20" s="5" t="s">
        <v>11</v>
      </c>
      <c r="G20" s="5" t="s">
        <v>11</v>
      </c>
      <c r="H20" s="7">
        <v>3</v>
      </c>
      <c r="I20" s="8">
        <v>80000</v>
      </c>
      <c r="J20" s="8"/>
      <c r="K20" s="8">
        <v>0</v>
      </c>
      <c r="L20" s="8">
        <v>0</v>
      </c>
      <c r="M20" s="8"/>
      <c r="N20" s="8">
        <f>I20-L20</f>
        <v>80000</v>
      </c>
      <c r="O20" s="8">
        <v>0</v>
      </c>
      <c r="P20" s="8">
        <v>0</v>
      </c>
      <c r="Q20" s="8"/>
      <c r="R20" s="8">
        <v>0</v>
      </c>
      <c r="S20" s="8">
        <v>0</v>
      </c>
    </row>
    <row r="21" ht="31.5" customHeight="1" spans="1:19" x14ac:dyDescent="0.25">
      <c r="A21" s="5" t="s">
        <v>844</v>
      </c>
      <c r="B21" s="6" t="s">
        <v>845</v>
      </c>
      <c r="C21" s="6"/>
      <c r="D21" s="5" t="s">
        <v>29</v>
      </c>
      <c r="E21" s="5" t="s">
        <v>11</v>
      </c>
      <c r="F21" s="5" t="s">
        <v>11</v>
      </c>
      <c r="G21" s="5" t="s">
        <v>11</v>
      </c>
      <c r="H21" s="7">
        <v>1</v>
      </c>
      <c r="I21" s="8">
        <v>28000</v>
      </c>
      <c r="J21" s="8"/>
      <c r="K21" s="8">
        <v>0</v>
      </c>
      <c r="L21" s="8">
        <v>0</v>
      </c>
      <c r="M21" s="8"/>
      <c r="N21" s="8">
        <f>I21-L21</f>
        <v>28000</v>
      </c>
      <c r="O21" s="8">
        <v>0</v>
      </c>
      <c r="P21" s="8">
        <v>0</v>
      </c>
      <c r="Q21" s="8"/>
      <c r="R21" s="8">
        <v>0</v>
      </c>
      <c r="S21" s="8">
        <v>0</v>
      </c>
    </row>
    <row r="22" ht="31.5" customHeight="1" spans="1:19" x14ac:dyDescent="0.25">
      <c r="A22" s="5" t="s">
        <v>846</v>
      </c>
      <c r="B22" s="6" t="s">
        <v>847</v>
      </c>
      <c r="C22" s="6"/>
      <c r="D22" s="5" t="s">
        <v>29</v>
      </c>
      <c r="E22" s="5" t="s">
        <v>11</v>
      </c>
      <c r="F22" s="5" t="s">
        <v>11</v>
      </c>
      <c r="G22" s="5" t="s">
        <v>11</v>
      </c>
      <c r="H22" s="7">
        <v>1</v>
      </c>
      <c r="I22" s="8">
        <v>15000</v>
      </c>
      <c r="J22" s="8"/>
      <c r="K22" s="8">
        <v>0</v>
      </c>
      <c r="L22" s="8">
        <v>4527.77</v>
      </c>
      <c r="M22" s="8"/>
      <c r="N22" s="8">
        <f>I22-L22</f>
        <v>10472.23</v>
      </c>
      <c r="O22" s="8">
        <v>0</v>
      </c>
      <c r="P22" s="8">
        <v>0</v>
      </c>
      <c r="Q22" s="8"/>
      <c r="R22" s="8">
        <v>0</v>
      </c>
      <c r="S22" s="8">
        <v>0</v>
      </c>
    </row>
    <row r="23" ht="31.5" customHeight="1" spans="1:19" x14ac:dyDescent="0.25">
      <c r="A23" s="5" t="s">
        <v>848</v>
      </c>
      <c r="B23" s="6" t="s">
        <v>849</v>
      </c>
      <c r="C23" s="6"/>
      <c r="D23" s="5" t="s">
        <v>29</v>
      </c>
      <c r="E23" s="5" t="s">
        <v>11</v>
      </c>
      <c r="F23" s="5" t="s">
        <v>11</v>
      </c>
      <c r="G23" s="5" t="s">
        <v>11</v>
      </c>
      <c r="H23" s="7">
        <v>1</v>
      </c>
      <c r="I23" s="8">
        <v>35000</v>
      </c>
      <c r="J23" s="8"/>
      <c r="K23" s="8">
        <v>0</v>
      </c>
      <c r="L23" s="8">
        <v>0</v>
      </c>
      <c r="M23" s="8"/>
      <c r="N23" s="8">
        <f>I23-L23</f>
        <v>35000</v>
      </c>
      <c r="O23" s="8">
        <v>0</v>
      </c>
      <c r="P23" s="8">
        <v>0</v>
      </c>
      <c r="Q23" s="8"/>
      <c r="R23" s="8">
        <v>0</v>
      </c>
      <c r="S23" s="8">
        <v>0</v>
      </c>
    </row>
    <row r="24" ht="31.5" customHeight="1" spans="1:19" x14ac:dyDescent="0.25">
      <c r="A24" s="5" t="s">
        <v>850</v>
      </c>
      <c r="B24" s="6" t="s">
        <v>851</v>
      </c>
      <c r="C24" s="6"/>
      <c r="D24" s="5" t="s">
        <v>29</v>
      </c>
      <c r="E24" s="5" t="s">
        <v>11</v>
      </c>
      <c r="F24" s="5" t="s">
        <v>11</v>
      </c>
      <c r="G24" s="5" t="s">
        <v>11</v>
      </c>
      <c r="H24" s="7">
        <v>1</v>
      </c>
      <c r="I24" s="8">
        <v>150000</v>
      </c>
      <c r="J24" s="8"/>
      <c r="K24" s="8">
        <v>0</v>
      </c>
      <c r="L24" s="8">
        <v>0</v>
      </c>
      <c r="M24" s="8"/>
      <c r="N24" s="8">
        <f>I24-L24</f>
        <v>150000</v>
      </c>
      <c r="O24" s="8">
        <v>0</v>
      </c>
      <c r="P24" s="8">
        <v>0</v>
      </c>
      <c r="Q24" s="8"/>
      <c r="R24" s="8">
        <v>0</v>
      </c>
      <c r="S24" s="8">
        <v>0</v>
      </c>
    </row>
    <row r="25" ht="31.5" customHeight="1" spans="1:19" x14ac:dyDescent="0.25">
      <c r="A25" s="5" t="s">
        <v>852</v>
      </c>
      <c r="B25" s="6" t="s">
        <v>853</v>
      </c>
      <c r="C25" s="6"/>
      <c r="D25" s="5" t="s">
        <v>29</v>
      </c>
      <c r="E25" s="5" t="s">
        <v>11</v>
      </c>
      <c r="F25" s="5" t="s">
        <v>11</v>
      </c>
      <c r="G25" s="5" t="s">
        <v>11</v>
      </c>
      <c r="H25" s="7">
        <v>2</v>
      </c>
      <c r="I25" s="8">
        <v>30000</v>
      </c>
      <c r="J25" s="8"/>
      <c r="K25" s="8">
        <v>0</v>
      </c>
      <c r="L25" s="8">
        <v>9055.54</v>
      </c>
      <c r="M25" s="8"/>
      <c r="N25" s="8">
        <f>I25-L25</f>
        <v>20944.46</v>
      </c>
      <c r="O25" s="8">
        <v>0</v>
      </c>
      <c r="P25" s="8">
        <v>0</v>
      </c>
      <c r="Q25" s="8"/>
      <c r="R25" s="8">
        <v>0</v>
      </c>
      <c r="S25" s="8">
        <v>0</v>
      </c>
    </row>
    <row r="26" ht="31.5" customHeight="1" spans="1:19" x14ac:dyDescent="0.25">
      <c r="A26" s="5" t="s">
        <v>854</v>
      </c>
      <c r="B26" s="6" t="s">
        <v>855</v>
      </c>
      <c r="C26" s="6"/>
      <c r="D26" s="5" t="s">
        <v>29</v>
      </c>
      <c r="E26" s="5" t="s">
        <v>11</v>
      </c>
      <c r="F26" s="5" t="s">
        <v>11</v>
      </c>
      <c r="G26" s="5" t="s">
        <v>11</v>
      </c>
      <c r="H26" s="7">
        <v>2</v>
      </c>
      <c r="I26" s="8">
        <v>30000</v>
      </c>
      <c r="J26" s="8"/>
      <c r="K26" s="8">
        <v>0</v>
      </c>
      <c r="L26" s="8">
        <v>9055.54</v>
      </c>
      <c r="M26" s="8"/>
      <c r="N26" s="8">
        <f>I26-L26</f>
        <v>20944.46</v>
      </c>
      <c r="O26" s="8">
        <v>0</v>
      </c>
      <c r="P26" s="8">
        <v>0</v>
      </c>
      <c r="Q26" s="8"/>
      <c r="R26" s="8">
        <v>0</v>
      </c>
      <c r="S26" s="8">
        <v>0</v>
      </c>
    </row>
    <row r="27" ht="31.5" customHeight="1" spans="1:19" x14ac:dyDescent="0.25">
      <c r="A27" s="5" t="s">
        <v>856</v>
      </c>
      <c r="B27" s="6" t="s">
        <v>857</v>
      </c>
      <c r="C27" s="6"/>
      <c r="D27" s="5" t="s">
        <v>29</v>
      </c>
      <c r="E27" s="5" t="s">
        <v>11</v>
      </c>
      <c r="F27" s="5" t="s">
        <v>11</v>
      </c>
      <c r="G27" s="5" t="s">
        <v>11</v>
      </c>
      <c r="H27" s="7">
        <v>4</v>
      </c>
      <c r="I27" s="8">
        <v>120000</v>
      </c>
      <c r="J27" s="8"/>
      <c r="K27" s="8">
        <v>0</v>
      </c>
      <c r="L27" s="8">
        <v>0</v>
      </c>
      <c r="M27" s="8"/>
      <c r="N27" s="8">
        <f>I27-L27</f>
        <v>120000</v>
      </c>
      <c r="O27" s="8">
        <v>0</v>
      </c>
      <c r="P27" s="8">
        <v>0</v>
      </c>
      <c r="Q27" s="8"/>
      <c r="R27" s="8">
        <v>0</v>
      </c>
      <c r="S27" s="8">
        <v>0</v>
      </c>
    </row>
    <row r="28" ht="31.5" customHeight="1" spans="1:19" x14ac:dyDescent="0.25">
      <c r="A28" s="5" t="s">
        <v>858</v>
      </c>
      <c r="B28" s="6" t="s">
        <v>859</v>
      </c>
      <c r="C28" s="6"/>
      <c r="D28" s="5" t="s">
        <v>29</v>
      </c>
      <c r="E28" s="5" t="s">
        <v>11</v>
      </c>
      <c r="F28" s="5" t="s">
        <v>11</v>
      </c>
      <c r="G28" s="5" t="s">
        <v>11</v>
      </c>
      <c r="H28" s="7">
        <v>1</v>
      </c>
      <c r="I28" s="8">
        <v>80000</v>
      </c>
      <c r="J28" s="8"/>
      <c r="K28" s="8">
        <v>0</v>
      </c>
      <c r="L28" s="8">
        <v>45000</v>
      </c>
      <c r="M28" s="8"/>
      <c r="N28" s="8">
        <f>I28-L28</f>
        <v>35000</v>
      </c>
      <c r="O28" s="8">
        <v>0</v>
      </c>
      <c r="P28" s="8">
        <v>0</v>
      </c>
      <c r="Q28" s="8"/>
      <c r="R28" s="8">
        <v>0</v>
      </c>
      <c r="S28" s="8">
        <v>0</v>
      </c>
    </row>
    <row r="29" ht="31.5" customHeight="1" spans="1:19" x14ac:dyDescent="0.25">
      <c r="A29" s="5" t="s">
        <v>860</v>
      </c>
      <c r="B29" s="6" t="s">
        <v>861</v>
      </c>
      <c r="C29" s="6"/>
      <c r="D29" s="5" t="s">
        <v>29</v>
      </c>
      <c r="E29" s="5" t="s">
        <v>11</v>
      </c>
      <c r="F29" s="5" t="s">
        <v>11</v>
      </c>
      <c r="G29" s="5" t="s">
        <v>11</v>
      </c>
      <c r="H29" s="7">
        <v>1</v>
      </c>
      <c r="I29" s="8">
        <v>45000</v>
      </c>
      <c r="J29" s="8"/>
      <c r="K29" s="8">
        <v>0</v>
      </c>
      <c r="L29" s="8">
        <v>0</v>
      </c>
      <c r="M29" s="8"/>
      <c r="N29" s="8">
        <f>I29-L29</f>
        <v>45000</v>
      </c>
      <c r="O29" s="8">
        <v>0</v>
      </c>
      <c r="P29" s="8">
        <v>0</v>
      </c>
      <c r="Q29" s="8"/>
      <c r="R29" s="8">
        <v>0</v>
      </c>
      <c r="S29" s="8">
        <v>0</v>
      </c>
    </row>
    <row r="30" ht="31.5" customHeight="1" spans="1:19" x14ac:dyDescent="0.25">
      <c r="A30" s="5" t="s">
        <v>862</v>
      </c>
      <c r="B30" s="6" t="s">
        <v>863</v>
      </c>
      <c r="C30" s="6"/>
      <c r="D30" s="5" t="s">
        <v>29</v>
      </c>
      <c r="E30" s="5" t="s">
        <v>11</v>
      </c>
      <c r="F30" s="5" t="s">
        <v>11</v>
      </c>
      <c r="G30" s="5" t="s">
        <v>11</v>
      </c>
      <c r="H30" s="7">
        <v>2</v>
      </c>
      <c r="I30" s="8">
        <v>45000</v>
      </c>
      <c r="J30" s="8"/>
      <c r="K30" s="8">
        <v>0</v>
      </c>
      <c r="L30" s="8">
        <v>2087.18</v>
      </c>
      <c r="M30" s="8"/>
      <c r="N30" s="8">
        <f>I30-L30</f>
        <v>42912.82</v>
      </c>
      <c r="O30" s="8">
        <v>0</v>
      </c>
      <c r="P30" s="8">
        <v>0</v>
      </c>
      <c r="Q30" s="8"/>
      <c r="R30" s="8">
        <v>0</v>
      </c>
      <c r="S30" s="8">
        <v>0</v>
      </c>
    </row>
    <row r="31" ht="31.5" customHeight="1" spans="1:19" x14ac:dyDescent="0.25">
      <c r="A31" s="5" t="s">
        <v>864</v>
      </c>
      <c r="B31" s="6" t="s">
        <v>865</v>
      </c>
      <c r="C31" s="6"/>
      <c r="D31" s="5" t="s">
        <v>29</v>
      </c>
      <c r="E31" s="5" t="s">
        <v>11</v>
      </c>
      <c r="F31" s="5" t="s">
        <v>11</v>
      </c>
      <c r="G31" s="5" t="s">
        <v>11</v>
      </c>
      <c r="H31" s="7">
        <v>1</v>
      </c>
      <c r="I31" s="8">
        <v>25000</v>
      </c>
      <c r="J31" s="8"/>
      <c r="K31" s="8">
        <v>0</v>
      </c>
      <c r="L31" s="8">
        <v>0</v>
      </c>
      <c r="M31" s="8"/>
      <c r="N31" s="8">
        <f>I31-L31</f>
        <v>25000</v>
      </c>
      <c r="O31" s="8">
        <v>0</v>
      </c>
      <c r="P31" s="8">
        <v>0</v>
      </c>
      <c r="Q31" s="8"/>
      <c r="R31" s="8">
        <v>0</v>
      </c>
      <c r="S31" s="8">
        <v>0</v>
      </c>
    </row>
    <row r="32" ht="31.5" customHeight="1" spans="1:19" x14ac:dyDescent="0.25">
      <c r="A32" s="5" t="s">
        <v>866</v>
      </c>
      <c r="B32" s="6" t="s">
        <v>867</v>
      </c>
      <c r="C32" s="6"/>
      <c r="D32" s="5" t="s">
        <v>29</v>
      </c>
      <c r="E32" s="5" t="s">
        <v>11</v>
      </c>
      <c r="F32" s="5" t="s">
        <v>11</v>
      </c>
      <c r="G32" s="5" t="s">
        <v>11</v>
      </c>
      <c r="H32" s="7">
        <v>2</v>
      </c>
      <c r="I32" s="8">
        <v>27000</v>
      </c>
      <c r="J32" s="8"/>
      <c r="K32" s="8">
        <v>0</v>
      </c>
      <c r="L32" s="8">
        <v>14200</v>
      </c>
      <c r="M32" s="8"/>
      <c r="N32" s="8">
        <f>I32-L32</f>
        <v>12800</v>
      </c>
      <c r="O32" s="8">
        <v>0</v>
      </c>
      <c r="P32" s="8">
        <v>0</v>
      </c>
      <c r="Q32" s="8"/>
      <c r="R32" s="8">
        <v>0</v>
      </c>
      <c r="S32" s="8">
        <v>0</v>
      </c>
    </row>
    <row r="33" ht="31.5" customHeight="1" spans="1:19" x14ac:dyDescent="0.25">
      <c r="A33" s="5" t="s">
        <v>868</v>
      </c>
      <c r="B33" s="6" t="s">
        <v>869</v>
      </c>
      <c r="C33" s="6"/>
      <c r="D33" s="5" t="s">
        <v>29</v>
      </c>
      <c r="E33" s="5" t="s">
        <v>11</v>
      </c>
      <c r="F33" s="5" t="s">
        <v>11</v>
      </c>
      <c r="G33" s="5" t="s">
        <v>11</v>
      </c>
      <c r="H33" s="7">
        <v>3</v>
      </c>
      <c r="I33" s="8">
        <v>95000</v>
      </c>
      <c r="J33" s="8"/>
      <c r="K33" s="8">
        <v>0</v>
      </c>
      <c r="L33" s="8">
        <v>0</v>
      </c>
      <c r="M33" s="8"/>
      <c r="N33" s="8">
        <f>I33-L33</f>
        <v>95000</v>
      </c>
      <c r="O33" s="8">
        <v>0</v>
      </c>
      <c r="P33" s="8">
        <v>0</v>
      </c>
      <c r="Q33" s="8"/>
      <c r="R33" s="8">
        <v>0</v>
      </c>
      <c r="S33" s="8">
        <v>0</v>
      </c>
    </row>
    <row r="34" ht="31.5" customHeight="1" spans="1:19" x14ac:dyDescent="0.25">
      <c r="A34" s="5" t="s">
        <v>870</v>
      </c>
      <c r="B34" s="6" t="s">
        <v>871</v>
      </c>
      <c r="C34" s="6"/>
      <c r="D34" s="5" t="s">
        <v>29</v>
      </c>
      <c r="E34" s="5" t="s">
        <v>11</v>
      </c>
      <c r="F34" s="5" t="s">
        <v>11</v>
      </c>
      <c r="G34" s="5" t="s">
        <v>11</v>
      </c>
      <c r="H34" s="7">
        <v>2</v>
      </c>
      <c r="I34" s="8">
        <v>56000</v>
      </c>
      <c r="J34" s="8"/>
      <c r="K34" s="8">
        <v>0</v>
      </c>
      <c r="L34" s="8">
        <v>0</v>
      </c>
      <c r="M34" s="8"/>
      <c r="N34" s="8">
        <f>I34-L34</f>
        <v>56000</v>
      </c>
      <c r="O34" s="8">
        <v>0</v>
      </c>
      <c r="P34" s="8">
        <v>0</v>
      </c>
      <c r="Q34" s="8"/>
      <c r="R34" s="8">
        <v>0</v>
      </c>
      <c r="S34" s="8">
        <v>0</v>
      </c>
    </row>
    <row r="35" ht="31.5" customHeight="1" spans="1:19" x14ac:dyDescent="0.25">
      <c r="A35" s="5" t="s">
        <v>872</v>
      </c>
      <c r="B35" s="6" t="s">
        <v>873</v>
      </c>
      <c r="C35" s="6"/>
      <c r="D35" s="5" t="s">
        <v>29</v>
      </c>
      <c r="E35" s="5" t="s">
        <v>11</v>
      </c>
      <c r="F35" s="5" t="s">
        <v>11</v>
      </c>
      <c r="G35" s="5" t="s">
        <v>11</v>
      </c>
      <c r="H35" s="7">
        <v>2</v>
      </c>
      <c r="I35" s="8">
        <v>65000</v>
      </c>
      <c r="J35" s="8"/>
      <c r="K35" s="8">
        <v>0</v>
      </c>
      <c r="L35" s="8">
        <v>4527.77</v>
      </c>
      <c r="M35" s="8"/>
      <c r="N35" s="8">
        <f>I35-L35</f>
        <v>60472.229999999996</v>
      </c>
      <c r="O35" s="8">
        <v>0</v>
      </c>
      <c r="P35" s="8">
        <v>0</v>
      </c>
      <c r="Q35" s="8"/>
      <c r="R35" s="8">
        <v>0</v>
      </c>
      <c r="S35" s="8">
        <v>0</v>
      </c>
    </row>
    <row r="36" ht="31.5" customHeight="1" spans="1:19" x14ac:dyDescent="0.25">
      <c r="A36" s="5" t="s">
        <v>874</v>
      </c>
      <c r="B36" s="6" t="s">
        <v>875</v>
      </c>
      <c r="C36" s="6"/>
      <c r="D36" s="5" t="s">
        <v>29</v>
      </c>
      <c r="E36" s="5" t="s">
        <v>11</v>
      </c>
      <c r="F36" s="5" t="s">
        <v>11</v>
      </c>
      <c r="G36" s="5" t="s">
        <v>11</v>
      </c>
      <c r="H36" s="7">
        <v>1</v>
      </c>
      <c r="I36" s="8">
        <v>50000</v>
      </c>
      <c r="J36" s="8"/>
      <c r="K36" s="8">
        <v>0</v>
      </c>
      <c r="L36" s="8">
        <v>0</v>
      </c>
      <c r="M36" s="8"/>
      <c r="N36" s="8">
        <f>I36-L36</f>
        <v>50000</v>
      </c>
      <c r="O36" s="8">
        <v>0</v>
      </c>
      <c r="P36" s="8">
        <v>0</v>
      </c>
      <c r="Q36" s="8"/>
      <c r="R36" s="8">
        <v>0</v>
      </c>
      <c r="S36" s="8">
        <v>0</v>
      </c>
    </row>
    <row r="37" ht="31.5" customHeight="1" spans="1:19" x14ac:dyDescent="0.25">
      <c r="A37" s="5" t="s">
        <v>876</v>
      </c>
      <c r="B37" s="6" t="s">
        <v>877</v>
      </c>
      <c r="C37" s="6"/>
      <c r="D37" s="5" t="s">
        <v>29</v>
      </c>
      <c r="E37" s="5" t="s">
        <v>11</v>
      </c>
      <c r="F37" s="5" t="s">
        <v>11</v>
      </c>
      <c r="G37" s="5" t="s">
        <v>11</v>
      </c>
      <c r="H37" s="7">
        <v>2</v>
      </c>
      <c r="I37" s="8">
        <v>55000</v>
      </c>
      <c r="J37" s="8"/>
      <c r="K37" s="8">
        <v>0</v>
      </c>
      <c r="L37" s="8">
        <v>2087.18</v>
      </c>
      <c r="M37" s="8"/>
      <c r="N37" s="8">
        <f>I37-L37</f>
        <v>52912.82</v>
      </c>
      <c r="O37" s="8">
        <v>0</v>
      </c>
      <c r="P37" s="8">
        <v>0</v>
      </c>
      <c r="Q37" s="8"/>
      <c r="R37" s="8">
        <v>0</v>
      </c>
      <c r="S37" s="8">
        <v>0</v>
      </c>
    </row>
    <row r="38" ht="31.5" customHeight="1" spans="1:19" x14ac:dyDescent="0.25">
      <c r="A38" s="5" t="s">
        <v>878</v>
      </c>
      <c r="B38" s="6" t="s">
        <v>879</v>
      </c>
      <c r="C38" s="6"/>
      <c r="D38" s="5" t="s">
        <v>29</v>
      </c>
      <c r="E38" s="5" t="s">
        <v>11</v>
      </c>
      <c r="F38" s="5" t="s">
        <v>11</v>
      </c>
      <c r="G38" s="5" t="s">
        <v>11</v>
      </c>
      <c r="H38" s="7">
        <v>1</v>
      </c>
      <c r="I38" s="8">
        <v>50000</v>
      </c>
      <c r="J38" s="8"/>
      <c r="K38" s="8">
        <v>0</v>
      </c>
      <c r="L38" s="8">
        <v>0</v>
      </c>
      <c r="M38" s="8"/>
      <c r="N38" s="8">
        <f>I38-L38</f>
        <v>50000</v>
      </c>
      <c r="O38" s="8">
        <v>0</v>
      </c>
      <c r="P38" s="8">
        <v>0</v>
      </c>
      <c r="Q38" s="8"/>
      <c r="R38" s="8">
        <v>0</v>
      </c>
      <c r="S38" s="8">
        <v>0</v>
      </c>
    </row>
    <row r="39" ht="31.5" customHeight="1" spans="1:19" x14ac:dyDescent="0.25">
      <c r="A39" s="5" t="s">
        <v>880</v>
      </c>
      <c r="B39" s="6" t="s">
        <v>881</v>
      </c>
      <c r="C39" s="6"/>
      <c r="D39" s="5" t="s">
        <v>138</v>
      </c>
      <c r="E39" s="5" t="s">
        <v>11</v>
      </c>
      <c r="F39" s="5" t="s">
        <v>11</v>
      </c>
      <c r="G39" s="5" t="s">
        <v>11</v>
      </c>
      <c r="H39" s="7">
        <v>1</v>
      </c>
      <c r="I39" s="8">
        <v>28000</v>
      </c>
      <c r="J39" s="8"/>
      <c r="K39" s="8">
        <v>0</v>
      </c>
      <c r="L39" s="8">
        <v>0</v>
      </c>
      <c r="M39" s="8"/>
      <c r="N39" s="8">
        <f>I39-L39</f>
        <v>28000</v>
      </c>
      <c r="O39" s="8">
        <v>0</v>
      </c>
      <c r="P39" s="8">
        <v>0</v>
      </c>
      <c r="Q39" s="8"/>
      <c r="R39" s="8">
        <v>0</v>
      </c>
      <c r="S39" s="8">
        <v>0</v>
      </c>
    </row>
    <row r="40" ht="31.5" customHeight="1" spans="1:19" x14ac:dyDescent="0.25">
      <c r="A40" s="5" t="s">
        <v>882</v>
      </c>
      <c r="B40" s="6" t="s">
        <v>883</v>
      </c>
      <c r="C40" s="6"/>
      <c r="D40" s="5" t="s">
        <v>138</v>
      </c>
      <c r="E40" s="5" t="s">
        <v>11</v>
      </c>
      <c r="F40" s="5" t="s">
        <v>11</v>
      </c>
      <c r="G40" s="5" t="s">
        <v>11</v>
      </c>
      <c r="H40" s="7">
        <v>1</v>
      </c>
      <c r="I40" s="8">
        <v>35000</v>
      </c>
      <c r="J40" s="8"/>
      <c r="K40" s="8">
        <v>0</v>
      </c>
      <c r="L40" s="8">
        <v>0</v>
      </c>
      <c r="M40" s="8"/>
      <c r="N40" s="8">
        <f>I40-L40</f>
        <v>35000</v>
      </c>
      <c r="O40" s="8">
        <v>0</v>
      </c>
      <c r="P40" s="8">
        <v>0</v>
      </c>
      <c r="Q40" s="8"/>
      <c r="R40" s="8">
        <v>0</v>
      </c>
      <c r="S40" s="8">
        <v>0</v>
      </c>
    </row>
    <row r="41" ht="31.5" customHeight="1" spans="1:19" x14ac:dyDescent="0.25">
      <c r="A41" s="5" t="s">
        <v>884</v>
      </c>
      <c r="B41" s="6" t="s">
        <v>885</v>
      </c>
      <c r="C41" s="6"/>
      <c r="D41" s="5" t="s">
        <v>138</v>
      </c>
      <c r="E41" s="5" t="s">
        <v>11</v>
      </c>
      <c r="F41" s="5" t="s">
        <v>11</v>
      </c>
      <c r="G41" s="5" t="s">
        <v>11</v>
      </c>
      <c r="H41" s="7">
        <v>8</v>
      </c>
      <c r="I41" s="8">
        <v>425000</v>
      </c>
      <c r="J41" s="8"/>
      <c r="K41" s="8">
        <v>0</v>
      </c>
      <c r="L41" s="8">
        <v>35777.770000000004</v>
      </c>
      <c r="M41" s="8"/>
      <c r="N41" s="8">
        <f>I41-L41</f>
        <v>389222.23</v>
      </c>
      <c r="O41" s="8">
        <v>0</v>
      </c>
      <c r="P41" s="8">
        <v>0</v>
      </c>
      <c r="Q41" s="8"/>
      <c r="R41" s="8">
        <v>0</v>
      </c>
      <c r="S41" s="8">
        <v>0</v>
      </c>
    </row>
    <row r="42" ht="31.5" customHeight="1" spans="1:19" x14ac:dyDescent="0.25">
      <c r="A42" s="5" t="s">
        <v>886</v>
      </c>
      <c r="B42" s="6" t="s">
        <v>887</v>
      </c>
      <c r="C42" s="6"/>
      <c r="D42" s="5" t="s">
        <v>363</v>
      </c>
      <c r="E42" s="5" t="s">
        <v>11</v>
      </c>
      <c r="F42" s="5" t="s">
        <v>11</v>
      </c>
      <c r="G42" s="5" t="s">
        <v>11</v>
      </c>
      <c r="H42" s="7">
        <v>1</v>
      </c>
      <c r="I42" s="8">
        <v>40000</v>
      </c>
      <c r="J42" s="8"/>
      <c r="K42" s="8">
        <v>0</v>
      </c>
      <c r="L42" s="8">
        <v>0</v>
      </c>
      <c r="M42" s="8"/>
      <c r="N42" s="8">
        <f>I42-L42</f>
        <v>40000</v>
      </c>
      <c r="O42" s="8">
        <v>0</v>
      </c>
      <c r="P42" s="8">
        <v>0</v>
      </c>
      <c r="Q42" s="8"/>
      <c r="R42" s="8">
        <v>0</v>
      </c>
      <c r="S42" s="8">
        <v>0</v>
      </c>
    </row>
    <row r="43" ht="31.5" customHeight="1" spans="1:19" x14ac:dyDescent="0.25">
      <c r="A43" s="5" t="s">
        <v>888</v>
      </c>
      <c r="B43" s="6" t="s">
        <v>889</v>
      </c>
      <c r="C43" s="6"/>
      <c r="D43" s="5" t="s">
        <v>363</v>
      </c>
      <c r="E43" s="5" t="s">
        <v>11</v>
      </c>
      <c r="F43" s="5" t="s">
        <v>11</v>
      </c>
      <c r="G43" s="5" t="s">
        <v>11</v>
      </c>
      <c r="H43" s="7">
        <v>1</v>
      </c>
      <c r="I43" s="8">
        <v>28000</v>
      </c>
      <c r="J43" s="8"/>
      <c r="K43" s="8">
        <v>0</v>
      </c>
      <c r="L43" s="8">
        <v>0</v>
      </c>
      <c r="M43" s="8"/>
      <c r="N43" s="8">
        <f>I43-L43</f>
        <v>28000</v>
      </c>
      <c r="O43" s="8">
        <v>0</v>
      </c>
      <c r="P43" s="8">
        <v>0</v>
      </c>
      <c r="Q43" s="8"/>
      <c r="R43" s="8">
        <v>0</v>
      </c>
      <c r="S43" s="8">
        <v>0</v>
      </c>
    </row>
    <row r="44" ht="31.5" customHeight="1" spans="1:19" x14ac:dyDescent="0.25">
      <c r="A44" s="5" t="s">
        <v>890</v>
      </c>
      <c r="B44" s="6" t="s">
        <v>891</v>
      </c>
      <c r="C44" s="6"/>
      <c r="D44" s="5" t="s">
        <v>363</v>
      </c>
      <c r="E44" s="5" t="s">
        <v>11</v>
      </c>
      <c r="F44" s="5" t="s">
        <v>11</v>
      </c>
      <c r="G44" s="5" t="s">
        <v>11</v>
      </c>
      <c r="H44" s="7">
        <v>2</v>
      </c>
      <c r="I44" s="8">
        <v>40000</v>
      </c>
      <c r="J44" s="8"/>
      <c r="K44" s="8">
        <v>0</v>
      </c>
      <c r="L44" s="8">
        <v>2087.18</v>
      </c>
      <c r="M44" s="8"/>
      <c r="N44" s="8">
        <f>I44-L44</f>
        <v>37912.82</v>
      </c>
      <c r="O44" s="8">
        <v>0</v>
      </c>
      <c r="P44" s="8">
        <v>0</v>
      </c>
      <c r="Q44" s="8"/>
      <c r="R44" s="8">
        <v>0</v>
      </c>
      <c r="S44" s="8">
        <v>0</v>
      </c>
    </row>
    <row r="45" ht="31.5" customHeight="1" spans="1:19" x14ac:dyDescent="0.25">
      <c r="A45" s="5" t="s">
        <v>892</v>
      </c>
      <c r="B45" s="6" t="s">
        <v>893</v>
      </c>
      <c r="C45" s="6"/>
      <c r="D45" s="5" t="s">
        <v>363</v>
      </c>
      <c r="E45" s="5" t="s">
        <v>11</v>
      </c>
      <c r="F45" s="5" t="s">
        <v>11</v>
      </c>
      <c r="G45" s="5" t="s">
        <v>11</v>
      </c>
      <c r="H45" s="7">
        <v>1</v>
      </c>
      <c r="I45" s="8">
        <v>12000</v>
      </c>
      <c r="J45" s="8"/>
      <c r="K45" s="8">
        <v>0</v>
      </c>
      <c r="L45" s="8">
        <v>6250</v>
      </c>
      <c r="M45" s="8"/>
      <c r="N45" s="8">
        <f>I45-L45</f>
        <v>5750</v>
      </c>
      <c r="O45" s="8">
        <v>0</v>
      </c>
      <c r="P45" s="8">
        <v>0</v>
      </c>
      <c r="Q45" s="8"/>
      <c r="R45" s="8">
        <v>0</v>
      </c>
      <c r="S45" s="8">
        <v>0</v>
      </c>
    </row>
    <row r="46" ht="31.5" customHeight="1" spans="1:19" x14ac:dyDescent="0.25">
      <c r="A46" s="5" t="s">
        <v>894</v>
      </c>
      <c r="B46" s="6" t="s">
        <v>895</v>
      </c>
      <c r="C46" s="6"/>
      <c r="D46" s="5" t="s">
        <v>363</v>
      </c>
      <c r="E46" s="5" t="s">
        <v>11</v>
      </c>
      <c r="F46" s="5" t="s">
        <v>11</v>
      </c>
      <c r="G46" s="5" t="s">
        <v>11</v>
      </c>
      <c r="H46" s="7">
        <v>2</v>
      </c>
      <c r="I46" s="8">
        <v>60000</v>
      </c>
      <c r="J46" s="8"/>
      <c r="K46" s="8">
        <v>0</v>
      </c>
      <c r="L46" s="8">
        <v>0</v>
      </c>
      <c r="M46" s="8"/>
      <c r="N46" s="8">
        <f>I46-L46</f>
        <v>60000</v>
      </c>
      <c r="O46" s="8">
        <v>0</v>
      </c>
      <c r="P46" s="8">
        <v>0</v>
      </c>
      <c r="Q46" s="8"/>
      <c r="R46" s="8">
        <v>0</v>
      </c>
      <c r="S46" s="8">
        <v>0</v>
      </c>
    </row>
    <row r="47" ht="31.5" customHeight="1" spans="1:19" x14ac:dyDescent="0.25">
      <c r="A47" s="5" t="s">
        <v>896</v>
      </c>
      <c r="B47" s="6" t="s">
        <v>897</v>
      </c>
      <c r="C47" s="6"/>
      <c r="D47" s="5" t="s">
        <v>363</v>
      </c>
      <c r="E47" s="5" t="s">
        <v>11</v>
      </c>
      <c r="F47" s="5" t="s">
        <v>11</v>
      </c>
      <c r="G47" s="5" t="s">
        <v>11</v>
      </c>
      <c r="H47" s="7">
        <v>2</v>
      </c>
      <c r="I47" s="8">
        <v>100000</v>
      </c>
      <c r="J47" s="8"/>
      <c r="K47" s="8">
        <v>0</v>
      </c>
      <c r="L47" s="8">
        <v>0</v>
      </c>
      <c r="M47" s="8"/>
      <c r="N47" s="8">
        <f>I47-L47</f>
        <v>100000</v>
      </c>
      <c r="O47" s="8">
        <v>0</v>
      </c>
      <c r="P47" s="8">
        <v>0</v>
      </c>
      <c r="Q47" s="8"/>
      <c r="R47" s="8">
        <v>0</v>
      </c>
      <c r="S47" s="8">
        <v>0</v>
      </c>
    </row>
    <row r="48" ht="31.5" customHeight="1" spans="1:19" x14ac:dyDescent="0.25">
      <c r="A48" s="5" t="s">
        <v>898</v>
      </c>
      <c r="B48" s="6" t="s">
        <v>899</v>
      </c>
      <c r="C48" s="6"/>
      <c r="D48" s="5" t="s">
        <v>363</v>
      </c>
      <c r="E48" s="5" t="s">
        <v>11</v>
      </c>
      <c r="F48" s="5" t="s">
        <v>11</v>
      </c>
      <c r="G48" s="5" t="s">
        <v>11</v>
      </c>
      <c r="H48" s="7">
        <v>2</v>
      </c>
      <c r="I48" s="8">
        <v>24000</v>
      </c>
      <c r="J48" s="8"/>
      <c r="K48" s="8">
        <v>0</v>
      </c>
      <c r="L48" s="8">
        <v>12500</v>
      </c>
      <c r="M48" s="8"/>
      <c r="N48" s="8">
        <f>I48-L48</f>
        <v>11500</v>
      </c>
      <c r="O48" s="8">
        <v>0</v>
      </c>
      <c r="P48" s="8">
        <v>0</v>
      </c>
      <c r="Q48" s="8"/>
      <c r="R48" s="8">
        <v>0</v>
      </c>
      <c r="S48" s="8">
        <v>0</v>
      </c>
    </row>
    <row r="49" ht="31.5" customHeight="1" spans="1:19" x14ac:dyDescent="0.25">
      <c r="A49" s="5" t="s">
        <v>900</v>
      </c>
      <c r="B49" s="6" t="s">
        <v>901</v>
      </c>
      <c r="C49" s="6"/>
      <c r="D49" s="5" t="s">
        <v>363</v>
      </c>
      <c r="E49" s="5" t="s">
        <v>11</v>
      </c>
      <c r="F49" s="5" t="s">
        <v>11</v>
      </c>
      <c r="G49" s="5" t="s">
        <v>11</v>
      </c>
      <c r="H49" s="7">
        <v>1</v>
      </c>
      <c r="I49" s="8">
        <v>50000</v>
      </c>
      <c r="J49" s="8"/>
      <c r="K49" s="8">
        <v>0</v>
      </c>
      <c r="L49" s="8">
        <v>0</v>
      </c>
      <c r="M49" s="8"/>
      <c r="N49" s="8">
        <f>I49-L49</f>
        <v>50000</v>
      </c>
      <c r="O49" s="8">
        <v>0</v>
      </c>
      <c r="P49" s="8">
        <v>0</v>
      </c>
      <c r="Q49" s="8"/>
      <c r="R49" s="8">
        <v>0</v>
      </c>
      <c r="S49" s="8">
        <v>0</v>
      </c>
    </row>
    <row r="50" ht="31.5" customHeight="1" spans="1:19" x14ac:dyDescent="0.25">
      <c r="A50" s="5" t="s">
        <v>902</v>
      </c>
      <c r="B50" s="6" t="s">
        <v>903</v>
      </c>
      <c r="C50" s="6"/>
      <c r="D50" s="5" t="s">
        <v>363</v>
      </c>
      <c r="E50" s="5" t="s">
        <v>11</v>
      </c>
      <c r="F50" s="5" t="s">
        <v>11</v>
      </c>
      <c r="G50" s="5" t="s">
        <v>11</v>
      </c>
      <c r="H50" s="7">
        <v>1</v>
      </c>
      <c r="I50" s="8">
        <v>12000</v>
      </c>
      <c r="J50" s="8"/>
      <c r="K50" s="8">
        <v>0</v>
      </c>
      <c r="L50" s="8">
        <v>6250</v>
      </c>
      <c r="M50" s="8"/>
      <c r="N50" s="8">
        <f>I50-L50</f>
        <v>5750</v>
      </c>
      <c r="O50" s="8">
        <v>0</v>
      </c>
      <c r="P50" s="8">
        <v>0</v>
      </c>
      <c r="Q50" s="8"/>
      <c r="R50" s="8">
        <v>0</v>
      </c>
      <c r="S50" s="8">
        <v>0</v>
      </c>
    </row>
    <row r="51" ht="31.5" customHeight="1" spans="1:19" x14ac:dyDescent="0.25">
      <c r="A51" s="5" t="s">
        <v>904</v>
      </c>
      <c r="B51" s="6" t="s">
        <v>905</v>
      </c>
      <c r="C51" s="6"/>
      <c r="D51" s="5" t="s">
        <v>363</v>
      </c>
      <c r="E51" s="5" t="s">
        <v>11</v>
      </c>
      <c r="F51" s="5" t="s">
        <v>11</v>
      </c>
      <c r="G51" s="5" t="s">
        <v>11</v>
      </c>
      <c r="H51" s="7">
        <v>2</v>
      </c>
      <c r="I51" s="8">
        <v>140000</v>
      </c>
      <c r="J51" s="8"/>
      <c r="K51" s="8">
        <v>0</v>
      </c>
      <c r="L51" s="8">
        <v>58472.73</v>
      </c>
      <c r="M51" s="8"/>
      <c r="N51" s="8">
        <f>I51-L51</f>
        <v>81527.26999999999</v>
      </c>
      <c r="O51" s="8">
        <v>0</v>
      </c>
      <c r="P51" s="8">
        <v>0</v>
      </c>
      <c r="Q51" s="8"/>
      <c r="R51" s="8">
        <v>0</v>
      </c>
      <c r="S51" s="8">
        <v>0</v>
      </c>
    </row>
    <row r="52" ht="31.5" customHeight="1" spans="1:19" x14ac:dyDescent="0.25">
      <c r="A52" s="5" t="s">
        <v>906</v>
      </c>
      <c r="B52" s="6" t="s">
        <v>907</v>
      </c>
      <c r="C52" s="6"/>
      <c r="D52" s="5" t="s">
        <v>363</v>
      </c>
      <c r="E52" s="5" t="s">
        <v>11</v>
      </c>
      <c r="F52" s="5" t="s">
        <v>11</v>
      </c>
      <c r="G52" s="5" t="s">
        <v>11</v>
      </c>
      <c r="H52" s="7">
        <v>2</v>
      </c>
      <c r="I52" s="8">
        <v>50000</v>
      </c>
      <c r="J52" s="8"/>
      <c r="K52" s="8">
        <v>0</v>
      </c>
      <c r="L52" s="8">
        <v>0</v>
      </c>
      <c r="M52" s="8"/>
      <c r="N52" s="8">
        <f>I52-L52</f>
        <v>50000</v>
      </c>
      <c r="O52" s="8">
        <v>0</v>
      </c>
      <c r="P52" s="8">
        <v>0</v>
      </c>
      <c r="Q52" s="8"/>
      <c r="R52" s="8">
        <v>0</v>
      </c>
      <c r="S52" s="8">
        <v>0</v>
      </c>
    </row>
    <row r="53" ht="31.5" customHeight="1" spans="1:19" x14ac:dyDescent="0.25">
      <c r="A53" s="5" t="s">
        <v>908</v>
      </c>
      <c r="B53" s="6" t="s">
        <v>909</v>
      </c>
      <c r="C53" s="6"/>
      <c r="D53" s="5" t="s">
        <v>363</v>
      </c>
      <c r="E53" s="5" t="s">
        <v>11</v>
      </c>
      <c r="F53" s="5" t="s">
        <v>11</v>
      </c>
      <c r="G53" s="5" t="s">
        <v>11</v>
      </c>
      <c r="H53" s="7">
        <v>1</v>
      </c>
      <c r="I53" s="8">
        <v>40000</v>
      </c>
      <c r="J53" s="8"/>
      <c r="K53" s="8">
        <v>0</v>
      </c>
      <c r="L53" s="8">
        <v>0</v>
      </c>
      <c r="M53" s="8"/>
      <c r="N53" s="8">
        <f>I53-L53</f>
        <v>40000</v>
      </c>
      <c r="O53" s="8">
        <v>0</v>
      </c>
      <c r="P53" s="8">
        <v>0</v>
      </c>
      <c r="Q53" s="8"/>
      <c r="R53" s="8">
        <v>0</v>
      </c>
      <c r="S53" s="8">
        <v>0</v>
      </c>
    </row>
    <row r="54" ht="31.5" customHeight="1" spans="1:19" x14ac:dyDescent="0.25">
      <c r="A54" s="5" t="s">
        <v>910</v>
      </c>
      <c r="B54" s="6" t="s">
        <v>911</v>
      </c>
      <c r="C54" s="6"/>
      <c r="D54" s="5" t="s">
        <v>363</v>
      </c>
      <c r="E54" s="5" t="s">
        <v>11</v>
      </c>
      <c r="F54" s="5" t="s">
        <v>11</v>
      </c>
      <c r="G54" s="5" t="s">
        <v>11</v>
      </c>
      <c r="H54" s="7">
        <v>2</v>
      </c>
      <c r="I54" s="8">
        <v>300000</v>
      </c>
      <c r="J54" s="8"/>
      <c r="K54" s="8">
        <v>0</v>
      </c>
      <c r="L54" s="8">
        <v>0</v>
      </c>
      <c r="M54" s="8"/>
      <c r="N54" s="8">
        <f>I54-L54</f>
        <v>300000</v>
      </c>
      <c r="O54" s="8">
        <v>0</v>
      </c>
      <c r="P54" s="8">
        <v>0</v>
      </c>
      <c r="Q54" s="8"/>
      <c r="R54" s="8">
        <v>0</v>
      </c>
      <c r="S54" s="8">
        <v>0</v>
      </c>
    </row>
    <row r="55" ht="31.5" customHeight="1" spans="1:19" x14ac:dyDescent="0.25">
      <c r="A55" s="5" t="s">
        <v>912</v>
      </c>
      <c r="B55" s="6" t="s">
        <v>913</v>
      </c>
      <c r="C55" s="6"/>
      <c r="D55" s="5" t="s">
        <v>363</v>
      </c>
      <c r="E55" s="5" t="s">
        <v>11</v>
      </c>
      <c r="F55" s="5" t="s">
        <v>11</v>
      </c>
      <c r="G55" s="5" t="s">
        <v>11</v>
      </c>
      <c r="H55" s="7">
        <v>6</v>
      </c>
      <c r="I55" s="8">
        <v>72000</v>
      </c>
      <c r="J55" s="8"/>
      <c r="K55" s="8">
        <v>0</v>
      </c>
      <c r="L55" s="8">
        <v>37500</v>
      </c>
      <c r="M55" s="8"/>
      <c r="N55" s="8">
        <f>I55-L55</f>
        <v>34500</v>
      </c>
      <c r="O55" s="8">
        <v>0</v>
      </c>
      <c r="P55" s="8">
        <v>0</v>
      </c>
      <c r="Q55" s="8"/>
      <c r="R55" s="8">
        <v>0</v>
      </c>
      <c r="S55" s="8">
        <v>0</v>
      </c>
    </row>
    <row r="56" ht="31.5" customHeight="1" spans="1:19" x14ac:dyDescent="0.25">
      <c r="A56" s="5" t="s">
        <v>914</v>
      </c>
      <c r="B56" s="6" t="s">
        <v>915</v>
      </c>
      <c r="C56" s="6"/>
      <c r="D56" s="5" t="s">
        <v>363</v>
      </c>
      <c r="E56" s="5" t="s">
        <v>11</v>
      </c>
      <c r="F56" s="5" t="s">
        <v>11</v>
      </c>
      <c r="G56" s="5" t="s">
        <v>11</v>
      </c>
      <c r="H56" s="7">
        <v>3</v>
      </c>
      <c r="I56" s="8">
        <v>63000</v>
      </c>
      <c r="J56" s="8"/>
      <c r="K56" s="8">
        <v>0</v>
      </c>
      <c r="L56" s="8">
        <v>2087.18</v>
      </c>
      <c r="M56" s="8"/>
      <c r="N56" s="8">
        <f>I56-L56</f>
        <v>60912.82</v>
      </c>
      <c r="O56" s="8">
        <v>0</v>
      </c>
      <c r="P56" s="8">
        <v>0</v>
      </c>
      <c r="Q56" s="8"/>
      <c r="R56" s="8">
        <v>0</v>
      </c>
      <c r="S56" s="8">
        <v>0</v>
      </c>
    </row>
    <row r="57" ht="31.5" customHeight="1" spans="1:19" x14ac:dyDescent="0.25">
      <c r="A57" s="5" t="s">
        <v>916</v>
      </c>
      <c r="B57" s="6" t="s">
        <v>917</v>
      </c>
      <c r="C57" s="6"/>
      <c r="D57" s="5" t="s">
        <v>363</v>
      </c>
      <c r="E57" s="5" t="s">
        <v>11</v>
      </c>
      <c r="F57" s="5" t="s">
        <v>11</v>
      </c>
      <c r="G57" s="5" t="s">
        <v>11</v>
      </c>
      <c r="H57" s="7">
        <v>3</v>
      </c>
      <c r="I57" s="8">
        <v>150000</v>
      </c>
      <c r="J57" s="8"/>
      <c r="K57" s="8">
        <v>0</v>
      </c>
      <c r="L57" s="8">
        <v>59437.32</v>
      </c>
      <c r="M57" s="8"/>
      <c r="N57" s="8">
        <f>I57-L57</f>
        <v>90562.68</v>
      </c>
      <c r="O57" s="8">
        <v>0</v>
      </c>
      <c r="P57" s="8">
        <v>0</v>
      </c>
      <c r="Q57" s="8"/>
      <c r="R57" s="8">
        <v>0</v>
      </c>
      <c r="S57" s="8">
        <v>0</v>
      </c>
    </row>
    <row r="58" ht="31.5" customHeight="1" spans="1:19" x14ac:dyDescent="0.25">
      <c r="A58" s="5" t="s">
        <v>918</v>
      </c>
      <c r="B58" s="6" t="s">
        <v>919</v>
      </c>
      <c r="C58" s="6"/>
      <c r="D58" s="5" t="s">
        <v>363</v>
      </c>
      <c r="E58" s="5" t="s">
        <v>11</v>
      </c>
      <c r="F58" s="5" t="s">
        <v>11</v>
      </c>
      <c r="G58" s="5" t="s">
        <v>11</v>
      </c>
      <c r="H58" s="7">
        <v>2</v>
      </c>
      <c r="I58" s="8">
        <v>50000</v>
      </c>
      <c r="J58" s="8"/>
      <c r="K58" s="8">
        <v>0</v>
      </c>
      <c r="L58" s="8">
        <v>29527.77</v>
      </c>
      <c r="M58" s="8"/>
      <c r="N58" s="8">
        <f>I58-L58</f>
        <v>20472.23</v>
      </c>
      <c r="O58" s="8">
        <v>0</v>
      </c>
      <c r="P58" s="8">
        <v>0</v>
      </c>
      <c r="Q58" s="8"/>
      <c r="R58" s="8">
        <v>0</v>
      </c>
      <c r="S58" s="8">
        <v>0</v>
      </c>
    </row>
    <row r="59" ht="31.5" customHeight="1" spans="1:19" x14ac:dyDescent="0.25">
      <c r="A59" s="5" t="s">
        <v>920</v>
      </c>
      <c r="B59" s="6" t="s">
        <v>921</v>
      </c>
      <c r="C59" s="6"/>
      <c r="D59" s="5" t="s">
        <v>363</v>
      </c>
      <c r="E59" s="5" t="s">
        <v>11</v>
      </c>
      <c r="F59" s="5" t="s">
        <v>11</v>
      </c>
      <c r="G59" s="5" t="s">
        <v>11</v>
      </c>
      <c r="H59" s="7">
        <v>1</v>
      </c>
      <c r="I59" s="8">
        <v>50000</v>
      </c>
      <c r="J59" s="8"/>
      <c r="K59" s="8">
        <v>0</v>
      </c>
      <c r="L59" s="8">
        <v>0</v>
      </c>
      <c r="M59" s="8"/>
      <c r="N59" s="8">
        <f>I59-L59</f>
        <v>50000</v>
      </c>
      <c r="O59" s="8">
        <v>0</v>
      </c>
      <c r="P59" s="8">
        <v>0</v>
      </c>
      <c r="Q59" s="8"/>
      <c r="R59" s="8">
        <v>0</v>
      </c>
      <c r="S59" s="8">
        <v>0</v>
      </c>
    </row>
    <row r="60" ht="31.5" customHeight="1" spans="1:19" x14ac:dyDescent="0.25">
      <c r="A60" s="5" t="s">
        <v>922</v>
      </c>
      <c r="B60" s="6" t="s">
        <v>923</v>
      </c>
      <c r="C60" s="6"/>
      <c r="D60" s="5" t="s">
        <v>363</v>
      </c>
      <c r="E60" s="5" t="s">
        <v>11</v>
      </c>
      <c r="F60" s="5" t="s">
        <v>11</v>
      </c>
      <c r="G60" s="5" t="s">
        <v>11</v>
      </c>
      <c r="H60" s="7">
        <v>1</v>
      </c>
      <c r="I60" s="8">
        <v>50000</v>
      </c>
      <c r="J60" s="8"/>
      <c r="K60" s="8">
        <v>0</v>
      </c>
      <c r="L60" s="8">
        <v>0</v>
      </c>
      <c r="M60" s="8"/>
      <c r="N60" s="8">
        <f>I60-L60</f>
        <v>50000</v>
      </c>
      <c r="O60" s="8">
        <v>0</v>
      </c>
      <c r="P60" s="8">
        <v>0</v>
      </c>
      <c r="Q60" s="8"/>
      <c r="R60" s="8">
        <v>0</v>
      </c>
      <c r="S60" s="8">
        <v>0</v>
      </c>
    </row>
    <row r="61" ht="31.5" customHeight="1" spans="1:19" x14ac:dyDescent="0.25">
      <c r="A61" s="5" t="s">
        <v>924</v>
      </c>
      <c r="B61" s="6" t="s">
        <v>925</v>
      </c>
      <c r="C61" s="6"/>
      <c r="D61" s="5" t="s">
        <v>363</v>
      </c>
      <c r="E61" s="5" t="s">
        <v>11</v>
      </c>
      <c r="F61" s="5" t="s">
        <v>11</v>
      </c>
      <c r="G61" s="5" t="s">
        <v>11</v>
      </c>
      <c r="H61" s="7">
        <v>3</v>
      </c>
      <c r="I61" s="8">
        <v>70000</v>
      </c>
      <c r="J61" s="8"/>
      <c r="K61" s="8">
        <v>0</v>
      </c>
      <c r="L61" s="8">
        <v>2087.18</v>
      </c>
      <c r="M61" s="8"/>
      <c r="N61" s="8">
        <f>I61-L61</f>
        <v>67912.82</v>
      </c>
      <c r="O61" s="8">
        <v>0</v>
      </c>
      <c r="P61" s="8">
        <v>0</v>
      </c>
      <c r="Q61" s="8"/>
      <c r="R61" s="8">
        <v>0</v>
      </c>
      <c r="S61" s="8">
        <v>0</v>
      </c>
    </row>
    <row r="62" ht="31.5" customHeight="1" spans="1:19" x14ac:dyDescent="0.25">
      <c r="A62" s="5" t="s">
        <v>926</v>
      </c>
      <c r="B62" s="6" t="s">
        <v>927</v>
      </c>
      <c r="C62" s="6"/>
      <c r="D62" s="5" t="s">
        <v>363</v>
      </c>
      <c r="E62" s="5" t="s">
        <v>11</v>
      </c>
      <c r="F62" s="5" t="s">
        <v>11</v>
      </c>
      <c r="G62" s="5" t="s">
        <v>11</v>
      </c>
      <c r="H62" s="7">
        <v>1</v>
      </c>
      <c r="I62" s="8">
        <v>50000</v>
      </c>
      <c r="J62" s="8"/>
      <c r="K62" s="8">
        <v>0</v>
      </c>
      <c r="L62" s="8">
        <v>0</v>
      </c>
      <c r="M62" s="8"/>
      <c r="N62" s="8">
        <f>I62-L62</f>
        <v>50000</v>
      </c>
      <c r="O62" s="8">
        <v>0</v>
      </c>
      <c r="P62" s="8">
        <v>0</v>
      </c>
      <c r="Q62" s="8"/>
      <c r="R62" s="8">
        <v>0</v>
      </c>
      <c r="S62" s="8">
        <v>0</v>
      </c>
    </row>
    <row r="63" ht="31.5" customHeight="1" spans="1:19" x14ac:dyDescent="0.25">
      <c r="A63" s="5" t="s">
        <v>928</v>
      </c>
      <c r="B63" s="6" t="s">
        <v>929</v>
      </c>
      <c r="C63" s="6"/>
      <c r="D63" s="5" t="s">
        <v>363</v>
      </c>
      <c r="E63" s="5" t="s">
        <v>11</v>
      </c>
      <c r="F63" s="5" t="s">
        <v>11</v>
      </c>
      <c r="G63" s="5" t="s">
        <v>11</v>
      </c>
      <c r="H63" s="7">
        <v>3</v>
      </c>
      <c r="I63" s="8">
        <v>550000</v>
      </c>
      <c r="J63" s="8"/>
      <c r="K63" s="8">
        <v>0</v>
      </c>
      <c r="L63" s="8">
        <v>0</v>
      </c>
      <c r="M63" s="8"/>
      <c r="N63" s="8">
        <f>I63-L63</f>
        <v>550000</v>
      </c>
      <c r="O63" s="8">
        <v>0</v>
      </c>
      <c r="P63" s="8">
        <v>0</v>
      </c>
      <c r="Q63" s="8"/>
      <c r="R63" s="8">
        <v>0</v>
      </c>
      <c r="S63" s="8">
        <v>0</v>
      </c>
    </row>
    <row r="64" ht="31.5" customHeight="1" spans="1:19" x14ac:dyDescent="0.25">
      <c r="A64" s="5" t="s">
        <v>930</v>
      </c>
      <c r="B64" s="6" t="s">
        <v>931</v>
      </c>
      <c r="C64" s="6"/>
      <c r="D64" s="5" t="s">
        <v>363</v>
      </c>
      <c r="E64" s="5" t="s">
        <v>11</v>
      </c>
      <c r="F64" s="5" t="s">
        <v>11</v>
      </c>
      <c r="G64" s="5" t="s">
        <v>11</v>
      </c>
      <c r="H64" s="7">
        <v>6</v>
      </c>
      <c r="I64" s="8">
        <v>950000</v>
      </c>
      <c r="J64" s="8"/>
      <c r="K64" s="8">
        <v>0</v>
      </c>
      <c r="L64" s="8">
        <v>0</v>
      </c>
      <c r="M64" s="8"/>
      <c r="N64" s="8">
        <f>I64-L64</f>
        <v>950000</v>
      </c>
      <c r="O64" s="8">
        <v>0</v>
      </c>
      <c r="P64" s="8">
        <v>0</v>
      </c>
      <c r="Q64" s="8"/>
      <c r="R64" s="8">
        <v>0</v>
      </c>
      <c r="S64" s="8">
        <v>0</v>
      </c>
    </row>
    <row r="65" ht="31.5" customHeight="1" spans="1:19" x14ac:dyDescent="0.25">
      <c r="A65" s="5" t="s">
        <v>932</v>
      </c>
      <c r="B65" s="6" t="s">
        <v>933</v>
      </c>
      <c r="C65" s="6"/>
      <c r="D65" s="5" t="s">
        <v>363</v>
      </c>
      <c r="E65" s="5" t="s">
        <v>11</v>
      </c>
      <c r="F65" s="5" t="s">
        <v>11</v>
      </c>
      <c r="G65" s="5" t="s">
        <v>11</v>
      </c>
      <c r="H65" s="7">
        <v>14</v>
      </c>
      <c r="I65" s="8">
        <v>256000</v>
      </c>
      <c r="J65" s="8"/>
      <c r="K65" s="8">
        <v>0</v>
      </c>
      <c r="L65" s="8">
        <v>16697.44</v>
      </c>
      <c r="M65" s="8"/>
      <c r="N65" s="8">
        <f>I65-L65</f>
        <v>239302.56</v>
      </c>
      <c r="O65" s="8">
        <v>0</v>
      </c>
      <c r="P65" s="8">
        <v>0</v>
      </c>
      <c r="Q65" s="8"/>
      <c r="R65" s="8">
        <v>0</v>
      </c>
      <c r="S65" s="8">
        <v>0</v>
      </c>
    </row>
    <row r="66" ht="31.5" customHeight="1" spans="1:19" x14ac:dyDescent="0.25">
      <c r="A66" s="5" t="s">
        <v>934</v>
      </c>
      <c r="B66" s="6" t="s">
        <v>935</v>
      </c>
      <c r="C66" s="6"/>
      <c r="D66" s="5" t="s">
        <v>363</v>
      </c>
      <c r="E66" s="5" t="s">
        <v>11</v>
      </c>
      <c r="F66" s="5" t="s">
        <v>11</v>
      </c>
      <c r="G66" s="5" t="s">
        <v>11</v>
      </c>
      <c r="H66" s="7">
        <v>1</v>
      </c>
      <c r="I66" s="8">
        <v>50000</v>
      </c>
      <c r="J66" s="8"/>
      <c r="K66" s="8">
        <v>0</v>
      </c>
      <c r="L66" s="8">
        <v>0</v>
      </c>
      <c r="M66" s="8"/>
      <c r="N66" s="8">
        <f>I66-L66</f>
        <v>50000</v>
      </c>
      <c r="O66" s="8">
        <v>0</v>
      </c>
      <c r="P66" s="8">
        <v>0</v>
      </c>
      <c r="Q66" s="8"/>
      <c r="R66" s="8">
        <v>0</v>
      </c>
      <c r="S66" s="8">
        <v>0</v>
      </c>
    </row>
    <row r="67" ht="31.5" customHeight="1" spans="1:19" x14ac:dyDescent="0.25">
      <c r="A67" s="5" t="s">
        <v>936</v>
      </c>
      <c r="B67" s="6" t="s">
        <v>937</v>
      </c>
      <c r="C67" s="6"/>
      <c r="D67" s="5" t="s">
        <v>363</v>
      </c>
      <c r="E67" s="5" t="s">
        <v>11</v>
      </c>
      <c r="F67" s="5" t="s">
        <v>11</v>
      </c>
      <c r="G67" s="5" t="s">
        <v>11</v>
      </c>
      <c r="H67" s="7">
        <v>1</v>
      </c>
      <c r="I67" s="8">
        <v>275000</v>
      </c>
      <c r="J67" s="8"/>
      <c r="K67" s="8">
        <v>0</v>
      </c>
      <c r="L67" s="8">
        <v>0</v>
      </c>
      <c r="M67" s="8"/>
      <c r="N67" s="8">
        <f>I67-L67</f>
        <v>275000</v>
      </c>
      <c r="O67" s="8">
        <v>0</v>
      </c>
      <c r="P67" s="8">
        <v>0</v>
      </c>
      <c r="Q67" s="8"/>
      <c r="R67" s="8">
        <v>0</v>
      </c>
      <c r="S67" s="8">
        <v>0</v>
      </c>
    </row>
    <row r="68" ht="31.5" customHeight="1" spans="1:19" x14ac:dyDescent="0.25">
      <c r="A68" s="5" t="s">
        <v>938</v>
      </c>
      <c r="B68" s="6" t="s">
        <v>939</v>
      </c>
      <c r="C68" s="6"/>
      <c r="D68" s="5" t="s">
        <v>138</v>
      </c>
      <c r="E68" s="5" t="s">
        <v>11</v>
      </c>
      <c r="F68" s="5" t="s">
        <v>11</v>
      </c>
      <c r="G68" s="5" t="s">
        <v>11</v>
      </c>
      <c r="H68" s="7">
        <v>1</v>
      </c>
      <c r="I68" s="8">
        <v>15000</v>
      </c>
      <c r="J68" s="8"/>
      <c r="K68" s="8">
        <v>0</v>
      </c>
      <c r="L68" s="8">
        <v>4527.77</v>
      </c>
      <c r="M68" s="8"/>
      <c r="N68" s="8">
        <f>I68-L68</f>
        <v>10472.23</v>
      </c>
      <c r="O68" s="8">
        <v>0</v>
      </c>
      <c r="P68" s="8">
        <v>0</v>
      </c>
      <c r="Q68" s="8"/>
      <c r="R68" s="8">
        <v>0</v>
      </c>
      <c r="S68" s="8">
        <v>0</v>
      </c>
    </row>
    <row r="69" ht="31.5" customHeight="1" spans="1:19" x14ac:dyDescent="0.25">
      <c r="A69" s="5" t="s">
        <v>940</v>
      </c>
      <c r="B69" s="6" t="s">
        <v>941</v>
      </c>
      <c r="C69" s="6"/>
      <c r="D69" s="5" t="s">
        <v>138</v>
      </c>
      <c r="E69" s="5" t="s">
        <v>11</v>
      </c>
      <c r="F69" s="5" t="s">
        <v>11</v>
      </c>
      <c r="G69" s="5" t="s">
        <v>11</v>
      </c>
      <c r="H69" s="7">
        <v>1</v>
      </c>
      <c r="I69" s="8">
        <v>12000</v>
      </c>
      <c r="J69" s="8"/>
      <c r="K69" s="8">
        <v>0</v>
      </c>
      <c r="L69" s="8">
        <v>6250</v>
      </c>
      <c r="M69" s="8"/>
      <c r="N69" s="8">
        <f>I69-L69</f>
        <v>5750</v>
      </c>
      <c r="O69" s="8">
        <v>0</v>
      </c>
      <c r="P69" s="8">
        <v>0</v>
      </c>
      <c r="Q69" s="8"/>
      <c r="R69" s="8">
        <v>0</v>
      </c>
      <c r="S69" s="8">
        <v>0</v>
      </c>
    </row>
    <row r="70" ht="31.5" customHeight="1" spans="1:19" x14ac:dyDescent="0.25">
      <c r="A70" s="5" t="s">
        <v>942</v>
      </c>
      <c r="B70" s="6" t="s">
        <v>943</v>
      </c>
      <c r="C70" s="6"/>
      <c r="D70" s="5" t="s">
        <v>363</v>
      </c>
      <c r="E70" s="5" t="s">
        <v>11</v>
      </c>
      <c r="F70" s="5" t="s">
        <v>11</v>
      </c>
      <c r="G70" s="5" t="s">
        <v>11</v>
      </c>
      <c r="H70" s="7">
        <v>1</v>
      </c>
      <c r="I70" s="8">
        <v>50000</v>
      </c>
      <c r="J70" s="8"/>
      <c r="K70" s="8">
        <v>0</v>
      </c>
      <c r="L70" s="8">
        <v>0</v>
      </c>
      <c r="M70" s="8"/>
      <c r="N70" s="8">
        <f>I70-L70</f>
        <v>50000</v>
      </c>
      <c r="O70" s="8">
        <v>0</v>
      </c>
      <c r="P70" s="8">
        <v>0</v>
      </c>
      <c r="Q70" s="8"/>
      <c r="R70" s="8">
        <v>0</v>
      </c>
      <c r="S70" s="8">
        <v>0</v>
      </c>
    </row>
    <row r="71" ht="31.5" customHeight="1" spans="1:19" x14ac:dyDescent="0.25">
      <c r="A71" s="5" t="s">
        <v>944</v>
      </c>
      <c r="B71" s="6" t="s">
        <v>945</v>
      </c>
      <c r="C71" s="6"/>
      <c r="D71" s="5" t="s">
        <v>363</v>
      </c>
      <c r="E71" s="5" t="s">
        <v>11</v>
      </c>
      <c r="F71" s="5" t="s">
        <v>11</v>
      </c>
      <c r="G71" s="5" t="s">
        <v>11</v>
      </c>
      <c r="H71" s="7">
        <v>2</v>
      </c>
      <c r="I71" s="8">
        <v>160000</v>
      </c>
      <c r="J71" s="8"/>
      <c r="K71" s="8">
        <v>0</v>
      </c>
      <c r="L71" s="8">
        <v>90000</v>
      </c>
      <c r="M71" s="8"/>
      <c r="N71" s="8">
        <f>I71-L71</f>
        <v>70000</v>
      </c>
      <c r="O71" s="8">
        <v>0</v>
      </c>
      <c r="P71" s="8">
        <v>0</v>
      </c>
      <c r="Q71" s="8"/>
      <c r="R71" s="8">
        <v>0</v>
      </c>
      <c r="S71" s="8">
        <v>0</v>
      </c>
    </row>
    <row r="72" ht="31.5" customHeight="1" spans="1:19" x14ac:dyDescent="0.25">
      <c r="A72" s="5" t="s">
        <v>946</v>
      </c>
      <c r="B72" s="6" t="s">
        <v>947</v>
      </c>
      <c r="C72" s="6"/>
      <c r="D72" s="5" t="s">
        <v>363</v>
      </c>
      <c r="E72" s="5" t="s">
        <v>11</v>
      </c>
      <c r="F72" s="5" t="s">
        <v>11</v>
      </c>
      <c r="G72" s="5" t="s">
        <v>11</v>
      </c>
      <c r="H72" s="7">
        <v>4</v>
      </c>
      <c r="I72" s="8">
        <v>330000</v>
      </c>
      <c r="J72" s="8"/>
      <c r="K72" s="8">
        <v>0</v>
      </c>
      <c r="L72" s="8">
        <v>15900</v>
      </c>
      <c r="M72" s="8"/>
      <c r="N72" s="8">
        <f>I72-L72</f>
        <v>314100</v>
      </c>
      <c r="O72" s="8">
        <v>0</v>
      </c>
      <c r="P72" s="8">
        <v>0</v>
      </c>
      <c r="Q72" s="8"/>
      <c r="R72" s="8">
        <v>0</v>
      </c>
      <c r="S72" s="8">
        <v>0</v>
      </c>
    </row>
    <row r="73" ht="31.5" customHeight="1" spans="1:19" x14ac:dyDescent="0.25">
      <c r="A73" s="5" t="s">
        <v>948</v>
      </c>
      <c r="B73" s="6" t="s">
        <v>949</v>
      </c>
      <c r="C73" s="6"/>
      <c r="D73" s="5" t="s">
        <v>363</v>
      </c>
      <c r="E73" s="5" t="s">
        <v>11</v>
      </c>
      <c r="F73" s="5" t="s">
        <v>11</v>
      </c>
      <c r="G73" s="5" t="s">
        <v>11</v>
      </c>
      <c r="H73" s="7">
        <v>4</v>
      </c>
      <c r="I73" s="8">
        <v>45000</v>
      </c>
      <c r="J73" s="8"/>
      <c r="K73" s="8">
        <v>0</v>
      </c>
      <c r="L73" s="8">
        <v>10789.310000000001</v>
      </c>
      <c r="M73" s="8"/>
      <c r="N73" s="8">
        <f>I73-L73</f>
        <v>34210.69</v>
      </c>
      <c r="O73" s="8">
        <v>0</v>
      </c>
      <c r="P73" s="8">
        <v>0</v>
      </c>
      <c r="Q73" s="8"/>
      <c r="R73" s="8">
        <v>0</v>
      </c>
      <c r="S73" s="8">
        <v>0</v>
      </c>
    </row>
    <row r="74" ht="18" customHeight="1" spans="1:19" x14ac:dyDescent="0.25">
      <c r="A74" s="9" t="s">
        <v>177</v>
      </c>
      <c r="B74" s="9"/>
      <c r="C74" s="9"/>
      <c r="D74" s="9"/>
      <c r="E74" s="9"/>
      <c r="F74" s="9"/>
      <c r="G74" s="9"/>
      <c r="H74" s="10">
        <f>SUM(H5:H73)</f>
        <v>137</v>
      </c>
      <c r="I74" s="11">
        <f>SUM(I5:I73)</f>
        <v>6530000</v>
      </c>
      <c r="J74" s="11"/>
      <c r="K74" s="11">
        <v>0</v>
      </c>
      <c r="L74" s="11">
        <f>SUM(L5:L73)</f>
        <v>501988.17</v>
      </c>
      <c r="M74" s="11"/>
      <c r="N74" s="11">
        <f>SUM(N5:N73)</f>
        <v>6028011.83</v>
      </c>
      <c r="O74" s="11">
        <v>0</v>
      </c>
      <c r="P74" s="11">
        <v>0</v>
      </c>
      <c r="Q74" s="11"/>
      <c r="R74" s="11">
        <f>SUM(R5:R73)</f>
        <v>0</v>
      </c>
      <c r="S74" s="11">
        <v>0</v>
      </c>
    </row>
  </sheetData>
  <mergeCells count="296">
    <mergeCell ref="A1:S1"/>
    <mergeCell ref="A2:B2"/>
    <mergeCell ref="C2:E2"/>
    <mergeCell ref="F2:I2"/>
    <mergeCell ref="J2:L2"/>
    <mergeCell ref="M2:P2"/>
    <mergeCell ref="Q2:S2"/>
    <mergeCell ref="A3:B3"/>
    <mergeCell ref="C3:E3"/>
    <mergeCell ref="F3:I3"/>
    <mergeCell ref="J3:L3"/>
    <mergeCell ref="M3:S3"/>
    <mergeCell ref="B4:C4"/>
    <mergeCell ref="I4:J4"/>
    <mergeCell ref="L4:M4"/>
    <mergeCell ref="P4:Q4"/>
    <mergeCell ref="B5:C5"/>
    <mergeCell ref="I5:J5"/>
    <mergeCell ref="L5:M5"/>
    <mergeCell ref="P5:Q5"/>
    <mergeCell ref="B6:C6"/>
    <mergeCell ref="I6:J6"/>
    <mergeCell ref="L6:M6"/>
    <mergeCell ref="P6:Q6"/>
    <mergeCell ref="B7:C7"/>
    <mergeCell ref="I7:J7"/>
    <mergeCell ref="L7:M7"/>
    <mergeCell ref="P7:Q7"/>
    <mergeCell ref="B8:C8"/>
    <mergeCell ref="I8:J8"/>
    <mergeCell ref="L8:M8"/>
    <mergeCell ref="P8:Q8"/>
    <mergeCell ref="B9:C9"/>
    <mergeCell ref="I9:J9"/>
    <mergeCell ref="L9:M9"/>
    <mergeCell ref="P9:Q9"/>
    <mergeCell ref="B10:C10"/>
    <mergeCell ref="I10:J10"/>
    <mergeCell ref="L10:M10"/>
    <mergeCell ref="P10:Q10"/>
    <mergeCell ref="B11:C11"/>
    <mergeCell ref="I11:J11"/>
    <mergeCell ref="L11:M11"/>
    <mergeCell ref="P11:Q11"/>
    <mergeCell ref="B12:C12"/>
    <mergeCell ref="I12:J12"/>
    <mergeCell ref="L12:M12"/>
    <mergeCell ref="P12:Q12"/>
    <mergeCell ref="B13:C13"/>
    <mergeCell ref="I13:J13"/>
    <mergeCell ref="L13:M13"/>
    <mergeCell ref="P13:Q13"/>
    <mergeCell ref="B14:C14"/>
    <mergeCell ref="I14:J14"/>
    <mergeCell ref="L14:M14"/>
    <mergeCell ref="P14:Q14"/>
    <mergeCell ref="B15:C15"/>
    <mergeCell ref="I15:J15"/>
    <mergeCell ref="L15:M15"/>
    <mergeCell ref="P15:Q15"/>
    <mergeCell ref="B16:C16"/>
    <mergeCell ref="I16:J16"/>
    <mergeCell ref="L16:M16"/>
    <mergeCell ref="P16:Q16"/>
    <mergeCell ref="B17:C17"/>
    <mergeCell ref="I17:J17"/>
    <mergeCell ref="L17:M17"/>
    <mergeCell ref="P17:Q17"/>
    <mergeCell ref="B18:C18"/>
    <mergeCell ref="I18:J18"/>
    <mergeCell ref="L18:M18"/>
    <mergeCell ref="P18:Q18"/>
    <mergeCell ref="B19:C19"/>
    <mergeCell ref="I19:J19"/>
    <mergeCell ref="L19:M19"/>
    <mergeCell ref="P19:Q19"/>
    <mergeCell ref="B20:C20"/>
    <mergeCell ref="I20:J20"/>
    <mergeCell ref="L20:M20"/>
    <mergeCell ref="P20:Q20"/>
    <mergeCell ref="B21:C21"/>
    <mergeCell ref="I21:J21"/>
    <mergeCell ref="L21:M21"/>
    <mergeCell ref="P21:Q21"/>
    <mergeCell ref="B22:C22"/>
    <mergeCell ref="I22:J22"/>
    <mergeCell ref="L22:M22"/>
    <mergeCell ref="P22:Q22"/>
    <mergeCell ref="B23:C23"/>
    <mergeCell ref="I23:J23"/>
    <mergeCell ref="L23:M23"/>
    <mergeCell ref="P23:Q23"/>
    <mergeCell ref="B24:C24"/>
    <mergeCell ref="I24:J24"/>
    <mergeCell ref="L24:M24"/>
    <mergeCell ref="P24:Q24"/>
    <mergeCell ref="B25:C25"/>
    <mergeCell ref="I25:J25"/>
    <mergeCell ref="L25:M25"/>
    <mergeCell ref="P25:Q25"/>
    <mergeCell ref="B26:C26"/>
    <mergeCell ref="I26:J26"/>
    <mergeCell ref="L26:M26"/>
    <mergeCell ref="P26:Q26"/>
    <mergeCell ref="B27:C27"/>
    <mergeCell ref="I27:J27"/>
    <mergeCell ref="L27:M27"/>
    <mergeCell ref="P27:Q27"/>
    <mergeCell ref="B28:C28"/>
    <mergeCell ref="I28:J28"/>
    <mergeCell ref="L28:M28"/>
    <mergeCell ref="P28:Q28"/>
    <mergeCell ref="B29:C29"/>
    <mergeCell ref="I29:J29"/>
    <mergeCell ref="L29:M29"/>
    <mergeCell ref="P29:Q29"/>
    <mergeCell ref="B30:C30"/>
    <mergeCell ref="I30:J30"/>
    <mergeCell ref="L30:M30"/>
    <mergeCell ref="P30:Q30"/>
    <mergeCell ref="B31:C31"/>
    <mergeCell ref="I31:J31"/>
    <mergeCell ref="L31:M31"/>
    <mergeCell ref="P31:Q31"/>
    <mergeCell ref="B32:C32"/>
    <mergeCell ref="I32:J32"/>
    <mergeCell ref="L32:M32"/>
    <mergeCell ref="P32:Q32"/>
    <mergeCell ref="B33:C33"/>
    <mergeCell ref="I33:J33"/>
    <mergeCell ref="L33:M33"/>
    <mergeCell ref="P33:Q33"/>
    <mergeCell ref="B34:C34"/>
    <mergeCell ref="I34:J34"/>
    <mergeCell ref="L34:M34"/>
    <mergeCell ref="P34:Q34"/>
    <mergeCell ref="B35:C35"/>
    <mergeCell ref="I35:J35"/>
    <mergeCell ref="L35:M35"/>
    <mergeCell ref="P35:Q35"/>
    <mergeCell ref="B36:C36"/>
    <mergeCell ref="I36:J36"/>
    <mergeCell ref="L36:M36"/>
    <mergeCell ref="P36:Q36"/>
    <mergeCell ref="B37:C37"/>
    <mergeCell ref="I37:J37"/>
    <mergeCell ref="L37:M37"/>
    <mergeCell ref="P37:Q37"/>
    <mergeCell ref="B38:C38"/>
    <mergeCell ref="I38:J38"/>
    <mergeCell ref="L38:M38"/>
    <mergeCell ref="P38:Q38"/>
    <mergeCell ref="B39:C39"/>
    <mergeCell ref="I39:J39"/>
    <mergeCell ref="L39:M39"/>
    <mergeCell ref="P39:Q39"/>
    <mergeCell ref="B40:C40"/>
    <mergeCell ref="I40:J40"/>
    <mergeCell ref="L40:M40"/>
    <mergeCell ref="P40:Q40"/>
    <mergeCell ref="B41:C41"/>
    <mergeCell ref="I41:J41"/>
    <mergeCell ref="L41:M41"/>
    <mergeCell ref="P41:Q41"/>
    <mergeCell ref="B42:C42"/>
    <mergeCell ref="I42:J42"/>
    <mergeCell ref="L42:M42"/>
    <mergeCell ref="P42:Q42"/>
    <mergeCell ref="B43:C43"/>
    <mergeCell ref="I43:J43"/>
    <mergeCell ref="L43:M43"/>
    <mergeCell ref="P43:Q43"/>
    <mergeCell ref="B44:C44"/>
    <mergeCell ref="I44:J44"/>
    <mergeCell ref="L44:M44"/>
    <mergeCell ref="P44:Q44"/>
    <mergeCell ref="B45:C45"/>
    <mergeCell ref="I45:J45"/>
    <mergeCell ref="L45:M45"/>
    <mergeCell ref="P45:Q45"/>
    <mergeCell ref="B46:C46"/>
    <mergeCell ref="I46:J46"/>
    <mergeCell ref="L46:M46"/>
    <mergeCell ref="P46:Q46"/>
    <mergeCell ref="B47:C47"/>
    <mergeCell ref="I47:J47"/>
    <mergeCell ref="L47:M47"/>
    <mergeCell ref="P47:Q47"/>
    <mergeCell ref="B48:C48"/>
    <mergeCell ref="I48:J48"/>
    <mergeCell ref="L48:M48"/>
    <mergeCell ref="P48:Q48"/>
    <mergeCell ref="B49:C49"/>
    <mergeCell ref="I49:J49"/>
    <mergeCell ref="L49:M49"/>
    <mergeCell ref="P49:Q49"/>
    <mergeCell ref="B50:C50"/>
    <mergeCell ref="I50:J50"/>
    <mergeCell ref="L50:M50"/>
    <mergeCell ref="P50:Q50"/>
    <mergeCell ref="B51:C51"/>
    <mergeCell ref="I51:J51"/>
    <mergeCell ref="L51:M51"/>
    <mergeCell ref="P51:Q51"/>
    <mergeCell ref="B52:C52"/>
    <mergeCell ref="I52:J52"/>
    <mergeCell ref="L52:M52"/>
    <mergeCell ref="P52:Q52"/>
    <mergeCell ref="B53:C53"/>
    <mergeCell ref="I53:J53"/>
    <mergeCell ref="L53:M53"/>
    <mergeCell ref="P53:Q53"/>
    <mergeCell ref="B54:C54"/>
    <mergeCell ref="I54:J54"/>
    <mergeCell ref="L54:M54"/>
    <mergeCell ref="P54:Q54"/>
    <mergeCell ref="B55:C55"/>
    <mergeCell ref="I55:J55"/>
    <mergeCell ref="L55:M55"/>
    <mergeCell ref="P55:Q55"/>
    <mergeCell ref="B56:C56"/>
    <mergeCell ref="I56:J56"/>
    <mergeCell ref="L56:M56"/>
    <mergeCell ref="P56:Q56"/>
    <mergeCell ref="B57:C57"/>
    <mergeCell ref="I57:J57"/>
    <mergeCell ref="L57:M57"/>
    <mergeCell ref="P57:Q57"/>
    <mergeCell ref="B58:C58"/>
    <mergeCell ref="I58:J58"/>
    <mergeCell ref="L58:M58"/>
    <mergeCell ref="P58:Q58"/>
    <mergeCell ref="B59:C59"/>
    <mergeCell ref="I59:J59"/>
    <mergeCell ref="L59:M59"/>
    <mergeCell ref="P59:Q59"/>
    <mergeCell ref="B60:C60"/>
    <mergeCell ref="I60:J60"/>
    <mergeCell ref="L60:M60"/>
    <mergeCell ref="P60:Q60"/>
    <mergeCell ref="B61:C61"/>
    <mergeCell ref="I61:J61"/>
    <mergeCell ref="L61:M61"/>
    <mergeCell ref="P61:Q61"/>
    <mergeCell ref="B62:C62"/>
    <mergeCell ref="I62:J62"/>
    <mergeCell ref="L62:M62"/>
    <mergeCell ref="P62:Q62"/>
    <mergeCell ref="B63:C63"/>
    <mergeCell ref="I63:J63"/>
    <mergeCell ref="L63:M63"/>
    <mergeCell ref="P63:Q63"/>
    <mergeCell ref="B64:C64"/>
    <mergeCell ref="I64:J64"/>
    <mergeCell ref="L64:M64"/>
    <mergeCell ref="P64:Q64"/>
    <mergeCell ref="B65:C65"/>
    <mergeCell ref="I65:J65"/>
    <mergeCell ref="L65:M65"/>
    <mergeCell ref="P65:Q65"/>
    <mergeCell ref="B66:C66"/>
    <mergeCell ref="I66:J66"/>
    <mergeCell ref="L66:M66"/>
    <mergeCell ref="P66:Q66"/>
    <mergeCell ref="B67:C67"/>
    <mergeCell ref="I67:J67"/>
    <mergeCell ref="L67:M67"/>
    <mergeCell ref="P67:Q67"/>
    <mergeCell ref="B68:C68"/>
    <mergeCell ref="I68:J68"/>
    <mergeCell ref="L68:M68"/>
    <mergeCell ref="P68:Q68"/>
    <mergeCell ref="B69:C69"/>
    <mergeCell ref="I69:J69"/>
    <mergeCell ref="L69:M69"/>
    <mergeCell ref="P69:Q69"/>
    <mergeCell ref="B70:C70"/>
    <mergeCell ref="I70:J70"/>
    <mergeCell ref="L70:M70"/>
    <mergeCell ref="P70:Q70"/>
    <mergeCell ref="B71:C71"/>
    <mergeCell ref="I71:J71"/>
    <mergeCell ref="L71:M71"/>
    <mergeCell ref="P71:Q71"/>
    <mergeCell ref="B72:C72"/>
    <mergeCell ref="I72:J72"/>
    <mergeCell ref="L72:M72"/>
    <mergeCell ref="P72:Q72"/>
    <mergeCell ref="B73:C73"/>
    <mergeCell ref="I73:J73"/>
    <mergeCell ref="L73:M73"/>
    <mergeCell ref="P73:Q73"/>
    <mergeCell ref="A74:G74"/>
    <mergeCell ref="I74:J74"/>
    <mergeCell ref="L74:M74"/>
    <mergeCell ref="P74:Q74"/>
  </mergeCells>
  <pageMargins left="0.2" right="0.2" top="0.3" bottom="0.3" header="0.1" footer="0.1"/>
  <pageSetup paperSize="9" orientation="landscape" horizontalDpi="4294967295" verticalDpi="4294967295" scale="100" fitToWidth="1" fitToHeight="0"/>
  <headerFooter>
    <oddFooter>&amp;LGenerated by AYO Olsera&amp;CPage &amp;P of &amp;N&amp;R&amp;D &amp;T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1"/>
  <sheetViews>
    <sheetView workbookViewId="0" zoomScale="80"/>
  </sheetViews>
  <sheetFormatPr defaultRowHeight="15.75" outlineLevelRow="0" outlineLevelCol="0" x14ac:dyDescent="55" customHeight="1"/>
  <cols>
    <col min="1" max="1" width="22" customWidth="1"/>
    <col min="2" max="2" width="12.1" hidden="1" customWidth="1"/>
    <col min="3" max="3" width="15.7" customWidth="1"/>
    <col min="4" max="4" width="17.4" customWidth="1"/>
    <col min="5" max="5" width="0.1" hidden="1" customWidth="1"/>
    <col min="6" max="6" width="16" customWidth="1"/>
    <col min="7" max="7" width="12" customWidth="1"/>
    <col min="9" max="9" width="14" customWidth="1"/>
    <col min="10" max="10" width="10" customWidth="1"/>
    <col min="12" max="12" width="9" hidden="1" customWidth="1"/>
    <col min="13" max="13" width="10" customWidth="1"/>
    <col min="14" max="14" width="15" customWidth="1"/>
    <col min="16" max="16" width="0.1" customWidth="1"/>
    <col min="17" max="18" width="10" customWidth="1"/>
    <col min="19" max="19" width="11" customWidth="1"/>
  </cols>
  <sheetData>
    <row r="1" ht="52.5" customHeight="1" spans="1:19" x14ac:dyDescent="0.25">
      <c r="A1" s="1" t="s">
        <v>950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8.5" customHeight="1" spans="1:19" x14ac:dyDescent="0.25">
      <c r="A2" s="2" t="s">
        <v>951</v>
      </c>
      <c r="B2" s="2"/>
      <c r="C2" s="2" t="s">
        <v>2</v>
      </c>
      <c r="D2" s="2"/>
      <c r="E2" s="2"/>
      <c r="F2" s="2" t="s">
        <v>952</v>
      </c>
      <c r="G2" s="2"/>
      <c r="H2" s="2"/>
      <c r="I2" s="2"/>
      <c r="J2" s="2" t="s">
        <v>953</v>
      </c>
      <c r="K2" s="2"/>
      <c r="L2" s="2"/>
      <c r="M2" s="2" t="s">
        <v>5</v>
      </c>
      <c r="N2" s="2"/>
      <c r="O2" s="2"/>
      <c r="P2" s="2"/>
      <c r="Q2" s="2" t="s">
        <v>6</v>
      </c>
      <c r="R2" s="2"/>
      <c r="S2" s="2"/>
    </row>
    <row r="3" ht="31.5" customHeight="1" spans="1:19" x14ac:dyDescent="0.25">
      <c r="A3" s="2" t="s">
        <v>7</v>
      </c>
      <c r="B3" s="2"/>
      <c r="C3" s="2" t="s">
        <v>8</v>
      </c>
      <c r="D3" s="2"/>
      <c r="E3" s="2"/>
      <c r="F3" s="2" t="s">
        <v>954</v>
      </c>
      <c r="G3" s="2"/>
      <c r="H3" s="2"/>
      <c r="I3" s="2"/>
      <c r="J3" s="2" t="s">
        <v>10</v>
      </c>
      <c r="K3" s="2"/>
      <c r="L3" s="2"/>
      <c r="M3" s="3" t="s">
        <v>11</v>
      </c>
      <c r="N3" s="3"/>
      <c r="O3" s="3"/>
      <c r="P3" s="3"/>
      <c r="Q3" s="3"/>
      <c r="R3" s="3"/>
      <c r="S3" s="3"/>
    </row>
    <row r="4" ht="25.5" customHeight="1" spans="1:19" x14ac:dyDescent="0.25">
      <c r="A4" s="4" t="s">
        <v>12</v>
      </c>
      <c r="B4" s="4" t="s">
        <v>13</v>
      </c>
      <c r="C4" s="4"/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/>
      <c r="K4" s="4" t="s">
        <v>20</v>
      </c>
      <c r="L4" s="4" t="s">
        <v>21</v>
      </c>
      <c r="M4" s="4"/>
      <c r="N4" s="4" t="s">
        <v>22</v>
      </c>
      <c r="O4" s="4" t="s">
        <v>23</v>
      </c>
      <c r="P4" s="4" t="s">
        <v>24</v>
      </c>
      <c r="Q4" s="4"/>
      <c r="R4" s="4" t="s">
        <v>25</v>
      </c>
      <c r="S4" s="4" t="s">
        <v>26</v>
      </c>
    </row>
    <row r="5" ht="31.5" customHeight="1" spans="1:19" x14ac:dyDescent="0.25">
      <c r="A5" s="5" t="s">
        <v>955</v>
      </c>
      <c r="B5" s="6" t="s">
        <v>956</v>
      </c>
      <c r="C5" s="6"/>
      <c r="D5" s="5" t="s">
        <v>363</v>
      </c>
      <c r="E5" s="5" t="s">
        <v>11</v>
      </c>
      <c r="F5" s="5" t="s">
        <v>11</v>
      </c>
      <c r="G5" s="5" t="s">
        <v>11</v>
      </c>
      <c r="H5" s="7">
        <v>1</v>
      </c>
      <c r="I5" s="8">
        <v>35000</v>
      </c>
      <c r="J5" s="8"/>
      <c r="K5" s="8">
        <v>0</v>
      </c>
      <c r="L5" s="8">
        <v>0</v>
      </c>
      <c r="M5" s="8"/>
      <c r="N5" s="8">
        <f>I5-L5</f>
        <v>35000</v>
      </c>
      <c r="O5" s="8">
        <v>0</v>
      </c>
      <c r="P5" s="8">
        <v>0</v>
      </c>
      <c r="Q5" s="8"/>
      <c r="R5" s="8">
        <v>0</v>
      </c>
      <c r="S5" s="8">
        <v>0</v>
      </c>
    </row>
    <row r="6" ht="31.5" customHeight="1" spans="1:19" x14ac:dyDescent="0.25">
      <c r="A6" s="5" t="s">
        <v>957</v>
      </c>
      <c r="B6" s="6" t="s">
        <v>958</v>
      </c>
      <c r="C6" s="6"/>
      <c r="D6" s="5" t="s">
        <v>29</v>
      </c>
      <c r="E6" s="5" t="s">
        <v>11</v>
      </c>
      <c r="F6" s="5" t="s">
        <v>11</v>
      </c>
      <c r="G6" s="5" t="s">
        <v>11</v>
      </c>
      <c r="H6" s="7">
        <v>1</v>
      </c>
      <c r="I6" s="8">
        <v>35000</v>
      </c>
      <c r="J6" s="8"/>
      <c r="K6" s="8">
        <v>0</v>
      </c>
      <c r="L6" s="8">
        <v>0</v>
      </c>
      <c r="M6" s="8"/>
      <c r="N6" s="8">
        <f>I6-L6</f>
        <v>35000</v>
      </c>
      <c r="O6" s="8">
        <v>0</v>
      </c>
      <c r="P6" s="8">
        <v>0</v>
      </c>
      <c r="Q6" s="8"/>
      <c r="R6" s="8">
        <v>0</v>
      </c>
      <c r="S6" s="8">
        <v>0</v>
      </c>
    </row>
    <row r="7" ht="31.5" customHeight="1" spans="1:19" x14ac:dyDescent="0.25">
      <c r="A7" s="5" t="s">
        <v>959</v>
      </c>
      <c r="B7" s="6" t="s">
        <v>960</v>
      </c>
      <c r="C7" s="6"/>
      <c r="D7" s="5" t="s">
        <v>29</v>
      </c>
      <c r="E7" s="5" t="s">
        <v>11</v>
      </c>
      <c r="F7" s="5" t="s">
        <v>11</v>
      </c>
      <c r="G7" s="5" t="s">
        <v>11</v>
      </c>
      <c r="H7" s="7">
        <v>2</v>
      </c>
      <c r="I7" s="8">
        <v>65000</v>
      </c>
      <c r="J7" s="8"/>
      <c r="K7" s="8">
        <v>0</v>
      </c>
      <c r="L7" s="8">
        <v>0</v>
      </c>
      <c r="M7" s="8"/>
      <c r="N7" s="8">
        <f>I7-L7</f>
        <v>65000</v>
      </c>
      <c r="O7" s="8">
        <v>0</v>
      </c>
      <c r="P7" s="8">
        <v>0</v>
      </c>
      <c r="Q7" s="8"/>
      <c r="R7" s="8">
        <v>0</v>
      </c>
      <c r="S7" s="8">
        <v>0</v>
      </c>
    </row>
    <row r="8" ht="31.5" customHeight="1" spans="1:19" x14ac:dyDescent="0.25">
      <c r="A8" s="5" t="s">
        <v>961</v>
      </c>
      <c r="B8" s="6" t="s">
        <v>962</v>
      </c>
      <c r="C8" s="6"/>
      <c r="D8" s="5" t="s">
        <v>29</v>
      </c>
      <c r="E8" s="5" t="s">
        <v>11</v>
      </c>
      <c r="F8" s="5" t="s">
        <v>11</v>
      </c>
      <c r="G8" s="5" t="s">
        <v>11</v>
      </c>
      <c r="H8" s="7">
        <v>2</v>
      </c>
      <c r="I8" s="8">
        <v>45000</v>
      </c>
      <c r="J8" s="8"/>
      <c r="K8" s="8">
        <v>0</v>
      </c>
      <c r="L8" s="8">
        <v>4527.77</v>
      </c>
      <c r="M8" s="8"/>
      <c r="N8" s="8">
        <f>I8-L8</f>
        <v>40472.229999999996</v>
      </c>
      <c r="O8" s="8">
        <v>0</v>
      </c>
      <c r="P8" s="8">
        <v>0</v>
      </c>
      <c r="Q8" s="8"/>
      <c r="R8" s="8">
        <v>0</v>
      </c>
      <c r="S8" s="8">
        <v>0</v>
      </c>
    </row>
    <row r="9" ht="31.5" customHeight="1" spans="1:19" x14ac:dyDescent="0.25">
      <c r="A9" s="5" t="s">
        <v>963</v>
      </c>
      <c r="B9" s="6" t="s">
        <v>964</v>
      </c>
      <c r="C9" s="6"/>
      <c r="D9" s="5" t="s">
        <v>29</v>
      </c>
      <c r="E9" s="5" t="s">
        <v>11</v>
      </c>
      <c r="F9" s="5" t="s">
        <v>11</v>
      </c>
      <c r="G9" s="5" t="s">
        <v>11</v>
      </c>
      <c r="H9" s="7">
        <v>2</v>
      </c>
      <c r="I9" s="8">
        <v>65000</v>
      </c>
      <c r="J9" s="8"/>
      <c r="K9" s="8">
        <v>0</v>
      </c>
      <c r="L9" s="8">
        <v>0</v>
      </c>
      <c r="M9" s="8"/>
      <c r="N9" s="8">
        <f>I9-L9</f>
        <v>65000</v>
      </c>
      <c r="O9" s="8">
        <v>0</v>
      </c>
      <c r="P9" s="8">
        <v>0</v>
      </c>
      <c r="Q9" s="8"/>
      <c r="R9" s="8">
        <v>0</v>
      </c>
      <c r="S9" s="8">
        <v>0</v>
      </c>
    </row>
    <row r="10" ht="31.5" customHeight="1" spans="1:19" x14ac:dyDescent="0.25">
      <c r="A10" s="5" t="s">
        <v>965</v>
      </c>
      <c r="B10" s="6" t="s">
        <v>966</v>
      </c>
      <c r="C10" s="6"/>
      <c r="D10" s="5" t="s">
        <v>29</v>
      </c>
      <c r="E10" s="5" t="s">
        <v>11</v>
      </c>
      <c r="F10" s="5" t="s">
        <v>11</v>
      </c>
      <c r="G10" s="5" t="s">
        <v>11</v>
      </c>
      <c r="H10" s="7">
        <v>1</v>
      </c>
      <c r="I10" s="8">
        <v>15000</v>
      </c>
      <c r="J10" s="8"/>
      <c r="K10" s="8">
        <v>0</v>
      </c>
      <c r="L10" s="8">
        <v>4527.77</v>
      </c>
      <c r="M10" s="8"/>
      <c r="N10" s="8">
        <f>I10-L10</f>
        <v>10472.23</v>
      </c>
      <c r="O10" s="8">
        <v>0</v>
      </c>
      <c r="P10" s="8">
        <v>0</v>
      </c>
      <c r="Q10" s="8"/>
      <c r="R10" s="8">
        <v>0</v>
      </c>
      <c r="S10" s="8">
        <v>0</v>
      </c>
    </row>
    <row r="11" ht="31.5" customHeight="1" spans="1:19" x14ac:dyDescent="0.25">
      <c r="A11" s="5" t="s">
        <v>967</v>
      </c>
      <c r="B11" s="6" t="s">
        <v>968</v>
      </c>
      <c r="C11" s="6"/>
      <c r="D11" s="5" t="s">
        <v>29</v>
      </c>
      <c r="E11" s="5" t="s">
        <v>11</v>
      </c>
      <c r="F11" s="5" t="s">
        <v>11</v>
      </c>
      <c r="G11" s="5" t="s">
        <v>11</v>
      </c>
      <c r="H11" s="7">
        <v>2</v>
      </c>
      <c r="I11" s="8">
        <v>47000</v>
      </c>
      <c r="J11" s="8"/>
      <c r="K11" s="8">
        <v>0</v>
      </c>
      <c r="L11" s="8">
        <v>6250</v>
      </c>
      <c r="M11" s="8"/>
      <c r="N11" s="8">
        <f>I11-L11</f>
        <v>40750</v>
      </c>
      <c r="O11" s="8">
        <v>0</v>
      </c>
      <c r="P11" s="8">
        <v>0</v>
      </c>
      <c r="Q11" s="8"/>
      <c r="R11" s="8">
        <v>0</v>
      </c>
      <c r="S11" s="8">
        <v>0</v>
      </c>
    </row>
    <row r="12" ht="31.5" customHeight="1" spans="1:19" x14ac:dyDescent="0.25">
      <c r="A12" s="5" t="s">
        <v>969</v>
      </c>
      <c r="B12" s="6" t="s">
        <v>970</v>
      </c>
      <c r="C12" s="6"/>
      <c r="D12" s="5" t="s">
        <v>29</v>
      </c>
      <c r="E12" s="5" t="s">
        <v>11</v>
      </c>
      <c r="F12" s="5" t="s">
        <v>11</v>
      </c>
      <c r="G12" s="5" t="s">
        <v>11</v>
      </c>
      <c r="H12" s="7">
        <v>2</v>
      </c>
      <c r="I12" s="8">
        <v>300000</v>
      </c>
      <c r="J12" s="8"/>
      <c r="K12" s="8">
        <v>0</v>
      </c>
      <c r="L12" s="8">
        <v>0</v>
      </c>
      <c r="M12" s="8"/>
      <c r="N12" s="8">
        <f>I12-L12</f>
        <v>300000</v>
      </c>
      <c r="O12" s="8">
        <v>0</v>
      </c>
      <c r="P12" s="8">
        <v>0</v>
      </c>
      <c r="Q12" s="8"/>
      <c r="R12" s="8">
        <v>0</v>
      </c>
      <c r="S12" s="8">
        <v>0</v>
      </c>
    </row>
    <row r="13" ht="31.5" customHeight="1" spans="1:19" x14ac:dyDescent="0.25">
      <c r="A13" s="5" t="s">
        <v>971</v>
      </c>
      <c r="B13" s="6" t="s">
        <v>972</v>
      </c>
      <c r="C13" s="6"/>
      <c r="D13" s="5" t="s">
        <v>29</v>
      </c>
      <c r="E13" s="5" t="s">
        <v>11</v>
      </c>
      <c r="F13" s="5" t="s">
        <v>11</v>
      </c>
      <c r="G13" s="5" t="s">
        <v>11</v>
      </c>
      <c r="H13" s="7">
        <v>2</v>
      </c>
      <c r="I13" s="8">
        <v>400000</v>
      </c>
      <c r="J13" s="8"/>
      <c r="K13" s="8">
        <v>0</v>
      </c>
      <c r="L13" s="8">
        <v>0</v>
      </c>
      <c r="M13" s="8"/>
      <c r="N13" s="8">
        <f>I13-L13</f>
        <v>400000</v>
      </c>
      <c r="O13" s="8">
        <v>0</v>
      </c>
      <c r="P13" s="8">
        <v>0</v>
      </c>
      <c r="Q13" s="8"/>
      <c r="R13" s="8">
        <v>0</v>
      </c>
      <c r="S13" s="8">
        <v>0</v>
      </c>
    </row>
    <row r="14" ht="31.5" customHeight="1" spans="1:19" x14ac:dyDescent="0.25">
      <c r="A14" s="5" t="s">
        <v>973</v>
      </c>
      <c r="B14" s="6" t="s">
        <v>974</v>
      </c>
      <c r="C14" s="6"/>
      <c r="D14" s="5" t="s">
        <v>29</v>
      </c>
      <c r="E14" s="5" t="s">
        <v>11</v>
      </c>
      <c r="F14" s="5" t="s">
        <v>11</v>
      </c>
      <c r="G14" s="5" t="s">
        <v>11</v>
      </c>
      <c r="H14" s="7">
        <v>1</v>
      </c>
      <c r="I14" s="8">
        <v>150000</v>
      </c>
      <c r="J14" s="8"/>
      <c r="K14" s="8">
        <v>0</v>
      </c>
      <c r="L14" s="8">
        <v>0</v>
      </c>
      <c r="M14" s="8"/>
      <c r="N14" s="8">
        <f>I14-L14</f>
        <v>150000</v>
      </c>
      <c r="O14" s="8">
        <v>0</v>
      </c>
      <c r="P14" s="8">
        <v>0</v>
      </c>
      <c r="Q14" s="8"/>
      <c r="R14" s="8">
        <v>0</v>
      </c>
      <c r="S14" s="8">
        <v>0</v>
      </c>
    </row>
    <row r="15" ht="31.5" customHeight="1" spans="1:19" x14ac:dyDescent="0.25">
      <c r="A15" s="5" t="s">
        <v>975</v>
      </c>
      <c r="B15" s="6" t="s">
        <v>976</v>
      </c>
      <c r="C15" s="6"/>
      <c r="D15" s="5" t="s">
        <v>29</v>
      </c>
      <c r="E15" s="5" t="s">
        <v>11</v>
      </c>
      <c r="F15" s="5" t="s">
        <v>11</v>
      </c>
      <c r="G15" s="5" t="s">
        <v>11</v>
      </c>
      <c r="H15" s="7">
        <v>2</v>
      </c>
      <c r="I15" s="8">
        <v>400000</v>
      </c>
      <c r="J15" s="8"/>
      <c r="K15" s="8">
        <v>0</v>
      </c>
      <c r="L15" s="8">
        <v>0</v>
      </c>
      <c r="M15" s="8"/>
      <c r="N15" s="8">
        <f>I15-L15</f>
        <v>400000</v>
      </c>
      <c r="O15" s="8">
        <v>0</v>
      </c>
      <c r="P15" s="8">
        <v>0</v>
      </c>
      <c r="Q15" s="8"/>
      <c r="R15" s="8">
        <v>0</v>
      </c>
      <c r="S15" s="8">
        <v>0</v>
      </c>
    </row>
    <row r="16" ht="31.5" customHeight="1" spans="1:19" x14ac:dyDescent="0.25">
      <c r="A16" s="5" t="s">
        <v>977</v>
      </c>
      <c r="B16" s="6" t="s">
        <v>978</v>
      </c>
      <c r="C16" s="6"/>
      <c r="D16" s="5" t="s">
        <v>29</v>
      </c>
      <c r="E16" s="5" t="s">
        <v>11</v>
      </c>
      <c r="F16" s="5" t="s">
        <v>11</v>
      </c>
      <c r="G16" s="5" t="s">
        <v>11</v>
      </c>
      <c r="H16" s="7">
        <v>1</v>
      </c>
      <c r="I16" s="8">
        <v>28000</v>
      </c>
      <c r="J16" s="8"/>
      <c r="K16" s="8">
        <v>0</v>
      </c>
      <c r="L16" s="8">
        <v>0</v>
      </c>
      <c r="M16" s="8"/>
      <c r="N16" s="8">
        <f>I16-L16</f>
        <v>28000</v>
      </c>
      <c r="O16" s="8">
        <v>0</v>
      </c>
      <c r="P16" s="8">
        <v>0</v>
      </c>
      <c r="Q16" s="8"/>
      <c r="R16" s="8">
        <v>0</v>
      </c>
      <c r="S16" s="8">
        <v>0</v>
      </c>
    </row>
    <row r="17" ht="31.5" customHeight="1" spans="1:19" x14ac:dyDescent="0.25">
      <c r="A17" s="5" t="s">
        <v>979</v>
      </c>
      <c r="B17" s="6" t="s">
        <v>980</v>
      </c>
      <c r="C17" s="6"/>
      <c r="D17" s="5" t="s">
        <v>29</v>
      </c>
      <c r="E17" s="5" t="s">
        <v>11</v>
      </c>
      <c r="F17" s="5" t="s">
        <v>11</v>
      </c>
      <c r="G17" s="5" t="s">
        <v>11</v>
      </c>
      <c r="H17" s="7">
        <v>1</v>
      </c>
      <c r="I17" s="8">
        <v>10000</v>
      </c>
      <c r="J17" s="8"/>
      <c r="K17" s="8">
        <v>0</v>
      </c>
      <c r="L17" s="8">
        <v>2087.18</v>
      </c>
      <c r="M17" s="8"/>
      <c r="N17" s="8">
        <f>I17-L17</f>
        <v>7912.82</v>
      </c>
      <c r="O17" s="8">
        <v>0</v>
      </c>
      <c r="P17" s="8">
        <v>0</v>
      </c>
      <c r="Q17" s="8"/>
      <c r="R17" s="8">
        <v>0</v>
      </c>
      <c r="S17" s="8">
        <v>0</v>
      </c>
    </row>
    <row r="18" ht="31.5" customHeight="1" spans="1:19" x14ac:dyDescent="0.25">
      <c r="A18" s="5" t="s">
        <v>981</v>
      </c>
      <c r="B18" s="6" t="s">
        <v>982</v>
      </c>
      <c r="C18" s="6"/>
      <c r="D18" s="5" t="s">
        <v>29</v>
      </c>
      <c r="E18" s="5" t="s">
        <v>11</v>
      </c>
      <c r="F18" s="5" t="s">
        <v>11</v>
      </c>
      <c r="G18" s="5" t="s">
        <v>11</v>
      </c>
      <c r="H18" s="7">
        <v>1</v>
      </c>
      <c r="I18" s="8">
        <v>28000</v>
      </c>
      <c r="J18" s="8"/>
      <c r="K18" s="8">
        <v>0</v>
      </c>
      <c r="L18" s="8">
        <v>0</v>
      </c>
      <c r="M18" s="8"/>
      <c r="N18" s="8">
        <f>I18-L18</f>
        <v>28000</v>
      </c>
      <c r="O18" s="8">
        <v>0</v>
      </c>
      <c r="P18" s="8">
        <v>0</v>
      </c>
      <c r="Q18" s="8"/>
      <c r="R18" s="8">
        <v>0</v>
      </c>
      <c r="S18" s="8">
        <v>0</v>
      </c>
    </row>
    <row r="19" ht="31.5" customHeight="1" spans="1:19" x14ac:dyDescent="0.25">
      <c r="A19" s="5" t="s">
        <v>983</v>
      </c>
      <c r="B19" s="6" t="s">
        <v>984</v>
      </c>
      <c r="C19" s="6"/>
      <c r="D19" s="5" t="s">
        <v>29</v>
      </c>
      <c r="E19" s="5" t="s">
        <v>11</v>
      </c>
      <c r="F19" s="5" t="s">
        <v>11</v>
      </c>
      <c r="G19" s="5" t="s">
        <v>11</v>
      </c>
      <c r="H19" s="7">
        <v>1</v>
      </c>
      <c r="I19" s="8">
        <v>30000</v>
      </c>
      <c r="J19" s="8"/>
      <c r="K19" s="8">
        <v>0</v>
      </c>
      <c r="L19" s="8">
        <v>0</v>
      </c>
      <c r="M19" s="8"/>
      <c r="N19" s="8">
        <f>I19-L19</f>
        <v>30000</v>
      </c>
      <c r="O19" s="8">
        <v>0</v>
      </c>
      <c r="P19" s="8">
        <v>0</v>
      </c>
      <c r="Q19" s="8"/>
      <c r="R19" s="8">
        <v>0</v>
      </c>
      <c r="S19" s="8">
        <v>0</v>
      </c>
    </row>
    <row r="20" ht="31.5" customHeight="1" spans="1:19" x14ac:dyDescent="0.25">
      <c r="A20" s="5" t="s">
        <v>985</v>
      </c>
      <c r="B20" s="6" t="s">
        <v>986</v>
      </c>
      <c r="C20" s="6"/>
      <c r="D20" s="5" t="s">
        <v>29</v>
      </c>
      <c r="E20" s="5" t="s">
        <v>11</v>
      </c>
      <c r="F20" s="5" t="s">
        <v>11</v>
      </c>
      <c r="G20" s="5" t="s">
        <v>11</v>
      </c>
      <c r="H20" s="7">
        <v>3</v>
      </c>
      <c r="I20" s="8">
        <v>86000</v>
      </c>
      <c r="J20" s="8"/>
      <c r="K20" s="8">
        <v>0</v>
      </c>
      <c r="L20" s="8">
        <v>0</v>
      </c>
      <c r="M20" s="8"/>
      <c r="N20" s="8">
        <f>I20-L20</f>
        <v>86000</v>
      </c>
      <c r="O20" s="8">
        <v>0</v>
      </c>
      <c r="P20" s="8">
        <v>0</v>
      </c>
      <c r="Q20" s="8"/>
      <c r="R20" s="8">
        <v>0</v>
      </c>
      <c r="S20" s="8">
        <v>0</v>
      </c>
    </row>
    <row r="21" ht="31.5" customHeight="1" spans="1:19" x14ac:dyDescent="0.25">
      <c r="A21" s="5" t="s">
        <v>987</v>
      </c>
      <c r="B21" s="6" t="s">
        <v>988</v>
      </c>
      <c r="C21" s="6"/>
      <c r="D21" s="5" t="s">
        <v>29</v>
      </c>
      <c r="E21" s="5" t="s">
        <v>11</v>
      </c>
      <c r="F21" s="5" t="s">
        <v>11</v>
      </c>
      <c r="G21" s="5" t="s">
        <v>11</v>
      </c>
      <c r="H21" s="7">
        <v>2</v>
      </c>
      <c r="I21" s="8">
        <v>53000</v>
      </c>
      <c r="J21" s="8"/>
      <c r="K21" s="8">
        <v>0</v>
      </c>
      <c r="L21" s="8">
        <v>0</v>
      </c>
      <c r="M21" s="8"/>
      <c r="N21" s="8">
        <f>I21-L21</f>
        <v>53000</v>
      </c>
      <c r="O21" s="8">
        <v>0</v>
      </c>
      <c r="P21" s="8">
        <v>0</v>
      </c>
      <c r="Q21" s="8"/>
      <c r="R21" s="8">
        <v>0</v>
      </c>
      <c r="S21" s="8">
        <v>0</v>
      </c>
    </row>
    <row r="22" ht="31.5" customHeight="1" spans="1:19" x14ac:dyDescent="0.25">
      <c r="A22" s="5" t="s">
        <v>989</v>
      </c>
      <c r="B22" s="6" t="s">
        <v>990</v>
      </c>
      <c r="C22" s="6"/>
      <c r="D22" s="5" t="s">
        <v>29</v>
      </c>
      <c r="E22" s="5" t="s">
        <v>11</v>
      </c>
      <c r="F22" s="5" t="s">
        <v>11</v>
      </c>
      <c r="G22" s="5" t="s">
        <v>11</v>
      </c>
      <c r="H22" s="7">
        <v>2</v>
      </c>
      <c r="I22" s="8">
        <v>60000</v>
      </c>
      <c r="J22" s="8"/>
      <c r="K22" s="8">
        <v>0</v>
      </c>
      <c r="L22" s="8">
        <v>0</v>
      </c>
      <c r="M22" s="8"/>
      <c r="N22" s="8">
        <f>I22-L22</f>
        <v>60000</v>
      </c>
      <c r="O22" s="8">
        <v>0</v>
      </c>
      <c r="P22" s="8">
        <v>0</v>
      </c>
      <c r="Q22" s="8"/>
      <c r="R22" s="8">
        <v>0</v>
      </c>
      <c r="S22" s="8">
        <v>0</v>
      </c>
    </row>
    <row r="23" ht="31.5" customHeight="1" spans="1:19" x14ac:dyDescent="0.25">
      <c r="A23" s="5" t="s">
        <v>991</v>
      </c>
      <c r="B23" s="6" t="s">
        <v>992</v>
      </c>
      <c r="C23" s="6"/>
      <c r="D23" s="5" t="s">
        <v>29</v>
      </c>
      <c r="E23" s="5" t="s">
        <v>11</v>
      </c>
      <c r="F23" s="5" t="s">
        <v>11</v>
      </c>
      <c r="G23" s="5" t="s">
        <v>11</v>
      </c>
      <c r="H23" s="7">
        <v>1</v>
      </c>
      <c r="I23" s="8">
        <v>15000</v>
      </c>
      <c r="J23" s="8"/>
      <c r="K23" s="8">
        <v>0</v>
      </c>
      <c r="L23" s="8">
        <v>4527.77</v>
      </c>
      <c r="M23" s="8"/>
      <c r="N23" s="8">
        <f>I23-L23</f>
        <v>10472.23</v>
      </c>
      <c r="O23" s="8">
        <v>0</v>
      </c>
      <c r="P23" s="8">
        <v>0</v>
      </c>
      <c r="Q23" s="8"/>
      <c r="R23" s="8">
        <v>0</v>
      </c>
      <c r="S23" s="8">
        <v>0</v>
      </c>
    </row>
    <row r="24" ht="31.5" customHeight="1" spans="1:19" x14ac:dyDescent="0.25">
      <c r="A24" s="5" t="s">
        <v>993</v>
      </c>
      <c r="B24" s="6" t="s">
        <v>994</v>
      </c>
      <c r="C24" s="6"/>
      <c r="D24" s="5" t="s">
        <v>29</v>
      </c>
      <c r="E24" s="5" t="s">
        <v>11</v>
      </c>
      <c r="F24" s="5" t="s">
        <v>11</v>
      </c>
      <c r="G24" s="5" t="s">
        <v>11</v>
      </c>
      <c r="H24" s="7">
        <v>1</v>
      </c>
      <c r="I24" s="8">
        <v>30000</v>
      </c>
      <c r="J24" s="8"/>
      <c r="K24" s="8">
        <v>0</v>
      </c>
      <c r="L24" s="8">
        <v>0</v>
      </c>
      <c r="M24" s="8"/>
      <c r="N24" s="8">
        <f>I24-L24</f>
        <v>30000</v>
      </c>
      <c r="O24" s="8">
        <v>0</v>
      </c>
      <c r="P24" s="8">
        <v>0</v>
      </c>
      <c r="Q24" s="8"/>
      <c r="R24" s="8">
        <v>0</v>
      </c>
      <c r="S24" s="8">
        <v>0</v>
      </c>
    </row>
    <row r="25" ht="31.5" customHeight="1" spans="1:19" x14ac:dyDescent="0.25">
      <c r="A25" s="5" t="s">
        <v>995</v>
      </c>
      <c r="B25" s="6" t="s">
        <v>996</v>
      </c>
      <c r="C25" s="6"/>
      <c r="D25" s="5" t="s">
        <v>29</v>
      </c>
      <c r="E25" s="5" t="s">
        <v>11</v>
      </c>
      <c r="F25" s="5" t="s">
        <v>11</v>
      </c>
      <c r="G25" s="5" t="s">
        <v>11</v>
      </c>
      <c r="H25" s="7">
        <v>1</v>
      </c>
      <c r="I25" s="8">
        <v>25000</v>
      </c>
      <c r="J25" s="8"/>
      <c r="K25" s="8">
        <v>0</v>
      </c>
      <c r="L25" s="8">
        <v>0</v>
      </c>
      <c r="M25" s="8"/>
      <c r="N25" s="8">
        <f>I25-L25</f>
        <v>25000</v>
      </c>
      <c r="O25" s="8">
        <v>0</v>
      </c>
      <c r="P25" s="8">
        <v>0</v>
      </c>
      <c r="Q25" s="8"/>
      <c r="R25" s="8">
        <v>0</v>
      </c>
      <c r="S25" s="8">
        <v>0</v>
      </c>
    </row>
    <row r="26" ht="31.5" customHeight="1" spans="1:19" x14ac:dyDescent="0.25">
      <c r="A26" s="5" t="s">
        <v>997</v>
      </c>
      <c r="B26" s="6" t="s">
        <v>998</v>
      </c>
      <c r="C26" s="6"/>
      <c r="D26" s="5" t="s">
        <v>29</v>
      </c>
      <c r="E26" s="5" t="s">
        <v>11</v>
      </c>
      <c r="F26" s="5" t="s">
        <v>11</v>
      </c>
      <c r="G26" s="5" t="s">
        <v>11</v>
      </c>
      <c r="H26" s="7">
        <v>5</v>
      </c>
      <c r="I26" s="8">
        <v>430000</v>
      </c>
      <c r="J26" s="8"/>
      <c r="K26" s="8">
        <v>0</v>
      </c>
      <c r="L26" s="8">
        <v>115000</v>
      </c>
      <c r="M26" s="8"/>
      <c r="N26" s="8">
        <f>I26-L26</f>
        <v>315000</v>
      </c>
      <c r="O26" s="8">
        <v>0</v>
      </c>
      <c r="P26" s="8">
        <v>0</v>
      </c>
      <c r="Q26" s="8"/>
      <c r="R26" s="8">
        <v>0</v>
      </c>
      <c r="S26" s="8">
        <v>0</v>
      </c>
    </row>
    <row r="27" ht="31.5" customHeight="1" spans="1:19" x14ac:dyDescent="0.25">
      <c r="A27" s="5" t="s">
        <v>999</v>
      </c>
      <c r="B27" s="6" t="s">
        <v>1000</v>
      </c>
      <c r="C27" s="6"/>
      <c r="D27" s="5" t="s">
        <v>29</v>
      </c>
      <c r="E27" s="5" t="s">
        <v>11</v>
      </c>
      <c r="F27" s="5" t="s">
        <v>11</v>
      </c>
      <c r="G27" s="5" t="s">
        <v>11</v>
      </c>
      <c r="H27" s="7">
        <v>1</v>
      </c>
      <c r="I27" s="8">
        <v>28000</v>
      </c>
      <c r="J27" s="8"/>
      <c r="K27" s="8">
        <v>0</v>
      </c>
      <c r="L27" s="8">
        <v>0</v>
      </c>
      <c r="M27" s="8"/>
      <c r="N27" s="8">
        <f>I27-L27</f>
        <v>28000</v>
      </c>
      <c r="O27" s="8">
        <v>0</v>
      </c>
      <c r="P27" s="8">
        <v>0</v>
      </c>
      <c r="Q27" s="8"/>
      <c r="R27" s="8">
        <v>0</v>
      </c>
      <c r="S27" s="8">
        <v>0</v>
      </c>
    </row>
    <row r="28" ht="31.5" customHeight="1" spans="1:19" x14ac:dyDescent="0.25">
      <c r="A28" s="5" t="s">
        <v>1001</v>
      </c>
      <c r="B28" s="6" t="s">
        <v>1002</v>
      </c>
      <c r="C28" s="6"/>
      <c r="D28" s="5" t="s">
        <v>29</v>
      </c>
      <c r="E28" s="5" t="s">
        <v>11</v>
      </c>
      <c r="F28" s="5" t="s">
        <v>11</v>
      </c>
      <c r="G28" s="5" t="s">
        <v>11</v>
      </c>
      <c r="H28" s="7">
        <v>1</v>
      </c>
      <c r="I28" s="8">
        <v>15000</v>
      </c>
      <c r="J28" s="8"/>
      <c r="K28" s="8">
        <v>0</v>
      </c>
      <c r="L28" s="8">
        <v>4527.77</v>
      </c>
      <c r="M28" s="8"/>
      <c r="N28" s="8">
        <f>I28-L28</f>
        <v>10472.23</v>
      </c>
      <c r="O28" s="8">
        <v>0</v>
      </c>
      <c r="P28" s="8">
        <v>0</v>
      </c>
      <c r="Q28" s="8"/>
      <c r="R28" s="8">
        <v>0</v>
      </c>
      <c r="S28" s="8">
        <v>0</v>
      </c>
    </row>
    <row r="29" ht="31.5" customHeight="1" spans="1:19" x14ac:dyDescent="0.25">
      <c r="A29" s="5" t="s">
        <v>1003</v>
      </c>
      <c r="B29" s="6" t="s">
        <v>1004</v>
      </c>
      <c r="C29" s="6"/>
      <c r="D29" s="5" t="s">
        <v>29</v>
      </c>
      <c r="E29" s="5" t="s">
        <v>11</v>
      </c>
      <c r="F29" s="5" t="s">
        <v>11</v>
      </c>
      <c r="G29" s="5" t="s">
        <v>11</v>
      </c>
      <c r="H29" s="7">
        <v>3</v>
      </c>
      <c r="I29" s="8">
        <v>164000</v>
      </c>
      <c r="J29" s="8"/>
      <c r="K29" s="8">
        <v>0</v>
      </c>
      <c r="L29" s="8">
        <v>127500</v>
      </c>
      <c r="M29" s="8"/>
      <c r="N29" s="8">
        <f>I29-L29</f>
        <v>36500</v>
      </c>
      <c r="O29" s="8">
        <v>0</v>
      </c>
      <c r="P29" s="8">
        <v>0</v>
      </c>
      <c r="Q29" s="8"/>
      <c r="R29" s="8">
        <v>0</v>
      </c>
      <c r="S29" s="8">
        <v>0</v>
      </c>
    </row>
    <row r="30" ht="31.5" customHeight="1" spans="1:19" x14ac:dyDescent="0.25">
      <c r="A30" s="5" t="s">
        <v>1005</v>
      </c>
      <c r="B30" s="6" t="s">
        <v>1006</v>
      </c>
      <c r="C30" s="6"/>
      <c r="D30" s="5" t="s">
        <v>29</v>
      </c>
      <c r="E30" s="5" t="s">
        <v>11</v>
      </c>
      <c r="F30" s="5" t="s">
        <v>11</v>
      </c>
      <c r="G30" s="5" t="s">
        <v>11</v>
      </c>
      <c r="H30" s="7">
        <v>1</v>
      </c>
      <c r="I30" s="8">
        <v>35000</v>
      </c>
      <c r="J30" s="8"/>
      <c r="K30" s="8">
        <v>0</v>
      </c>
      <c r="L30" s="8">
        <v>0</v>
      </c>
      <c r="M30" s="8"/>
      <c r="N30" s="8">
        <f>I30-L30</f>
        <v>35000</v>
      </c>
      <c r="O30" s="8">
        <v>0</v>
      </c>
      <c r="P30" s="8">
        <v>0</v>
      </c>
      <c r="Q30" s="8"/>
      <c r="R30" s="8">
        <v>0</v>
      </c>
      <c r="S30" s="8">
        <v>0</v>
      </c>
    </row>
    <row r="31" ht="31.5" customHeight="1" spans="1:19" x14ac:dyDescent="0.25">
      <c r="A31" s="5" t="s">
        <v>1007</v>
      </c>
      <c r="B31" s="6" t="s">
        <v>1008</v>
      </c>
      <c r="C31" s="6"/>
      <c r="D31" s="5" t="s">
        <v>29</v>
      </c>
      <c r="E31" s="5" t="s">
        <v>11</v>
      </c>
      <c r="F31" s="5" t="s">
        <v>11</v>
      </c>
      <c r="G31" s="5" t="s">
        <v>11</v>
      </c>
      <c r="H31" s="7">
        <v>2</v>
      </c>
      <c r="I31" s="8">
        <v>70000</v>
      </c>
      <c r="J31" s="8"/>
      <c r="K31" s="8">
        <v>0</v>
      </c>
      <c r="L31" s="8">
        <v>0</v>
      </c>
      <c r="M31" s="8"/>
      <c r="N31" s="8">
        <f>I31-L31</f>
        <v>70000</v>
      </c>
      <c r="O31" s="8">
        <v>0</v>
      </c>
      <c r="P31" s="8">
        <v>0</v>
      </c>
      <c r="Q31" s="8"/>
      <c r="R31" s="8">
        <v>0</v>
      </c>
      <c r="S31" s="8">
        <v>0</v>
      </c>
    </row>
    <row r="32" ht="31.5" customHeight="1" spans="1:19" x14ac:dyDescent="0.25">
      <c r="A32" s="5" t="s">
        <v>1009</v>
      </c>
      <c r="B32" s="6" t="s">
        <v>1010</v>
      </c>
      <c r="C32" s="6"/>
      <c r="D32" s="5" t="s">
        <v>29</v>
      </c>
      <c r="E32" s="5" t="s">
        <v>11</v>
      </c>
      <c r="F32" s="5" t="s">
        <v>11</v>
      </c>
      <c r="G32" s="5" t="s">
        <v>11</v>
      </c>
      <c r="H32" s="7">
        <v>1</v>
      </c>
      <c r="I32" s="8">
        <v>28000</v>
      </c>
      <c r="J32" s="8"/>
      <c r="K32" s="8">
        <v>0</v>
      </c>
      <c r="L32" s="8">
        <v>0</v>
      </c>
      <c r="M32" s="8"/>
      <c r="N32" s="8">
        <f>I32-L32</f>
        <v>28000</v>
      </c>
      <c r="O32" s="8">
        <v>0</v>
      </c>
      <c r="P32" s="8">
        <v>0</v>
      </c>
      <c r="Q32" s="8"/>
      <c r="R32" s="8">
        <v>0</v>
      </c>
      <c r="S32" s="8">
        <v>0</v>
      </c>
    </row>
    <row r="33" ht="31.5" customHeight="1" spans="1:19" x14ac:dyDescent="0.25">
      <c r="A33" s="5" t="s">
        <v>1011</v>
      </c>
      <c r="B33" s="6" t="s">
        <v>1012</v>
      </c>
      <c r="C33" s="6"/>
      <c r="D33" s="5" t="s">
        <v>29</v>
      </c>
      <c r="E33" s="5" t="s">
        <v>11</v>
      </c>
      <c r="F33" s="5" t="s">
        <v>11</v>
      </c>
      <c r="G33" s="5" t="s">
        <v>11</v>
      </c>
      <c r="H33" s="7">
        <v>2</v>
      </c>
      <c r="I33" s="8">
        <v>40000</v>
      </c>
      <c r="J33" s="8"/>
      <c r="K33" s="8">
        <v>0</v>
      </c>
      <c r="L33" s="8">
        <v>20500</v>
      </c>
      <c r="M33" s="8"/>
      <c r="N33" s="8">
        <f>I33-L33</f>
        <v>19500</v>
      </c>
      <c r="O33" s="8">
        <v>0</v>
      </c>
      <c r="P33" s="8">
        <v>0</v>
      </c>
      <c r="Q33" s="8"/>
      <c r="R33" s="8">
        <v>0</v>
      </c>
      <c r="S33" s="8">
        <v>0</v>
      </c>
    </row>
    <row r="34" ht="31.5" customHeight="1" spans="1:19" x14ac:dyDescent="0.25">
      <c r="A34" s="5" t="s">
        <v>1013</v>
      </c>
      <c r="B34" s="6" t="s">
        <v>1014</v>
      </c>
      <c r="C34" s="6"/>
      <c r="D34" s="5" t="s">
        <v>363</v>
      </c>
      <c r="E34" s="5" t="s">
        <v>11</v>
      </c>
      <c r="F34" s="5" t="s">
        <v>11</v>
      </c>
      <c r="G34" s="5" t="s">
        <v>11</v>
      </c>
      <c r="H34" s="7">
        <v>1</v>
      </c>
      <c r="I34" s="8">
        <v>15000</v>
      </c>
      <c r="J34" s="8"/>
      <c r="K34" s="8">
        <v>0</v>
      </c>
      <c r="L34" s="8">
        <v>4527.77</v>
      </c>
      <c r="M34" s="8"/>
      <c r="N34" s="8">
        <f>I34-L34</f>
        <v>10472.23</v>
      </c>
      <c r="O34" s="8">
        <v>0</v>
      </c>
      <c r="P34" s="8">
        <v>0</v>
      </c>
      <c r="Q34" s="8"/>
      <c r="R34" s="8">
        <v>0</v>
      </c>
      <c r="S34" s="8">
        <v>0</v>
      </c>
    </row>
    <row r="35" ht="31.5" customHeight="1" spans="1:19" x14ac:dyDescent="0.25">
      <c r="A35" s="5" t="s">
        <v>1015</v>
      </c>
      <c r="B35" s="6" t="s">
        <v>1016</v>
      </c>
      <c r="C35" s="6"/>
      <c r="D35" s="5" t="s">
        <v>363</v>
      </c>
      <c r="E35" s="5" t="s">
        <v>11</v>
      </c>
      <c r="F35" s="5" t="s">
        <v>11</v>
      </c>
      <c r="G35" s="5" t="s">
        <v>11</v>
      </c>
      <c r="H35" s="7">
        <v>1</v>
      </c>
      <c r="I35" s="8">
        <v>20000</v>
      </c>
      <c r="J35" s="8"/>
      <c r="K35" s="8">
        <v>0</v>
      </c>
      <c r="L35" s="8">
        <v>10250</v>
      </c>
      <c r="M35" s="8"/>
      <c r="N35" s="8">
        <f>I35-L35</f>
        <v>9750</v>
      </c>
      <c r="O35" s="8">
        <v>0</v>
      </c>
      <c r="P35" s="8">
        <v>0</v>
      </c>
      <c r="Q35" s="8"/>
      <c r="R35" s="8">
        <v>0</v>
      </c>
      <c r="S35" s="8">
        <v>0</v>
      </c>
    </row>
    <row r="36" ht="31.5" customHeight="1" spans="1:19" x14ac:dyDescent="0.25">
      <c r="A36" s="5" t="s">
        <v>1017</v>
      </c>
      <c r="B36" s="6" t="s">
        <v>1018</v>
      </c>
      <c r="C36" s="6"/>
      <c r="D36" s="5" t="s">
        <v>363</v>
      </c>
      <c r="E36" s="5" t="s">
        <v>11</v>
      </c>
      <c r="F36" s="5" t="s">
        <v>11</v>
      </c>
      <c r="G36" s="5" t="s">
        <v>11</v>
      </c>
      <c r="H36" s="7">
        <v>2</v>
      </c>
      <c r="I36" s="8">
        <v>40000</v>
      </c>
      <c r="J36" s="8"/>
      <c r="K36" s="8">
        <v>0</v>
      </c>
      <c r="L36" s="8">
        <v>20500</v>
      </c>
      <c r="M36" s="8"/>
      <c r="N36" s="8">
        <f>I36-L36</f>
        <v>19500</v>
      </c>
      <c r="O36" s="8">
        <v>0</v>
      </c>
      <c r="P36" s="8">
        <v>0</v>
      </c>
      <c r="Q36" s="8"/>
      <c r="R36" s="8">
        <v>0</v>
      </c>
      <c r="S36" s="8">
        <v>0</v>
      </c>
    </row>
    <row r="37" ht="31.5" customHeight="1" spans="1:19" x14ac:dyDescent="0.25">
      <c r="A37" s="5" t="s">
        <v>1019</v>
      </c>
      <c r="B37" s="6" t="s">
        <v>1020</v>
      </c>
      <c r="C37" s="6"/>
      <c r="D37" s="5" t="s">
        <v>363</v>
      </c>
      <c r="E37" s="5" t="s">
        <v>11</v>
      </c>
      <c r="F37" s="5" t="s">
        <v>11</v>
      </c>
      <c r="G37" s="5" t="s">
        <v>11</v>
      </c>
      <c r="H37" s="7">
        <v>2</v>
      </c>
      <c r="I37" s="8">
        <v>30000</v>
      </c>
      <c r="J37" s="8"/>
      <c r="K37" s="8">
        <v>0</v>
      </c>
      <c r="L37" s="8">
        <v>9055.54</v>
      </c>
      <c r="M37" s="8"/>
      <c r="N37" s="8">
        <f>I37-L37</f>
        <v>20944.46</v>
      </c>
      <c r="O37" s="8">
        <v>0</v>
      </c>
      <c r="P37" s="8">
        <v>0</v>
      </c>
      <c r="Q37" s="8"/>
      <c r="R37" s="8">
        <v>0</v>
      </c>
      <c r="S37" s="8">
        <v>0</v>
      </c>
    </row>
    <row r="38" ht="31.5" customHeight="1" spans="1:19" x14ac:dyDescent="0.25">
      <c r="A38" s="5" t="s">
        <v>1021</v>
      </c>
      <c r="B38" s="6" t="s">
        <v>1022</v>
      </c>
      <c r="C38" s="6"/>
      <c r="D38" s="5" t="s">
        <v>363</v>
      </c>
      <c r="E38" s="5" t="s">
        <v>11</v>
      </c>
      <c r="F38" s="5" t="s">
        <v>11</v>
      </c>
      <c r="G38" s="5" t="s">
        <v>11</v>
      </c>
      <c r="H38" s="7">
        <v>2</v>
      </c>
      <c r="I38" s="8">
        <v>60000</v>
      </c>
      <c r="J38" s="8"/>
      <c r="K38" s="8">
        <v>0</v>
      </c>
      <c r="L38" s="8">
        <v>0</v>
      </c>
      <c r="M38" s="8"/>
      <c r="N38" s="8">
        <f>I38-L38</f>
        <v>60000</v>
      </c>
      <c r="O38" s="8">
        <v>0</v>
      </c>
      <c r="P38" s="8">
        <v>0</v>
      </c>
      <c r="Q38" s="8"/>
      <c r="R38" s="8">
        <v>0</v>
      </c>
      <c r="S38" s="8">
        <v>0</v>
      </c>
    </row>
    <row r="39" ht="31.5" customHeight="1" spans="1:19" x14ac:dyDescent="0.25">
      <c r="A39" s="5" t="s">
        <v>1023</v>
      </c>
      <c r="B39" s="6" t="s">
        <v>1024</v>
      </c>
      <c r="C39" s="6"/>
      <c r="D39" s="5" t="s">
        <v>363</v>
      </c>
      <c r="E39" s="5" t="s">
        <v>11</v>
      </c>
      <c r="F39" s="5" t="s">
        <v>11</v>
      </c>
      <c r="G39" s="5" t="s">
        <v>11</v>
      </c>
      <c r="H39" s="7">
        <v>2</v>
      </c>
      <c r="I39" s="8">
        <v>24000</v>
      </c>
      <c r="J39" s="8"/>
      <c r="K39" s="8">
        <v>0</v>
      </c>
      <c r="L39" s="8">
        <v>12500</v>
      </c>
      <c r="M39" s="8"/>
      <c r="N39" s="8">
        <f>I39-L39</f>
        <v>11500</v>
      </c>
      <c r="O39" s="8">
        <v>0</v>
      </c>
      <c r="P39" s="8">
        <v>0</v>
      </c>
      <c r="Q39" s="8"/>
      <c r="R39" s="8">
        <v>0</v>
      </c>
      <c r="S39" s="8">
        <v>0</v>
      </c>
    </row>
    <row r="40" ht="31.5" customHeight="1" spans="1:19" x14ac:dyDescent="0.25">
      <c r="A40" s="5" t="s">
        <v>1025</v>
      </c>
      <c r="B40" s="6" t="s">
        <v>1026</v>
      </c>
      <c r="C40" s="6"/>
      <c r="D40" s="5" t="s">
        <v>363</v>
      </c>
      <c r="E40" s="5" t="s">
        <v>11</v>
      </c>
      <c r="F40" s="5" t="s">
        <v>11</v>
      </c>
      <c r="G40" s="5" t="s">
        <v>11</v>
      </c>
      <c r="H40" s="7">
        <v>1</v>
      </c>
      <c r="I40" s="8">
        <v>12000</v>
      </c>
      <c r="J40" s="8"/>
      <c r="K40" s="8">
        <v>0</v>
      </c>
      <c r="L40" s="8">
        <v>6250</v>
      </c>
      <c r="M40" s="8"/>
      <c r="N40" s="8">
        <f>I40-L40</f>
        <v>5750</v>
      </c>
      <c r="O40" s="8">
        <v>0</v>
      </c>
      <c r="P40" s="8">
        <v>0</v>
      </c>
      <c r="Q40" s="8"/>
      <c r="R40" s="8">
        <v>0</v>
      </c>
      <c r="S40" s="8">
        <v>0</v>
      </c>
    </row>
    <row r="41" ht="31.5" customHeight="1" spans="1:19" x14ac:dyDescent="0.25">
      <c r="A41" s="5" t="s">
        <v>1027</v>
      </c>
      <c r="B41" s="6" t="s">
        <v>1028</v>
      </c>
      <c r="C41" s="6"/>
      <c r="D41" s="5" t="s">
        <v>363</v>
      </c>
      <c r="E41" s="5" t="s">
        <v>11</v>
      </c>
      <c r="F41" s="5" t="s">
        <v>11</v>
      </c>
      <c r="G41" s="5" t="s">
        <v>11</v>
      </c>
      <c r="H41" s="7">
        <v>3</v>
      </c>
      <c r="I41" s="8">
        <v>90000</v>
      </c>
      <c r="J41" s="8"/>
      <c r="K41" s="8">
        <v>0</v>
      </c>
      <c r="L41" s="8">
        <v>0</v>
      </c>
      <c r="M41" s="8"/>
      <c r="N41" s="8">
        <f>I41-L41</f>
        <v>90000</v>
      </c>
      <c r="O41" s="8">
        <v>0</v>
      </c>
      <c r="P41" s="8">
        <v>0</v>
      </c>
      <c r="Q41" s="8"/>
      <c r="R41" s="8">
        <v>0</v>
      </c>
      <c r="S41" s="8">
        <v>0</v>
      </c>
    </row>
    <row r="42" ht="31.5" customHeight="1" spans="1:19" x14ac:dyDescent="0.25">
      <c r="A42" s="5" t="s">
        <v>1029</v>
      </c>
      <c r="B42" s="6" t="s">
        <v>1030</v>
      </c>
      <c r="C42" s="6"/>
      <c r="D42" s="5" t="s">
        <v>363</v>
      </c>
      <c r="E42" s="5" t="s">
        <v>11</v>
      </c>
      <c r="F42" s="5" t="s">
        <v>11</v>
      </c>
      <c r="G42" s="5" t="s">
        <v>11</v>
      </c>
      <c r="H42" s="7">
        <v>2</v>
      </c>
      <c r="I42" s="8">
        <v>550000</v>
      </c>
      <c r="J42" s="8"/>
      <c r="K42" s="8">
        <v>0</v>
      </c>
      <c r="L42" s="8">
        <v>0</v>
      </c>
      <c r="M42" s="8"/>
      <c r="N42" s="8">
        <f>I42-L42</f>
        <v>550000</v>
      </c>
      <c r="O42" s="8">
        <v>0</v>
      </c>
      <c r="P42" s="8">
        <v>0</v>
      </c>
      <c r="Q42" s="8"/>
      <c r="R42" s="8">
        <v>0</v>
      </c>
      <c r="S42" s="8">
        <v>0</v>
      </c>
    </row>
    <row r="43" ht="31.5" customHeight="1" spans="1:19" x14ac:dyDescent="0.25">
      <c r="A43" s="5" t="s">
        <v>1031</v>
      </c>
      <c r="B43" s="6" t="s">
        <v>1032</v>
      </c>
      <c r="C43" s="6"/>
      <c r="D43" s="5" t="s">
        <v>363</v>
      </c>
      <c r="E43" s="5" t="s">
        <v>11</v>
      </c>
      <c r="F43" s="5" t="s">
        <v>11</v>
      </c>
      <c r="G43" s="5" t="s">
        <v>11</v>
      </c>
      <c r="H43" s="7">
        <v>1</v>
      </c>
      <c r="I43" s="8">
        <v>28000</v>
      </c>
      <c r="J43" s="8"/>
      <c r="K43" s="8">
        <v>0</v>
      </c>
      <c r="L43" s="8">
        <v>0</v>
      </c>
      <c r="M43" s="8"/>
      <c r="N43" s="8">
        <f>I43-L43</f>
        <v>28000</v>
      </c>
      <c r="O43" s="8">
        <v>0</v>
      </c>
      <c r="P43" s="8">
        <v>0</v>
      </c>
      <c r="Q43" s="8"/>
      <c r="R43" s="8">
        <v>0</v>
      </c>
      <c r="S43" s="8">
        <v>0</v>
      </c>
    </row>
    <row r="44" ht="31.5" customHeight="1" spans="1:19" x14ac:dyDescent="0.25">
      <c r="A44" s="5" t="s">
        <v>1033</v>
      </c>
      <c r="B44" s="6" t="s">
        <v>1034</v>
      </c>
      <c r="C44" s="6"/>
      <c r="D44" s="5" t="s">
        <v>363</v>
      </c>
      <c r="E44" s="5" t="s">
        <v>11</v>
      </c>
      <c r="F44" s="5" t="s">
        <v>11</v>
      </c>
      <c r="G44" s="5" t="s">
        <v>11</v>
      </c>
      <c r="H44" s="7">
        <v>2</v>
      </c>
      <c r="I44" s="8">
        <v>22000</v>
      </c>
      <c r="J44" s="8"/>
      <c r="K44" s="8">
        <v>0</v>
      </c>
      <c r="L44" s="8">
        <v>8337.18</v>
      </c>
      <c r="M44" s="8"/>
      <c r="N44" s="8">
        <f>I44-L44</f>
        <v>13662.82</v>
      </c>
      <c r="O44" s="8">
        <v>0</v>
      </c>
      <c r="P44" s="8">
        <v>0</v>
      </c>
      <c r="Q44" s="8"/>
      <c r="R44" s="8">
        <v>0</v>
      </c>
      <c r="S44" s="8">
        <v>0</v>
      </c>
    </row>
    <row r="45" ht="31.5" customHeight="1" spans="1:19" x14ac:dyDescent="0.25">
      <c r="A45" s="5" t="s">
        <v>1035</v>
      </c>
      <c r="B45" s="6" t="s">
        <v>1036</v>
      </c>
      <c r="C45" s="6"/>
      <c r="D45" s="5" t="s">
        <v>363</v>
      </c>
      <c r="E45" s="5" t="s">
        <v>11</v>
      </c>
      <c r="F45" s="5" t="s">
        <v>11</v>
      </c>
      <c r="G45" s="5" t="s">
        <v>11</v>
      </c>
      <c r="H45" s="7">
        <v>2</v>
      </c>
      <c r="I45" s="8">
        <v>300000</v>
      </c>
      <c r="J45" s="8"/>
      <c r="K45" s="8">
        <v>0</v>
      </c>
      <c r="L45" s="8">
        <v>0</v>
      </c>
      <c r="M45" s="8"/>
      <c r="N45" s="8">
        <f>I45-L45</f>
        <v>300000</v>
      </c>
      <c r="O45" s="8">
        <v>0</v>
      </c>
      <c r="P45" s="8">
        <v>0</v>
      </c>
      <c r="Q45" s="8"/>
      <c r="R45" s="8">
        <v>0</v>
      </c>
      <c r="S45" s="8">
        <v>0</v>
      </c>
    </row>
    <row r="46" ht="31.5" customHeight="1" spans="1:19" x14ac:dyDescent="0.25">
      <c r="A46" s="5" t="s">
        <v>1037</v>
      </c>
      <c r="B46" s="6" t="s">
        <v>1038</v>
      </c>
      <c r="C46" s="6"/>
      <c r="D46" s="5" t="s">
        <v>363</v>
      </c>
      <c r="E46" s="5" t="s">
        <v>11</v>
      </c>
      <c r="F46" s="5" t="s">
        <v>11</v>
      </c>
      <c r="G46" s="5" t="s">
        <v>11</v>
      </c>
      <c r="H46" s="7">
        <v>1</v>
      </c>
      <c r="I46" s="8">
        <v>12000</v>
      </c>
      <c r="J46" s="8"/>
      <c r="K46" s="8">
        <v>0</v>
      </c>
      <c r="L46" s="8">
        <v>6250</v>
      </c>
      <c r="M46" s="8"/>
      <c r="N46" s="8">
        <f>I46-L46</f>
        <v>5750</v>
      </c>
      <c r="O46" s="8">
        <v>0</v>
      </c>
      <c r="P46" s="8">
        <v>0</v>
      </c>
      <c r="Q46" s="8"/>
      <c r="R46" s="8">
        <v>0</v>
      </c>
      <c r="S46" s="8">
        <v>0</v>
      </c>
    </row>
    <row r="47" ht="31.5" customHeight="1" spans="1:19" x14ac:dyDescent="0.25">
      <c r="A47" s="5" t="s">
        <v>1039</v>
      </c>
      <c r="B47" s="6" t="s">
        <v>1040</v>
      </c>
      <c r="C47" s="6"/>
      <c r="D47" s="5" t="s">
        <v>363</v>
      </c>
      <c r="E47" s="5" t="s">
        <v>11</v>
      </c>
      <c r="F47" s="5" t="s">
        <v>11</v>
      </c>
      <c r="G47" s="5" t="s">
        <v>11</v>
      </c>
      <c r="H47" s="7">
        <v>1</v>
      </c>
      <c r="I47" s="8">
        <v>35000</v>
      </c>
      <c r="J47" s="8"/>
      <c r="K47" s="8">
        <v>0</v>
      </c>
      <c r="L47" s="8">
        <v>0</v>
      </c>
      <c r="M47" s="8"/>
      <c r="N47" s="8">
        <f>I47-L47</f>
        <v>35000</v>
      </c>
      <c r="O47" s="8">
        <v>0</v>
      </c>
      <c r="P47" s="8">
        <v>0</v>
      </c>
      <c r="Q47" s="8"/>
      <c r="R47" s="8">
        <v>0</v>
      </c>
      <c r="S47" s="8">
        <v>0</v>
      </c>
    </row>
    <row r="48" ht="31.5" customHeight="1" spans="1:19" x14ac:dyDescent="0.25">
      <c r="A48" s="5" t="s">
        <v>1041</v>
      </c>
      <c r="B48" s="6" t="s">
        <v>1042</v>
      </c>
      <c r="C48" s="6"/>
      <c r="D48" s="5" t="s">
        <v>363</v>
      </c>
      <c r="E48" s="5" t="s">
        <v>11</v>
      </c>
      <c r="F48" s="5" t="s">
        <v>11</v>
      </c>
      <c r="G48" s="5" t="s">
        <v>11</v>
      </c>
      <c r="H48" s="7">
        <v>1</v>
      </c>
      <c r="I48" s="8">
        <v>20000</v>
      </c>
      <c r="J48" s="8"/>
      <c r="K48" s="8">
        <v>0</v>
      </c>
      <c r="L48" s="8">
        <v>10250</v>
      </c>
      <c r="M48" s="8"/>
      <c r="N48" s="8">
        <f>I48-L48</f>
        <v>9750</v>
      </c>
      <c r="O48" s="8">
        <v>0</v>
      </c>
      <c r="P48" s="8">
        <v>0</v>
      </c>
      <c r="Q48" s="8"/>
      <c r="R48" s="8">
        <v>0</v>
      </c>
      <c r="S48" s="8">
        <v>0</v>
      </c>
    </row>
    <row r="49" ht="31.5" customHeight="1" spans="1:19" x14ac:dyDescent="0.25">
      <c r="A49" s="5" t="s">
        <v>1043</v>
      </c>
      <c r="B49" s="6" t="s">
        <v>1044</v>
      </c>
      <c r="C49" s="6"/>
      <c r="D49" s="5" t="s">
        <v>363</v>
      </c>
      <c r="E49" s="5" t="s">
        <v>11</v>
      </c>
      <c r="F49" s="5" t="s">
        <v>11</v>
      </c>
      <c r="G49" s="5" t="s">
        <v>11</v>
      </c>
      <c r="H49" s="7">
        <v>1</v>
      </c>
      <c r="I49" s="8">
        <v>15000</v>
      </c>
      <c r="J49" s="8"/>
      <c r="K49" s="8">
        <v>0</v>
      </c>
      <c r="L49" s="8">
        <v>4527.77</v>
      </c>
      <c r="M49" s="8"/>
      <c r="N49" s="8">
        <f>I49-L49</f>
        <v>10472.23</v>
      </c>
      <c r="O49" s="8">
        <v>0</v>
      </c>
      <c r="P49" s="8">
        <v>0</v>
      </c>
      <c r="Q49" s="8"/>
      <c r="R49" s="8">
        <v>0</v>
      </c>
      <c r="S49" s="8">
        <v>0</v>
      </c>
    </row>
    <row r="50" ht="31.5" customHeight="1" spans="1:19" x14ac:dyDescent="0.25">
      <c r="A50" s="5" t="s">
        <v>1045</v>
      </c>
      <c r="B50" s="6" t="s">
        <v>1046</v>
      </c>
      <c r="C50" s="6"/>
      <c r="D50" s="5" t="s">
        <v>363</v>
      </c>
      <c r="E50" s="5" t="s">
        <v>11</v>
      </c>
      <c r="F50" s="5" t="s">
        <v>11</v>
      </c>
      <c r="G50" s="5" t="s">
        <v>11</v>
      </c>
      <c r="H50" s="7">
        <v>2</v>
      </c>
      <c r="I50" s="8">
        <v>300000</v>
      </c>
      <c r="J50" s="8"/>
      <c r="K50" s="8">
        <v>0</v>
      </c>
      <c r="L50" s="8">
        <v>0</v>
      </c>
      <c r="M50" s="8"/>
      <c r="N50" s="8">
        <f>I50-L50</f>
        <v>300000</v>
      </c>
      <c r="O50" s="8">
        <v>0</v>
      </c>
      <c r="P50" s="8">
        <v>0</v>
      </c>
      <c r="Q50" s="8"/>
      <c r="R50" s="8">
        <v>0</v>
      </c>
      <c r="S50" s="8">
        <v>0</v>
      </c>
    </row>
    <row r="51" ht="18" customHeight="1" spans="1:19" x14ac:dyDescent="0.25">
      <c r="A51" s="9" t="s">
        <v>177</v>
      </c>
      <c r="B51" s="9"/>
      <c r="C51" s="9"/>
      <c r="D51" s="9"/>
      <c r="E51" s="9"/>
      <c r="F51" s="9"/>
      <c r="G51" s="9"/>
      <c r="H51" s="10">
        <f>SUM(H5:H50)</f>
        <v>75</v>
      </c>
      <c r="I51" s="11">
        <f>SUM(I5:I50)</f>
        <v>4305000</v>
      </c>
      <c r="J51" s="11"/>
      <c r="K51" s="11">
        <v>0</v>
      </c>
      <c r="L51" s="11">
        <f>SUM(L5:L50)</f>
        <v>381896.52</v>
      </c>
      <c r="M51" s="11"/>
      <c r="N51" s="11">
        <f>SUM(N5:N50)</f>
        <v>3923103.48</v>
      </c>
      <c r="O51" s="11">
        <v>0</v>
      </c>
      <c r="P51" s="11">
        <v>0</v>
      </c>
      <c r="Q51" s="11"/>
      <c r="R51" s="11">
        <f>SUM(R5:R50)</f>
        <v>0</v>
      </c>
      <c r="S51" s="11">
        <v>0</v>
      </c>
    </row>
  </sheetData>
  <mergeCells count="204">
    <mergeCell ref="A1:S1"/>
    <mergeCell ref="A2:B2"/>
    <mergeCell ref="C2:E2"/>
    <mergeCell ref="F2:I2"/>
    <mergeCell ref="J2:L2"/>
    <mergeCell ref="M2:P2"/>
    <mergeCell ref="Q2:S2"/>
    <mergeCell ref="A3:B3"/>
    <mergeCell ref="C3:E3"/>
    <mergeCell ref="F3:I3"/>
    <mergeCell ref="J3:L3"/>
    <mergeCell ref="M3:S3"/>
    <mergeCell ref="B4:C4"/>
    <mergeCell ref="I4:J4"/>
    <mergeCell ref="L4:M4"/>
    <mergeCell ref="P4:Q4"/>
    <mergeCell ref="B5:C5"/>
    <mergeCell ref="I5:J5"/>
    <mergeCell ref="L5:M5"/>
    <mergeCell ref="P5:Q5"/>
    <mergeCell ref="B6:C6"/>
    <mergeCell ref="I6:J6"/>
    <mergeCell ref="L6:M6"/>
    <mergeCell ref="P6:Q6"/>
    <mergeCell ref="B7:C7"/>
    <mergeCell ref="I7:J7"/>
    <mergeCell ref="L7:M7"/>
    <mergeCell ref="P7:Q7"/>
    <mergeCell ref="B8:C8"/>
    <mergeCell ref="I8:J8"/>
    <mergeCell ref="L8:M8"/>
    <mergeCell ref="P8:Q8"/>
    <mergeCell ref="B9:C9"/>
    <mergeCell ref="I9:J9"/>
    <mergeCell ref="L9:M9"/>
    <mergeCell ref="P9:Q9"/>
    <mergeCell ref="B10:C10"/>
    <mergeCell ref="I10:J10"/>
    <mergeCell ref="L10:M10"/>
    <mergeCell ref="P10:Q10"/>
    <mergeCell ref="B11:C11"/>
    <mergeCell ref="I11:J11"/>
    <mergeCell ref="L11:M11"/>
    <mergeCell ref="P11:Q11"/>
    <mergeCell ref="B12:C12"/>
    <mergeCell ref="I12:J12"/>
    <mergeCell ref="L12:M12"/>
    <mergeCell ref="P12:Q12"/>
    <mergeCell ref="B13:C13"/>
    <mergeCell ref="I13:J13"/>
    <mergeCell ref="L13:M13"/>
    <mergeCell ref="P13:Q13"/>
    <mergeCell ref="B14:C14"/>
    <mergeCell ref="I14:J14"/>
    <mergeCell ref="L14:M14"/>
    <mergeCell ref="P14:Q14"/>
    <mergeCell ref="B15:C15"/>
    <mergeCell ref="I15:J15"/>
    <mergeCell ref="L15:M15"/>
    <mergeCell ref="P15:Q15"/>
    <mergeCell ref="B16:C16"/>
    <mergeCell ref="I16:J16"/>
    <mergeCell ref="L16:M16"/>
    <mergeCell ref="P16:Q16"/>
    <mergeCell ref="B17:C17"/>
    <mergeCell ref="I17:J17"/>
    <mergeCell ref="L17:M17"/>
    <mergeCell ref="P17:Q17"/>
    <mergeCell ref="B18:C18"/>
    <mergeCell ref="I18:J18"/>
    <mergeCell ref="L18:M18"/>
    <mergeCell ref="P18:Q18"/>
    <mergeCell ref="B19:C19"/>
    <mergeCell ref="I19:J19"/>
    <mergeCell ref="L19:M19"/>
    <mergeCell ref="P19:Q19"/>
    <mergeCell ref="B20:C20"/>
    <mergeCell ref="I20:J20"/>
    <mergeCell ref="L20:M20"/>
    <mergeCell ref="P20:Q20"/>
    <mergeCell ref="B21:C21"/>
    <mergeCell ref="I21:J21"/>
    <mergeCell ref="L21:M21"/>
    <mergeCell ref="P21:Q21"/>
    <mergeCell ref="B22:C22"/>
    <mergeCell ref="I22:J22"/>
    <mergeCell ref="L22:M22"/>
    <mergeCell ref="P22:Q22"/>
    <mergeCell ref="B23:C23"/>
    <mergeCell ref="I23:J23"/>
    <mergeCell ref="L23:M23"/>
    <mergeCell ref="P23:Q23"/>
    <mergeCell ref="B24:C24"/>
    <mergeCell ref="I24:J24"/>
    <mergeCell ref="L24:M24"/>
    <mergeCell ref="P24:Q24"/>
    <mergeCell ref="B25:C25"/>
    <mergeCell ref="I25:J25"/>
    <mergeCell ref="L25:M25"/>
    <mergeCell ref="P25:Q25"/>
    <mergeCell ref="B26:C26"/>
    <mergeCell ref="I26:J26"/>
    <mergeCell ref="L26:M26"/>
    <mergeCell ref="P26:Q26"/>
    <mergeCell ref="B27:C27"/>
    <mergeCell ref="I27:J27"/>
    <mergeCell ref="L27:M27"/>
    <mergeCell ref="P27:Q27"/>
    <mergeCell ref="B28:C28"/>
    <mergeCell ref="I28:J28"/>
    <mergeCell ref="L28:M28"/>
    <mergeCell ref="P28:Q28"/>
    <mergeCell ref="B29:C29"/>
    <mergeCell ref="I29:J29"/>
    <mergeCell ref="L29:M29"/>
    <mergeCell ref="P29:Q29"/>
    <mergeCell ref="B30:C30"/>
    <mergeCell ref="I30:J30"/>
    <mergeCell ref="L30:M30"/>
    <mergeCell ref="P30:Q30"/>
    <mergeCell ref="B31:C31"/>
    <mergeCell ref="I31:J31"/>
    <mergeCell ref="L31:M31"/>
    <mergeCell ref="P31:Q31"/>
    <mergeCell ref="B32:C32"/>
    <mergeCell ref="I32:J32"/>
    <mergeCell ref="L32:M32"/>
    <mergeCell ref="P32:Q32"/>
    <mergeCell ref="B33:C33"/>
    <mergeCell ref="I33:J33"/>
    <mergeCell ref="L33:M33"/>
    <mergeCell ref="P33:Q33"/>
    <mergeCell ref="B34:C34"/>
    <mergeCell ref="I34:J34"/>
    <mergeCell ref="L34:M34"/>
    <mergeCell ref="P34:Q34"/>
    <mergeCell ref="B35:C35"/>
    <mergeCell ref="I35:J35"/>
    <mergeCell ref="L35:M35"/>
    <mergeCell ref="P35:Q35"/>
    <mergeCell ref="B36:C36"/>
    <mergeCell ref="I36:J36"/>
    <mergeCell ref="L36:M36"/>
    <mergeCell ref="P36:Q36"/>
    <mergeCell ref="B37:C37"/>
    <mergeCell ref="I37:J37"/>
    <mergeCell ref="L37:M37"/>
    <mergeCell ref="P37:Q37"/>
    <mergeCell ref="B38:C38"/>
    <mergeCell ref="I38:J38"/>
    <mergeCell ref="L38:M38"/>
    <mergeCell ref="P38:Q38"/>
    <mergeCell ref="B39:C39"/>
    <mergeCell ref="I39:J39"/>
    <mergeCell ref="L39:M39"/>
    <mergeCell ref="P39:Q39"/>
    <mergeCell ref="B40:C40"/>
    <mergeCell ref="I40:J40"/>
    <mergeCell ref="L40:M40"/>
    <mergeCell ref="P40:Q40"/>
    <mergeCell ref="B41:C41"/>
    <mergeCell ref="I41:J41"/>
    <mergeCell ref="L41:M41"/>
    <mergeCell ref="P41:Q41"/>
    <mergeCell ref="B42:C42"/>
    <mergeCell ref="I42:J42"/>
    <mergeCell ref="L42:M42"/>
    <mergeCell ref="P42:Q42"/>
    <mergeCell ref="B43:C43"/>
    <mergeCell ref="I43:J43"/>
    <mergeCell ref="L43:M43"/>
    <mergeCell ref="P43:Q43"/>
    <mergeCell ref="B44:C44"/>
    <mergeCell ref="I44:J44"/>
    <mergeCell ref="L44:M44"/>
    <mergeCell ref="P44:Q44"/>
    <mergeCell ref="B45:C45"/>
    <mergeCell ref="I45:J45"/>
    <mergeCell ref="L45:M45"/>
    <mergeCell ref="P45:Q45"/>
    <mergeCell ref="B46:C46"/>
    <mergeCell ref="I46:J46"/>
    <mergeCell ref="L46:M46"/>
    <mergeCell ref="P46:Q46"/>
    <mergeCell ref="B47:C47"/>
    <mergeCell ref="I47:J47"/>
    <mergeCell ref="L47:M47"/>
    <mergeCell ref="P47:Q47"/>
    <mergeCell ref="B48:C48"/>
    <mergeCell ref="I48:J48"/>
    <mergeCell ref="L48:M48"/>
    <mergeCell ref="P48:Q48"/>
    <mergeCell ref="B49:C49"/>
    <mergeCell ref="I49:J49"/>
    <mergeCell ref="L49:M49"/>
    <mergeCell ref="P49:Q49"/>
    <mergeCell ref="B50:C50"/>
    <mergeCell ref="I50:J50"/>
    <mergeCell ref="L50:M50"/>
    <mergeCell ref="P50:Q50"/>
    <mergeCell ref="A51:G51"/>
    <mergeCell ref="I51:J51"/>
    <mergeCell ref="L51:M51"/>
    <mergeCell ref="P51:Q51"/>
  </mergeCells>
  <pageMargins left="0.2" right="0.2" top="0.3" bottom="0.3" header="0.1" footer="0.1"/>
  <pageSetup paperSize="9" orientation="landscape" horizontalDpi="4294967295" verticalDpi="4294967295" scale="100" fitToWidth="1" fitToHeight="0"/>
  <headerFooter>
    <oddFooter>&amp;LGenerated by AYO Olsera&amp;CPage &amp;P of &amp;N&amp;R&amp;D &amp;T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5"/>
  <sheetViews>
    <sheetView workbookViewId="0" zoomScale="80"/>
  </sheetViews>
  <sheetFormatPr defaultRowHeight="15.75" outlineLevelRow="0" outlineLevelCol="0" x14ac:dyDescent="55" customHeight="1"/>
  <cols>
    <col min="1" max="1" width="22" customWidth="1"/>
    <col min="2" max="2" width="12.1" hidden="1" customWidth="1"/>
    <col min="3" max="3" width="15.7" customWidth="1"/>
    <col min="4" max="4" width="17.4" customWidth="1"/>
    <col min="5" max="5" width="0.1" hidden="1" customWidth="1"/>
    <col min="6" max="6" width="16" customWidth="1"/>
    <col min="7" max="7" width="12" customWidth="1"/>
    <col min="9" max="9" width="14" customWidth="1"/>
    <col min="10" max="10" width="10" customWidth="1"/>
    <col min="12" max="12" width="9" hidden="1" customWidth="1"/>
    <col min="13" max="13" width="10" customWidth="1"/>
    <col min="14" max="14" width="15" customWidth="1"/>
    <col min="16" max="16" width="0.1" customWidth="1"/>
    <col min="17" max="18" width="10" customWidth="1"/>
    <col min="19" max="19" width="11" customWidth="1"/>
  </cols>
  <sheetData>
    <row r="1" ht="52.5" customHeight="1" spans="1:19" x14ac:dyDescent="0.25">
      <c r="A1" s="1" t="s">
        <v>1047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8.5" customHeight="1" spans="1:19" x14ac:dyDescent="0.25">
      <c r="A2" s="2" t="s">
        <v>1048</v>
      </c>
      <c r="B2" s="2"/>
      <c r="C2" s="2" t="s">
        <v>2</v>
      </c>
      <c r="D2" s="2"/>
      <c r="E2" s="2"/>
      <c r="F2" s="2" t="s">
        <v>1049</v>
      </c>
      <c r="G2" s="2"/>
      <c r="H2" s="2"/>
      <c r="I2" s="2"/>
      <c r="J2" s="2" t="s">
        <v>1050</v>
      </c>
      <c r="K2" s="2"/>
      <c r="L2" s="2"/>
      <c r="M2" s="2" t="s">
        <v>5</v>
      </c>
      <c r="N2" s="2"/>
      <c r="O2" s="2"/>
      <c r="P2" s="2"/>
      <c r="Q2" s="2" t="s">
        <v>6</v>
      </c>
      <c r="R2" s="2"/>
      <c r="S2" s="2"/>
    </row>
    <row r="3" ht="31.5" customHeight="1" spans="1:19" x14ac:dyDescent="0.25">
      <c r="A3" s="2" t="s">
        <v>7</v>
      </c>
      <c r="B3" s="2"/>
      <c r="C3" s="2" t="s">
        <v>8</v>
      </c>
      <c r="D3" s="2"/>
      <c r="E3" s="2"/>
      <c r="F3" s="2" t="s">
        <v>1051</v>
      </c>
      <c r="G3" s="2"/>
      <c r="H3" s="2"/>
      <c r="I3" s="2"/>
      <c r="J3" s="2" t="s">
        <v>10</v>
      </c>
      <c r="K3" s="2"/>
      <c r="L3" s="2"/>
      <c r="M3" s="3" t="s">
        <v>11</v>
      </c>
      <c r="N3" s="3"/>
      <c r="O3" s="3"/>
      <c r="P3" s="3"/>
      <c r="Q3" s="3"/>
      <c r="R3" s="3"/>
      <c r="S3" s="3"/>
    </row>
    <row r="4" ht="25.5" customHeight="1" spans="1:19" x14ac:dyDescent="0.25">
      <c r="A4" s="4" t="s">
        <v>12</v>
      </c>
      <c r="B4" s="4" t="s">
        <v>13</v>
      </c>
      <c r="C4" s="4"/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/>
      <c r="K4" s="4" t="s">
        <v>20</v>
      </c>
      <c r="L4" s="4" t="s">
        <v>21</v>
      </c>
      <c r="M4" s="4"/>
      <c r="N4" s="4" t="s">
        <v>22</v>
      </c>
      <c r="O4" s="4" t="s">
        <v>23</v>
      </c>
      <c r="P4" s="4" t="s">
        <v>24</v>
      </c>
      <c r="Q4" s="4"/>
      <c r="R4" s="4" t="s">
        <v>25</v>
      </c>
      <c r="S4" s="4" t="s">
        <v>26</v>
      </c>
    </row>
    <row r="5" ht="31.5" customHeight="1" spans="1:19" x14ac:dyDescent="0.25">
      <c r="A5" s="5" t="s">
        <v>1052</v>
      </c>
      <c r="B5" s="6" t="s">
        <v>1053</v>
      </c>
      <c r="C5" s="6"/>
      <c r="D5" s="5" t="s">
        <v>29</v>
      </c>
      <c r="E5" s="5" t="s">
        <v>11</v>
      </c>
      <c r="F5" s="5" t="s">
        <v>11</v>
      </c>
      <c r="G5" s="5" t="s">
        <v>11</v>
      </c>
      <c r="H5" s="7">
        <v>1</v>
      </c>
      <c r="I5" s="8">
        <v>30000</v>
      </c>
      <c r="J5" s="8"/>
      <c r="K5" s="8">
        <v>0</v>
      </c>
      <c r="L5" s="8">
        <v>0</v>
      </c>
      <c r="M5" s="8"/>
      <c r="N5" s="8">
        <f>I5-L5</f>
        <v>30000</v>
      </c>
      <c r="O5" s="8">
        <v>0</v>
      </c>
      <c r="P5" s="8">
        <v>0</v>
      </c>
      <c r="Q5" s="8"/>
      <c r="R5" s="8">
        <v>0</v>
      </c>
      <c r="S5" s="8">
        <v>0</v>
      </c>
    </row>
    <row r="6" ht="31.5" customHeight="1" spans="1:19" x14ac:dyDescent="0.25">
      <c r="A6" s="5" t="s">
        <v>1054</v>
      </c>
      <c r="B6" s="6" t="s">
        <v>1055</v>
      </c>
      <c r="C6" s="6"/>
      <c r="D6" s="5" t="s">
        <v>29</v>
      </c>
      <c r="E6" s="5" t="s">
        <v>11</v>
      </c>
      <c r="F6" s="5" t="s">
        <v>11</v>
      </c>
      <c r="G6" s="5" t="s">
        <v>11</v>
      </c>
      <c r="H6" s="7">
        <v>1</v>
      </c>
      <c r="I6" s="8">
        <v>15000</v>
      </c>
      <c r="J6" s="8"/>
      <c r="K6" s="8">
        <v>0</v>
      </c>
      <c r="L6" s="8">
        <v>4527.77</v>
      </c>
      <c r="M6" s="8"/>
      <c r="N6" s="8">
        <f>I6-L6</f>
        <v>10472.23</v>
      </c>
      <c r="O6" s="8">
        <v>0</v>
      </c>
      <c r="P6" s="8">
        <v>0</v>
      </c>
      <c r="Q6" s="8"/>
      <c r="R6" s="8">
        <v>0</v>
      </c>
      <c r="S6" s="8">
        <v>0</v>
      </c>
    </row>
    <row r="7" ht="31.5" customHeight="1" spans="1:19" x14ac:dyDescent="0.25">
      <c r="A7" s="5" t="s">
        <v>1056</v>
      </c>
      <c r="B7" s="6" t="s">
        <v>1057</v>
      </c>
      <c r="C7" s="6"/>
      <c r="D7" s="5" t="s">
        <v>29</v>
      </c>
      <c r="E7" s="5" t="s">
        <v>11</v>
      </c>
      <c r="F7" s="5" t="s">
        <v>11</v>
      </c>
      <c r="G7" s="5" t="s">
        <v>11</v>
      </c>
      <c r="H7" s="7">
        <v>1</v>
      </c>
      <c r="I7" s="8">
        <v>30000</v>
      </c>
      <c r="J7" s="8"/>
      <c r="K7" s="8">
        <v>0</v>
      </c>
      <c r="L7" s="8">
        <v>0</v>
      </c>
      <c r="M7" s="8"/>
      <c r="N7" s="8">
        <f>I7-L7</f>
        <v>30000</v>
      </c>
      <c r="O7" s="8">
        <v>0</v>
      </c>
      <c r="P7" s="8">
        <v>0</v>
      </c>
      <c r="Q7" s="8"/>
      <c r="R7" s="8">
        <v>0</v>
      </c>
      <c r="S7" s="8">
        <v>0</v>
      </c>
    </row>
    <row r="8" ht="31.5" customHeight="1" spans="1:19" x14ac:dyDescent="0.25">
      <c r="A8" s="5" t="s">
        <v>1058</v>
      </c>
      <c r="B8" s="6" t="s">
        <v>1059</v>
      </c>
      <c r="C8" s="6"/>
      <c r="D8" s="5" t="s">
        <v>29</v>
      </c>
      <c r="E8" s="5" t="s">
        <v>11</v>
      </c>
      <c r="F8" s="5" t="s">
        <v>11</v>
      </c>
      <c r="G8" s="5" t="s">
        <v>11</v>
      </c>
      <c r="H8" s="7">
        <v>1</v>
      </c>
      <c r="I8" s="8">
        <v>30000</v>
      </c>
      <c r="J8" s="8"/>
      <c r="K8" s="8">
        <v>0</v>
      </c>
      <c r="L8" s="8">
        <v>0</v>
      </c>
      <c r="M8" s="8"/>
      <c r="N8" s="8">
        <f>I8-L8</f>
        <v>30000</v>
      </c>
      <c r="O8" s="8">
        <v>0</v>
      </c>
      <c r="P8" s="8">
        <v>0</v>
      </c>
      <c r="Q8" s="8"/>
      <c r="R8" s="8">
        <v>0</v>
      </c>
      <c r="S8" s="8">
        <v>0</v>
      </c>
    </row>
    <row r="9" ht="31.5" customHeight="1" spans="1:19" x14ac:dyDescent="0.25">
      <c r="A9" s="5" t="s">
        <v>1060</v>
      </c>
      <c r="B9" s="6" t="s">
        <v>1061</v>
      </c>
      <c r="C9" s="6"/>
      <c r="D9" s="5" t="s">
        <v>29</v>
      </c>
      <c r="E9" s="5" t="s">
        <v>11</v>
      </c>
      <c r="F9" s="5" t="s">
        <v>11</v>
      </c>
      <c r="G9" s="5" t="s">
        <v>11</v>
      </c>
      <c r="H9" s="7">
        <v>1</v>
      </c>
      <c r="I9" s="8">
        <v>140000</v>
      </c>
      <c r="J9" s="8"/>
      <c r="K9" s="8">
        <v>0</v>
      </c>
      <c r="L9" s="8">
        <v>115000</v>
      </c>
      <c r="M9" s="8"/>
      <c r="N9" s="8">
        <f>I9-L9</f>
        <v>25000</v>
      </c>
      <c r="O9" s="8">
        <v>0</v>
      </c>
      <c r="P9" s="8">
        <v>0</v>
      </c>
      <c r="Q9" s="8"/>
      <c r="R9" s="8">
        <v>0</v>
      </c>
      <c r="S9" s="8">
        <v>0</v>
      </c>
    </row>
    <row r="10" ht="31.5" customHeight="1" spans="1:19" x14ac:dyDescent="0.25">
      <c r="A10" s="5" t="s">
        <v>1062</v>
      </c>
      <c r="B10" s="6" t="s">
        <v>1063</v>
      </c>
      <c r="C10" s="6"/>
      <c r="D10" s="5" t="s">
        <v>29</v>
      </c>
      <c r="E10" s="5" t="s">
        <v>11</v>
      </c>
      <c r="F10" s="5" t="s">
        <v>11</v>
      </c>
      <c r="G10" s="5" t="s">
        <v>11</v>
      </c>
      <c r="H10" s="7">
        <v>1</v>
      </c>
      <c r="I10" s="8">
        <v>50000</v>
      </c>
      <c r="J10" s="8"/>
      <c r="K10" s="8">
        <v>0</v>
      </c>
      <c r="L10" s="8">
        <v>0</v>
      </c>
      <c r="M10" s="8"/>
      <c r="N10" s="8">
        <f>I10-L10</f>
        <v>50000</v>
      </c>
      <c r="O10" s="8">
        <v>0</v>
      </c>
      <c r="P10" s="8">
        <v>0</v>
      </c>
      <c r="Q10" s="8"/>
      <c r="R10" s="8">
        <v>0</v>
      </c>
      <c r="S10" s="8">
        <v>0</v>
      </c>
    </row>
    <row r="11" ht="31.5" customHeight="1" spans="1:19" x14ac:dyDescent="0.25">
      <c r="A11" s="5" t="s">
        <v>1064</v>
      </c>
      <c r="B11" s="6" t="s">
        <v>1065</v>
      </c>
      <c r="C11" s="6"/>
      <c r="D11" s="5" t="s">
        <v>29</v>
      </c>
      <c r="E11" s="5" t="s">
        <v>11</v>
      </c>
      <c r="F11" s="5" t="s">
        <v>11</v>
      </c>
      <c r="G11" s="5" t="s">
        <v>11</v>
      </c>
      <c r="H11" s="7">
        <v>1</v>
      </c>
      <c r="I11" s="8">
        <v>35000</v>
      </c>
      <c r="J11" s="8"/>
      <c r="K11" s="8">
        <v>0</v>
      </c>
      <c r="L11" s="8">
        <v>0</v>
      </c>
      <c r="M11" s="8"/>
      <c r="N11" s="8">
        <f>I11-L11</f>
        <v>35000</v>
      </c>
      <c r="O11" s="8">
        <v>0</v>
      </c>
      <c r="P11" s="8">
        <v>0</v>
      </c>
      <c r="Q11" s="8"/>
      <c r="R11" s="8">
        <v>0</v>
      </c>
      <c r="S11" s="8">
        <v>0</v>
      </c>
    </row>
    <row r="12" ht="31.5" customHeight="1" spans="1:19" x14ac:dyDescent="0.25">
      <c r="A12" s="5" t="s">
        <v>1066</v>
      </c>
      <c r="B12" s="6" t="s">
        <v>1067</v>
      </c>
      <c r="C12" s="6"/>
      <c r="D12" s="5" t="s">
        <v>29</v>
      </c>
      <c r="E12" s="5" t="s">
        <v>11</v>
      </c>
      <c r="F12" s="5" t="s">
        <v>11</v>
      </c>
      <c r="G12" s="5" t="s">
        <v>11</v>
      </c>
      <c r="H12" s="7">
        <v>1</v>
      </c>
      <c r="I12" s="8">
        <v>28000</v>
      </c>
      <c r="J12" s="8"/>
      <c r="K12" s="8">
        <v>0</v>
      </c>
      <c r="L12" s="8">
        <v>0</v>
      </c>
      <c r="M12" s="8"/>
      <c r="N12" s="8">
        <f>I12-L12</f>
        <v>28000</v>
      </c>
      <c r="O12" s="8">
        <v>0</v>
      </c>
      <c r="P12" s="8">
        <v>0</v>
      </c>
      <c r="Q12" s="8"/>
      <c r="R12" s="8">
        <v>0</v>
      </c>
      <c r="S12" s="8">
        <v>0</v>
      </c>
    </row>
    <row r="13" ht="31.5" customHeight="1" spans="1:19" x14ac:dyDescent="0.25">
      <c r="A13" s="5" t="s">
        <v>1068</v>
      </c>
      <c r="B13" s="6" t="s">
        <v>1069</v>
      </c>
      <c r="C13" s="6"/>
      <c r="D13" s="5" t="s">
        <v>29</v>
      </c>
      <c r="E13" s="5" t="s">
        <v>11</v>
      </c>
      <c r="F13" s="5" t="s">
        <v>11</v>
      </c>
      <c r="G13" s="5" t="s">
        <v>11</v>
      </c>
      <c r="H13" s="7">
        <v>1</v>
      </c>
      <c r="I13" s="8">
        <v>28000</v>
      </c>
      <c r="J13" s="8"/>
      <c r="K13" s="8">
        <v>0</v>
      </c>
      <c r="L13" s="8">
        <v>0</v>
      </c>
      <c r="M13" s="8"/>
      <c r="N13" s="8">
        <f>I13-L13</f>
        <v>28000</v>
      </c>
      <c r="O13" s="8">
        <v>0</v>
      </c>
      <c r="P13" s="8">
        <v>0</v>
      </c>
      <c r="Q13" s="8"/>
      <c r="R13" s="8">
        <v>0</v>
      </c>
      <c r="S13" s="8">
        <v>0</v>
      </c>
    </row>
    <row r="14" ht="31.5" customHeight="1" spans="1:19" x14ac:dyDescent="0.25">
      <c r="A14" s="5" t="s">
        <v>1070</v>
      </c>
      <c r="B14" s="6" t="s">
        <v>1071</v>
      </c>
      <c r="C14" s="6"/>
      <c r="D14" s="5" t="s">
        <v>29</v>
      </c>
      <c r="E14" s="5" t="s">
        <v>11</v>
      </c>
      <c r="F14" s="5" t="s">
        <v>11</v>
      </c>
      <c r="G14" s="5" t="s">
        <v>11</v>
      </c>
      <c r="H14" s="7">
        <v>2</v>
      </c>
      <c r="I14" s="8">
        <v>70000</v>
      </c>
      <c r="J14" s="8"/>
      <c r="K14" s="8">
        <v>0</v>
      </c>
      <c r="L14" s="8">
        <v>0</v>
      </c>
      <c r="M14" s="8"/>
      <c r="N14" s="8">
        <f>I14-L14</f>
        <v>70000</v>
      </c>
      <c r="O14" s="8">
        <v>0</v>
      </c>
      <c r="P14" s="8">
        <v>0</v>
      </c>
      <c r="Q14" s="8"/>
      <c r="R14" s="8">
        <v>0</v>
      </c>
      <c r="S14" s="8">
        <v>0</v>
      </c>
    </row>
    <row r="15" ht="31.5" customHeight="1" spans="1:19" x14ac:dyDescent="0.25">
      <c r="A15" s="5" t="s">
        <v>1072</v>
      </c>
      <c r="B15" s="6" t="s">
        <v>1073</v>
      </c>
      <c r="C15" s="6"/>
      <c r="D15" s="5" t="s">
        <v>29</v>
      </c>
      <c r="E15" s="5" t="s">
        <v>11</v>
      </c>
      <c r="F15" s="5" t="s">
        <v>11</v>
      </c>
      <c r="G15" s="5" t="s">
        <v>11</v>
      </c>
      <c r="H15" s="7">
        <v>1</v>
      </c>
      <c r="I15" s="8">
        <v>10000</v>
      </c>
      <c r="J15" s="8"/>
      <c r="K15" s="8">
        <v>0</v>
      </c>
      <c r="L15" s="8">
        <v>2087.18</v>
      </c>
      <c r="M15" s="8"/>
      <c r="N15" s="8">
        <f>I15-L15</f>
        <v>7912.82</v>
      </c>
      <c r="O15" s="8">
        <v>0</v>
      </c>
      <c r="P15" s="8">
        <v>0</v>
      </c>
      <c r="Q15" s="8"/>
      <c r="R15" s="8">
        <v>0</v>
      </c>
      <c r="S15" s="8">
        <v>0</v>
      </c>
    </row>
    <row r="16" ht="31.5" customHeight="1" spans="1:19" x14ac:dyDescent="0.25">
      <c r="A16" s="5" t="s">
        <v>1074</v>
      </c>
      <c r="B16" s="6" t="s">
        <v>1075</v>
      </c>
      <c r="C16" s="6"/>
      <c r="D16" s="5" t="s">
        <v>29</v>
      </c>
      <c r="E16" s="5" t="s">
        <v>11</v>
      </c>
      <c r="F16" s="5" t="s">
        <v>11</v>
      </c>
      <c r="G16" s="5" t="s">
        <v>11</v>
      </c>
      <c r="H16" s="7">
        <v>1</v>
      </c>
      <c r="I16" s="8">
        <v>50000</v>
      </c>
      <c r="J16" s="8"/>
      <c r="K16" s="8">
        <v>0</v>
      </c>
      <c r="L16" s="8">
        <v>0</v>
      </c>
      <c r="M16" s="8"/>
      <c r="N16" s="8">
        <f>I16-L16</f>
        <v>50000</v>
      </c>
      <c r="O16" s="8">
        <v>0</v>
      </c>
      <c r="P16" s="8">
        <v>0</v>
      </c>
      <c r="Q16" s="8"/>
      <c r="R16" s="8">
        <v>0</v>
      </c>
      <c r="S16" s="8">
        <v>0</v>
      </c>
    </row>
    <row r="17" ht="31.5" customHeight="1" spans="1:19" x14ac:dyDescent="0.25">
      <c r="A17" s="5" t="s">
        <v>1076</v>
      </c>
      <c r="B17" s="6" t="s">
        <v>1077</v>
      </c>
      <c r="C17" s="6"/>
      <c r="D17" s="5" t="s">
        <v>29</v>
      </c>
      <c r="E17" s="5" t="s">
        <v>11</v>
      </c>
      <c r="F17" s="5" t="s">
        <v>11</v>
      </c>
      <c r="G17" s="5" t="s">
        <v>11</v>
      </c>
      <c r="H17" s="7">
        <v>1</v>
      </c>
      <c r="I17" s="8">
        <v>28000</v>
      </c>
      <c r="J17" s="8"/>
      <c r="K17" s="8">
        <v>0</v>
      </c>
      <c r="L17" s="8">
        <v>0</v>
      </c>
      <c r="M17" s="8"/>
      <c r="N17" s="8">
        <f>I17-L17</f>
        <v>28000</v>
      </c>
      <c r="O17" s="8">
        <v>0</v>
      </c>
      <c r="P17" s="8">
        <v>0</v>
      </c>
      <c r="Q17" s="8"/>
      <c r="R17" s="8">
        <v>0</v>
      </c>
      <c r="S17" s="8">
        <v>0</v>
      </c>
    </row>
    <row r="18" ht="31.5" customHeight="1" spans="1:19" x14ac:dyDescent="0.25">
      <c r="A18" s="5" t="s">
        <v>1078</v>
      </c>
      <c r="B18" s="6" t="s">
        <v>1079</v>
      </c>
      <c r="C18" s="6"/>
      <c r="D18" s="5" t="s">
        <v>29</v>
      </c>
      <c r="E18" s="5" t="s">
        <v>11</v>
      </c>
      <c r="F18" s="5" t="s">
        <v>11</v>
      </c>
      <c r="G18" s="5" t="s">
        <v>11</v>
      </c>
      <c r="H18" s="7">
        <v>1</v>
      </c>
      <c r="I18" s="8">
        <v>38000</v>
      </c>
      <c r="J18" s="8"/>
      <c r="K18" s="8">
        <v>0</v>
      </c>
      <c r="L18" s="8">
        <v>0</v>
      </c>
      <c r="M18" s="8"/>
      <c r="N18" s="8">
        <f>I18-L18</f>
        <v>38000</v>
      </c>
      <c r="O18" s="8">
        <v>0</v>
      </c>
      <c r="P18" s="8">
        <v>0</v>
      </c>
      <c r="Q18" s="8"/>
      <c r="R18" s="8">
        <v>0</v>
      </c>
      <c r="S18" s="8">
        <v>0</v>
      </c>
    </row>
    <row r="19" ht="31.5" customHeight="1" spans="1:19" x14ac:dyDescent="0.25">
      <c r="A19" s="5" t="s">
        <v>1080</v>
      </c>
      <c r="B19" s="6" t="s">
        <v>1081</v>
      </c>
      <c r="C19" s="6"/>
      <c r="D19" s="5" t="s">
        <v>29</v>
      </c>
      <c r="E19" s="5" t="s">
        <v>11</v>
      </c>
      <c r="F19" s="5" t="s">
        <v>11</v>
      </c>
      <c r="G19" s="5" t="s">
        <v>11</v>
      </c>
      <c r="H19" s="7">
        <v>1</v>
      </c>
      <c r="I19" s="8">
        <v>12000</v>
      </c>
      <c r="J19" s="8"/>
      <c r="K19" s="8">
        <v>0</v>
      </c>
      <c r="L19" s="8">
        <v>6250</v>
      </c>
      <c r="M19" s="8"/>
      <c r="N19" s="8">
        <f>I19-L19</f>
        <v>5750</v>
      </c>
      <c r="O19" s="8">
        <v>0</v>
      </c>
      <c r="P19" s="8">
        <v>0</v>
      </c>
      <c r="Q19" s="8"/>
      <c r="R19" s="8">
        <v>0</v>
      </c>
      <c r="S19" s="8">
        <v>0</v>
      </c>
    </row>
    <row r="20" ht="31.5" customHeight="1" spans="1:19" x14ac:dyDescent="0.25">
      <c r="A20" s="5" t="s">
        <v>1082</v>
      </c>
      <c r="B20" s="6" t="s">
        <v>1083</v>
      </c>
      <c r="C20" s="6"/>
      <c r="D20" s="5" t="s">
        <v>29</v>
      </c>
      <c r="E20" s="5" t="s">
        <v>11</v>
      </c>
      <c r="F20" s="5" t="s">
        <v>11</v>
      </c>
      <c r="G20" s="5" t="s">
        <v>11</v>
      </c>
      <c r="H20" s="7">
        <v>1</v>
      </c>
      <c r="I20" s="8">
        <v>10000</v>
      </c>
      <c r="J20" s="8"/>
      <c r="K20" s="8">
        <v>0</v>
      </c>
      <c r="L20" s="8">
        <v>2087.18</v>
      </c>
      <c r="M20" s="8"/>
      <c r="N20" s="8">
        <f>I20-L20</f>
        <v>7912.82</v>
      </c>
      <c r="O20" s="8">
        <v>0</v>
      </c>
      <c r="P20" s="8">
        <v>0</v>
      </c>
      <c r="Q20" s="8"/>
      <c r="R20" s="8">
        <v>0</v>
      </c>
      <c r="S20" s="8">
        <v>0</v>
      </c>
    </row>
    <row r="21" ht="31.5" customHeight="1" spans="1:19" x14ac:dyDescent="0.25">
      <c r="A21" s="5" t="s">
        <v>1084</v>
      </c>
      <c r="B21" s="6" t="s">
        <v>1085</v>
      </c>
      <c r="C21" s="6"/>
      <c r="D21" s="5" t="s">
        <v>29</v>
      </c>
      <c r="E21" s="5" t="s">
        <v>11</v>
      </c>
      <c r="F21" s="5" t="s">
        <v>11</v>
      </c>
      <c r="G21" s="5" t="s">
        <v>11</v>
      </c>
      <c r="H21" s="7">
        <v>1</v>
      </c>
      <c r="I21" s="8">
        <v>28000</v>
      </c>
      <c r="J21" s="8"/>
      <c r="K21" s="8">
        <v>0</v>
      </c>
      <c r="L21" s="8">
        <v>0</v>
      </c>
      <c r="M21" s="8"/>
      <c r="N21" s="8">
        <f>I21-L21</f>
        <v>28000</v>
      </c>
      <c r="O21" s="8">
        <v>0</v>
      </c>
      <c r="P21" s="8">
        <v>0</v>
      </c>
      <c r="Q21" s="8"/>
      <c r="R21" s="8">
        <v>0</v>
      </c>
      <c r="S21" s="8">
        <v>0</v>
      </c>
    </row>
    <row r="22" ht="31.5" customHeight="1" spans="1:19" x14ac:dyDescent="0.25">
      <c r="A22" s="5" t="s">
        <v>1086</v>
      </c>
      <c r="B22" s="6" t="s">
        <v>1087</v>
      </c>
      <c r="C22" s="6"/>
      <c r="D22" s="5" t="s">
        <v>29</v>
      </c>
      <c r="E22" s="5" t="s">
        <v>11</v>
      </c>
      <c r="F22" s="5" t="s">
        <v>11</v>
      </c>
      <c r="G22" s="5" t="s">
        <v>11</v>
      </c>
      <c r="H22" s="7">
        <v>1</v>
      </c>
      <c r="I22" s="8">
        <v>28000</v>
      </c>
      <c r="J22" s="8"/>
      <c r="K22" s="8">
        <v>0</v>
      </c>
      <c r="L22" s="8">
        <v>0</v>
      </c>
      <c r="M22" s="8"/>
      <c r="N22" s="8">
        <f>I22-L22</f>
        <v>28000</v>
      </c>
      <c r="O22" s="8">
        <v>0</v>
      </c>
      <c r="P22" s="8">
        <v>0</v>
      </c>
      <c r="Q22" s="8"/>
      <c r="R22" s="8">
        <v>0</v>
      </c>
      <c r="S22" s="8">
        <v>0</v>
      </c>
    </row>
    <row r="23" ht="31.5" customHeight="1" spans="1:19" x14ac:dyDescent="0.25">
      <c r="A23" s="5" t="s">
        <v>1088</v>
      </c>
      <c r="B23" s="6" t="s">
        <v>1089</v>
      </c>
      <c r="C23" s="6"/>
      <c r="D23" s="5" t="s">
        <v>29</v>
      </c>
      <c r="E23" s="5" t="s">
        <v>11</v>
      </c>
      <c r="F23" s="5" t="s">
        <v>11</v>
      </c>
      <c r="G23" s="5" t="s">
        <v>11</v>
      </c>
      <c r="H23" s="7">
        <v>1</v>
      </c>
      <c r="I23" s="8">
        <v>28000</v>
      </c>
      <c r="J23" s="8"/>
      <c r="K23" s="8">
        <v>0</v>
      </c>
      <c r="L23" s="8">
        <v>0</v>
      </c>
      <c r="M23" s="8"/>
      <c r="N23" s="8">
        <f>I23-L23</f>
        <v>28000</v>
      </c>
      <c r="O23" s="8">
        <v>0</v>
      </c>
      <c r="P23" s="8">
        <v>0</v>
      </c>
      <c r="Q23" s="8"/>
      <c r="R23" s="8">
        <v>0</v>
      </c>
      <c r="S23" s="8">
        <v>0</v>
      </c>
    </row>
    <row r="24" ht="31.5" customHeight="1" spans="1:19" x14ac:dyDescent="0.25">
      <c r="A24" s="5" t="s">
        <v>1090</v>
      </c>
      <c r="B24" s="6" t="s">
        <v>1091</v>
      </c>
      <c r="C24" s="6"/>
      <c r="D24" s="5" t="s">
        <v>29</v>
      </c>
      <c r="E24" s="5" t="s">
        <v>11</v>
      </c>
      <c r="F24" s="5" t="s">
        <v>11</v>
      </c>
      <c r="G24" s="5" t="s">
        <v>11</v>
      </c>
      <c r="H24" s="7">
        <v>1</v>
      </c>
      <c r="I24" s="8">
        <v>30000</v>
      </c>
      <c r="J24" s="8"/>
      <c r="K24" s="8">
        <v>0</v>
      </c>
      <c r="L24" s="8">
        <v>0</v>
      </c>
      <c r="M24" s="8"/>
      <c r="N24" s="8">
        <f>I24-L24</f>
        <v>30000</v>
      </c>
      <c r="O24" s="8">
        <v>0</v>
      </c>
      <c r="P24" s="8">
        <v>0</v>
      </c>
      <c r="Q24" s="8"/>
      <c r="R24" s="8">
        <v>0</v>
      </c>
      <c r="S24" s="8">
        <v>0</v>
      </c>
    </row>
    <row r="25" ht="31.5" customHeight="1" spans="1:19" x14ac:dyDescent="0.25">
      <c r="A25" s="5" t="s">
        <v>1092</v>
      </c>
      <c r="B25" s="6" t="s">
        <v>1093</v>
      </c>
      <c r="C25" s="6"/>
      <c r="D25" s="5" t="s">
        <v>29</v>
      </c>
      <c r="E25" s="5" t="s">
        <v>11</v>
      </c>
      <c r="F25" s="5" t="s">
        <v>11</v>
      </c>
      <c r="G25" s="5" t="s">
        <v>11</v>
      </c>
      <c r="H25" s="7">
        <v>3</v>
      </c>
      <c r="I25" s="8">
        <v>155000</v>
      </c>
      <c r="J25" s="8"/>
      <c r="K25" s="8">
        <v>0</v>
      </c>
      <c r="L25" s="8">
        <v>63965.09</v>
      </c>
      <c r="M25" s="8"/>
      <c r="N25" s="8">
        <f>I25-L25</f>
        <v>91034.91</v>
      </c>
      <c r="O25" s="8">
        <v>0</v>
      </c>
      <c r="P25" s="8">
        <v>0</v>
      </c>
      <c r="Q25" s="8"/>
      <c r="R25" s="8">
        <v>0</v>
      </c>
      <c r="S25" s="8">
        <v>0</v>
      </c>
    </row>
    <row r="26" ht="31.5" customHeight="1" spans="1:19" x14ac:dyDescent="0.25">
      <c r="A26" s="5" t="s">
        <v>1094</v>
      </c>
      <c r="B26" s="6" t="s">
        <v>1095</v>
      </c>
      <c r="C26" s="6"/>
      <c r="D26" s="5" t="s">
        <v>29</v>
      </c>
      <c r="E26" s="5" t="s">
        <v>11</v>
      </c>
      <c r="F26" s="5" t="s">
        <v>11</v>
      </c>
      <c r="G26" s="5" t="s">
        <v>11</v>
      </c>
      <c r="H26" s="7">
        <v>2</v>
      </c>
      <c r="I26" s="8">
        <v>24000</v>
      </c>
      <c r="J26" s="8"/>
      <c r="K26" s="8">
        <v>0</v>
      </c>
      <c r="L26" s="8">
        <v>12500</v>
      </c>
      <c r="M26" s="8"/>
      <c r="N26" s="8">
        <f>I26-L26</f>
        <v>11500</v>
      </c>
      <c r="O26" s="8">
        <v>0</v>
      </c>
      <c r="P26" s="8">
        <v>0</v>
      </c>
      <c r="Q26" s="8"/>
      <c r="R26" s="8">
        <v>0</v>
      </c>
      <c r="S26" s="8">
        <v>0</v>
      </c>
    </row>
    <row r="27" ht="31.5" customHeight="1" spans="1:19" x14ac:dyDescent="0.25">
      <c r="A27" s="5" t="s">
        <v>1096</v>
      </c>
      <c r="B27" s="6" t="s">
        <v>1097</v>
      </c>
      <c r="C27" s="6"/>
      <c r="D27" s="5" t="s">
        <v>29</v>
      </c>
      <c r="E27" s="5" t="s">
        <v>11</v>
      </c>
      <c r="F27" s="5" t="s">
        <v>11</v>
      </c>
      <c r="G27" s="5" t="s">
        <v>11</v>
      </c>
      <c r="H27" s="7">
        <v>1</v>
      </c>
      <c r="I27" s="8">
        <v>150000</v>
      </c>
      <c r="J27" s="8"/>
      <c r="K27" s="8">
        <v>0</v>
      </c>
      <c r="L27" s="8">
        <v>0</v>
      </c>
      <c r="M27" s="8"/>
      <c r="N27" s="8">
        <f>I27-L27</f>
        <v>150000</v>
      </c>
      <c r="O27" s="8">
        <v>0</v>
      </c>
      <c r="P27" s="8">
        <v>0</v>
      </c>
      <c r="Q27" s="8"/>
      <c r="R27" s="8">
        <v>0</v>
      </c>
      <c r="S27" s="8">
        <v>0</v>
      </c>
    </row>
    <row r="28" ht="31.5" customHeight="1" spans="1:19" x14ac:dyDescent="0.25">
      <c r="A28" s="5" t="s">
        <v>1098</v>
      </c>
      <c r="B28" s="6" t="s">
        <v>1099</v>
      </c>
      <c r="C28" s="6"/>
      <c r="D28" s="5" t="s">
        <v>29</v>
      </c>
      <c r="E28" s="5" t="s">
        <v>11</v>
      </c>
      <c r="F28" s="5" t="s">
        <v>11</v>
      </c>
      <c r="G28" s="5" t="s">
        <v>11</v>
      </c>
      <c r="H28" s="7">
        <v>2</v>
      </c>
      <c r="I28" s="8">
        <v>56000</v>
      </c>
      <c r="J28" s="8"/>
      <c r="K28" s="8">
        <v>0</v>
      </c>
      <c r="L28" s="8">
        <v>0</v>
      </c>
      <c r="M28" s="8"/>
      <c r="N28" s="8">
        <f>I28-L28</f>
        <v>56000</v>
      </c>
      <c r="O28" s="8">
        <v>0</v>
      </c>
      <c r="P28" s="8">
        <v>0</v>
      </c>
      <c r="Q28" s="8"/>
      <c r="R28" s="8">
        <v>0</v>
      </c>
      <c r="S28" s="8">
        <v>0</v>
      </c>
    </row>
    <row r="29" ht="31.5" customHeight="1" spans="1:19" x14ac:dyDescent="0.25">
      <c r="A29" s="5" t="s">
        <v>1100</v>
      </c>
      <c r="B29" s="6" t="s">
        <v>1101</v>
      </c>
      <c r="C29" s="6"/>
      <c r="D29" s="5" t="s">
        <v>29</v>
      </c>
      <c r="E29" s="5" t="s">
        <v>11</v>
      </c>
      <c r="F29" s="5" t="s">
        <v>11</v>
      </c>
      <c r="G29" s="5" t="s">
        <v>11</v>
      </c>
      <c r="H29" s="7">
        <v>1</v>
      </c>
      <c r="I29" s="8">
        <v>28000</v>
      </c>
      <c r="J29" s="8"/>
      <c r="K29" s="8">
        <v>0</v>
      </c>
      <c r="L29" s="8">
        <v>0</v>
      </c>
      <c r="M29" s="8"/>
      <c r="N29" s="8">
        <f>I29-L29</f>
        <v>28000</v>
      </c>
      <c r="O29" s="8">
        <v>0</v>
      </c>
      <c r="P29" s="8">
        <v>0</v>
      </c>
      <c r="Q29" s="8"/>
      <c r="R29" s="8">
        <v>0</v>
      </c>
      <c r="S29" s="8">
        <v>0</v>
      </c>
    </row>
    <row r="30" ht="31.5" customHeight="1" spans="1:19" x14ac:dyDescent="0.25">
      <c r="A30" s="5" t="s">
        <v>1102</v>
      </c>
      <c r="B30" s="6" t="s">
        <v>1103</v>
      </c>
      <c r="C30" s="6"/>
      <c r="D30" s="5" t="s">
        <v>29</v>
      </c>
      <c r="E30" s="5" t="s">
        <v>11</v>
      </c>
      <c r="F30" s="5" t="s">
        <v>11</v>
      </c>
      <c r="G30" s="5" t="s">
        <v>11</v>
      </c>
      <c r="H30" s="7">
        <v>2</v>
      </c>
      <c r="I30" s="8">
        <v>550000</v>
      </c>
      <c r="J30" s="8"/>
      <c r="K30" s="8">
        <v>0</v>
      </c>
      <c r="L30" s="8">
        <v>0</v>
      </c>
      <c r="M30" s="8"/>
      <c r="N30" s="8">
        <f>I30-L30</f>
        <v>550000</v>
      </c>
      <c r="O30" s="8">
        <v>0</v>
      </c>
      <c r="P30" s="8">
        <v>0</v>
      </c>
      <c r="Q30" s="8"/>
      <c r="R30" s="8">
        <v>0</v>
      </c>
      <c r="S30" s="8">
        <v>0</v>
      </c>
    </row>
    <row r="31" ht="31.5" customHeight="1" spans="1:19" x14ac:dyDescent="0.25">
      <c r="A31" s="5" t="s">
        <v>1104</v>
      </c>
      <c r="B31" s="6" t="s">
        <v>1105</v>
      </c>
      <c r="C31" s="6"/>
      <c r="D31" s="5" t="s">
        <v>29</v>
      </c>
      <c r="E31" s="5" t="s">
        <v>11</v>
      </c>
      <c r="F31" s="5" t="s">
        <v>11</v>
      </c>
      <c r="G31" s="5" t="s">
        <v>11</v>
      </c>
      <c r="H31" s="7">
        <v>2</v>
      </c>
      <c r="I31" s="8">
        <v>58000</v>
      </c>
      <c r="J31" s="8"/>
      <c r="K31" s="8">
        <v>0</v>
      </c>
      <c r="L31" s="8">
        <v>0</v>
      </c>
      <c r="M31" s="8"/>
      <c r="N31" s="8">
        <f>I31-L31</f>
        <v>58000</v>
      </c>
      <c r="O31" s="8">
        <v>0</v>
      </c>
      <c r="P31" s="8">
        <v>0</v>
      </c>
      <c r="Q31" s="8"/>
      <c r="R31" s="8">
        <v>0</v>
      </c>
      <c r="S31" s="8">
        <v>0</v>
      </c>
    </row>
    <row r="32" ht="31.5" customHeight="1" spans="1:19" x14ac:dyDescent="0.25">
      <c r="A32" s="5" t="s">
        <v>1106</v>
      </c>
      <c r="B32" s="6" t="s">
        <v>1107</v>
      </c>
      <c r="C32" s="6"/>
      <c r="D32" s="5" t="s">
        <v>29</v>
      </c>
      <c r="E32" s="5" t="s">
        <v>11</v>
      </c>
      <c r="F32" s="5" t="s">
        <v>11</v>
      </c>
      <c r="G32" s="5" t="s">
        <v>11</v>
      </c>
      <c r="H32" s="7">
        <v>2</v>
      </c>
      <c r="I32" s="8">
        <v>100000</v>
      </c>
      <c r="J32" s="8"/>
      <c r="K32" s="8">
        <v>0</v>
      </c>
      <c r="L32" s="8">
        <v>0</v>
      </c>
      <c r="M32" s="8"/>
      <c r="N32" s="8">
        <f>I32-L32</f>
        <v>100000</v>
      </c>
      <c r="O32" s="8">
        <v>0</v>
      </c>
      <c r="P32" s="8">
        <v>0</v>
      </c>
      <c r="Q32" s="8"/>
      <c r="R32" s="8">
        <v>0</v>
      </c>
      <c r="S32" s="8">
        <v>0</v>
      </c>
    </row>
    <row r="33" ht="31.5" customHeight="1" spans="1:19" x14ac:dyDescent="0.25">
      <c r="A33" s="5" t="s">
        <v>1108</v>
      </c>
      <c r="B33" s="6" t="s">
        <v>1109</v>
      </c>
      <c r="C33" s="6"/>
      <c r="D33" s="5" t="s">
        <v>29</v>
      </c>
      <c r="E33" s="5" t="s">
        <v>11</v>
      </c>
      <c r="F33" s="5" t="s">
        <v>11</v>
      </c>
      <c r="G33" s="5" t="s">
        <v>11</v>
      </c>
      <c r="H33" s="7">
        <v>2</v>
      </c>
      <c r="I33" s="8">
        <v>80000</v>
      </c>
      <c r="J33" s="8"/>
      <c r="K33" s="8">
        <v>0</v>
      </c>
      <c r="L33" s="8">
        <v>60000</v>
      </c>
      <c r="M33" s="8"/>
      <c r="N33" s="8">
        <f>I33-L33</f>
        <v>20000</v>
      </c>
      <c r="O33" s="8">
        <v>0</v>
      </c>
      <c r="P33" s="8">
        <v>0</v>
      </c>
      <c r="Q33" s="8"/>
      <c r="R33" s="8">
        <v>0</v>
      </c>
      <c r="S33" s="8">
        <v>0</v>
      </c>
    </row>
    <row r="34" ht="31.5" customHeight="1" spans="1:19" x14ac:dyDescent="0.25">
      <c r="A34" s="5" t="s">
        <v>1110</v>
      </c>
      <c r="B34" s="6" t="s">
        <v>1111</v>
      </c>
      <c r="C34" s="6"/>
      <c r="D34" s="5" t="s">
        <v>29</v>
      </c>
      <c r="E34" s="5" t="s">
        <v>11</v>
      </c>
      <c r="F34" s="5" t="s">
        <v>11</v>
      </c>
      <c r="G34" s="5" t="s">
        <v>11</v>
      </c>
      <c r="H34" s="7">
        <v>1</v>
      </c>
      <c r="I34" s="8">
        <v>35000</v>
      </c>
      <c r="J34" s="8"/>
      <c r="K34" s="8">
        <v>0</v>
      </c>
      <c r="L34" s="8">
        <v>0</v>
      </c>
      <c r="M34" s="8"/>
      <c r="N34" s="8">
        <f>I34-L34</f>
        <v>35000</v>
      </c>
      <c r="O34" s="8">
        <v>0</v>
      </c>
      <c r="P34" s="8">
        <v>0</v>
      </c>
      <c r="Q34" s="8"/>
      <c r="R34" s="8">
        <v>0</v>
      </c>
      <c r="S34" s="8">
        <v>0</v>
      </c>
    </row>
    <row r="35" ht="31.5" customHeight="1" spans="1:19" x14ac:dyDescent="0.25">
      <c r="A35" s="5" t="s">
        <v>1112</v>
      </c>
      <c r="B35" s="6" t="s">
        <v>1113</v>
      </c>
      <c r="C35" s="6"/>
      <c r="D35" s="5" t="s">
        <v>29</v>
      </c>
      <c r="E35" s="5" t="s">
        <v>11</v>
      </c>
      <c r="F35" s="5" t="s">
        <v>11</v>
      </c>
      <c r="G35" s="5" t="s">
        <v>11</v>
      </c>
      <c r="H35" s="7">
        <v>1</v>
      </c>
      <c r="I35" s="8">
        <v>15000</v>
      </c>
      <c r="J35" s="8"/>
      <c r="K35" s="8">
        <v>0</v>
      </c>
      <c r="L35" s="8">
        <v>4527.77</v>
      </c>
      <c r="M35" s="8"/>
      <c r="N35" s="8">
        <f>I35-L35</f>
        <v>10472.23</v>
      </c>
      <c r="O35" s="8">
        <v>0</v>
      </c>
      <c r="P35" s="8">
        <v>0</v>
      </c>
      <c r="Q35" s="8"/>
      <c r="R35" s="8">
        <v>0</v>
      </c>
      <c r="S35" s="8">
        <v>0</v>
      </c>
    </row>
    <row r="36" ht="31.5" customHeight="1" spans="1:19" x14ac:dyDescent="0.25">
      <c r="A36" s="5" t="s">
        <v>1114</v>
      </c>
      <c r="B36" s="6" t="s">
        <v>1115</v>
      </c>
      <c r="C36" s="6"/>
      <c r="D36" s="5" t="s">
        <v>29</v>
      </c>
      <c r="E36" s="5" t="s">
        <v>11</v>
      </c>
      <c r="F36" s="5" t="s">
        <v>11</v>
      </c>
      <c r="G36" s="5" t="s">
        <v>11</v>
      </c>
      <c r="H36" s="7">
        <v>2</v>
      </c>
      <c r="I36" s="8">
        <v>45000</v>
      </c>
      <c r="J36" s="8"/>
      <c r="K36" s="8">
        <v>0</v>
      </c>
      <c r="L36" s="8">
        <v>2087.18</v>
      </c>
      <c r="M36" s="8"/>
      <c r="N36" s="8">
        <f>I36-L36</f>
        <v>42912.82</v>
      </c>
      <c r="O36" s="8">
        <v>0</v>
      </c>
      <c r="P36" s="8">
        <v>0</v>
      </c>
      <c r="Q36" s="8"/>
      <c r="R36" s="8">
        <v>0</v>
      </c>
      <c r="S36" s="8">
        <v>0</v>
      </c>
    </row>
    <row r="37" ht="31.5" customHeight="1" spans="1:19" x14ac:dyDescent="0.25">
      <c r="A37" s="5" t="s">
        <v>1116</v>
      </c>
      <c r="B37" s="6" t="s">
        <v>1117</v>
      </c>
      <c r="C37" s="6"/>
      <c r="D37" s="5" t="s">
        <v>29</v>
      </c>
      <c r="E37" s="5" t="s">
        <v>11</v>
      </c>
      <c r="F37" s="5" t="s">
        <v>11</v>
      </c>
      <c r="G37" s="5" t="s">
        <v>11</v>
      </c>
      <c r="H37" s="7">
        <v>1</v>
      </c>
      <c r="I37" s="8">
        <v>30000</v>
      </c>
      <c r="J37" s="8"/>
      <c r="K37" s="8">
        <v>0</v>
      </c>
      <c r="L37" s="8">
        <v>0</v>
      </c>
      <c r="M37" s="8"/>
      <c r="N37" s="8">
        <f>I37-L37</f>
        <v>30000</v>
      </c>
      <c r="O37" s="8">
        <v>0</v>
      </c>
      <c r="P37" s="8">
        <v>0</v>
      </c>
      <c r="Q37" s="8"/>
      <c r="R37" s="8">
        <v>0</v>
      </c>
      <c r="S37" s="8">
        <v>0</v>
      </c>
    </row>
    <row r="38" ht="31.5" customHeight="1" spans="1:19" x14ac:dyDescent="0.25">
      <c r="A38" s="5" t="s">
        <v>1118</v>
      </c>
      <c r="B38" s="6" t="s">
        <v>1119</v>
      </c>
      <c r="C38" s="6"/>
      <c r="D38" s="5" t="s">
        <v>29</v>
      </c>
      <c r="E38" s="5" t="s">
        <v>11</v>
      </c>
      <c r="F38" s="5" t="s">
        <v>11</v>
      </c>
      <c r="G38" s="5" t="s">
        <v>11</v>
      </c>
      <c r="H38" s="7">
        <v>2</v>
      </c>
      <c r="I38" s="8">
        <v>60000</v>
      </c>
      <c r="J38" s="8"/>
      <c r="K38" s="8">
        <v>0</v>
      </c>
      <c r="L38" s="8">
        <v>0</v>
      </c>
      <c r="M38" s="8"/>
      <c r="N38" s="8">
        <f>I38-L38</f>
        <v>60000</v>
      </c>
      <c r="O38" s="8">
        <v>0</v>
      </c>
      <c r="P38" s="8">
        <v>0</v>
      </c>
      <c r="Q38" s="8"/>
      <c r="R38" s="8">
        <v>0</v>
      </c>
      <c r="S38" s="8">
        <v>0</v>
      </c>
    </row>
    <row r="39" ht="31.5" customHeight="1" spans="1:19" x14ac:dyDescent="0.25">
      <c r="A39" s="5" t="s">
        <v>1120</v>
      </c>
      <c r="B39" s="6" t="s">
        <v>1121</v>
      </c>
      <c r="C39" s="6"/>
      <c r="D39" s="5" t="s">
        <v>29</v>
      </c>
      <c r="E39" s="5" t="s">
        <v>11</v>
      </c>
      <c r="F39" s="5" t="s">
        <v>11</v>
      </c>
      <c r="G39" s="5" t="s">
        <v>11</v>
      </c>
      <c r="H39" s="7">
        <v>1</v>
      </c>
      <c r="I39" s="8">
        <v>35000</v>
      </c>
      <c r="J39" s="8"/>
      <c r="K39" s="8">
        <v>0</v>
      </c>
      <c r="L39" s="8">
        <v>0</v>
      </c>
      <c r="M39" s="8"/>
      <c r="N39" s="8">
        <f>I39-L39</f>
        <v>35000</v>
      </c>
      <c r="O39" s="8">
        <v>0</v>
      </c>
      <c r="P39" s="8">
        <v>0</v>
      </c>
      <c r="Q39" s="8"/>
      <c r="R39" s="8">
        <v>0</v>
      </c>
      <c r="S39" s="8">
        <v>0</v>
      </c>
    </row>
    <row r="40" ht="31.5" customHeight="1" spans="1:19" x14ac:dyDescent="0.25">
      <c r="A40" s="5" t="s">
        <v>1122</v>
      </c>
      <c r="B40" s="6" t="s">
        <v>1123</v>
      </c>
      <c r="C40" s="6"/>
      <c r="D40" s="5" t="s">
        <v>29</v>
      </c>
      <c r="E40" s="5" t="s">
        <v>11</v>
      </c>
      <c r="F40" s="5" t="s">
        <v>11</v>
      </c>
      <c r="G40" s="5" t="s">
        <v>11</v>
      </c>
      <c r="H40" s="7">
        <v>6</v>
      </c>
      <c r="I40" s="8">
        <v>185000</v>
      </c>
      <c r="J40" s="8"/>
      <c r="K40" s="8">
        <v>0</v>
      </c>
      <c r="L40" s="8">
        <v>0</v>
      </c>
      <c r="M40" s="8"/>
      <c r="N40" s="8">
        <f>I40-L40</f>
        <v>185000</v>
      </c>
      <c r="O40" s="8">
        <v>0</v>
      </c>
      <c r="P40" s="8">
        <v>0</v>
      </c>
      <c r="Q40" s="8"/>
      <c r="R40" s="8">
        <v>0</v>
      </c>
      <c r="S40" s="8">
        <v>0</v>
      </c>
    </row>
    <row r="41" ht="31.5" customHeight="1" spans="1:19" x14ac:dyDescent="0.25">
      <c r="A41" s="5" t="s">
        <v>1124</v>
      </c>
      <c r="B41" s="6" t="s">
        <v>1125</v>
      </c>
      <c r="C41" s="6"/>
      <c r="D41" s="5" t="s">
        <v>29</v>
      </c>
      <c r="E41" s="5" t="s">
        <v>11</v>
      </c>
      <c r="F41" s="5" t="s">
        <v>11</v>
      </c>
      <c r="G41" s="5" t="s">
        <v>11</v>
      </c>
      <c r="H41" s="7">
        <v>1</v>
      </c>
      <c r="I41" s="8">
        <v>15000</v>
      </c>
      <c r="J41" s="8"/>
      <c r="K41" s="8">
        <v>0</v>
      </c>
      <c r="L41" s="8">
        <v>4527.77</v>
      </c>
      <c r="M41" s="8"/>
      <c r="N41" s="8">
        <f>I41-L41</f>
        <v>10472.23</v>
      </c>
      <c r="O41" s="8">
        <v>0</v>
      </c>
      <c r="P41" s="8">
        <v>0</v>
      </c>
      <c r="Q41" s="8"/>
      <c r="R41" s="8">
        <v>0</v>
      </c>
      <c r="S41" s="8">
        <v>0</v>
      </c>
    </row>
    <row r="42" ht="31.5" customHeight="1" spans="1:19" x14ac:dyDescent="0.25">
      <c r="A42" s="5" t="s">
        <v>1126</v>
      </c>
      <c r="B42" s="6" t="s">
        <v>1127</v>
      </c>
      <c r="C42" s="6"/>
      <c r="D42" s="5" t="s">
        <v>138</v>
      </c>
      <c r="E42" s="5" t="s">
        <v>11</v>
      </c>
      <c r="F42" s="5" t="s">
        <v>11</v>
      </c>
      <c r="G42" s="5" t="s">
        <v>11</v>
      </c>
      <c r="H42" s="7">
        <v>1</v>
      </c>
      <c r="I42" s="8">
        <v>35000</v>
      </c>
      <c r="J42" s="8"/>
      <c r="K42" s="8">
        <v>0</v>
      </c>
      <c r="L42" s="8">
        <v>0</v>
      </c>
      <c r="M42" s="8"/>
      <c r="N42" s="8">
        <f>I42-L42</f>
        <v>35000</v>
      </c>
      <c r="O42" s="8">
        <v>0</v>
      </c>
      <c r="P42" s="8">
        <v>0</v>
      </c>
      <c r="Q42" s="8"/>
      <c r="R42" s="8">
        <v>0</v>
      </c>
      <c r="S42" s="8">
        <v>0</v>
      </c>
    </row>
    <row r="43" ht="31.5" customHeight="1" spans="1:19" x14ac:dyDescent="0.25">
      <c r="A43" s="5" t="s">
        <v>1128</v>
      </c>
      <c r="B43" s="6" t="s">
        <v>1129</v>
      </c>
      <c r="C43" s="6"/>
      <c r="D43" s="5" t="s">
        <v>138</v>
      </c>
      <c r="E43" s="5" t="s">
        <v>11</v>
      </c>
      <c r="F43" s="5" t="s">
        <v>11</v>
      </c>
      <c r="G43" s="5" t="s">
        <v>11</v>
      </c>
      <c r="H43" s="7">
        <v>1</v>
      </c>
      <c r="I43" s="8">
        <v>35000</v>
      </c>
      <c r="J43" s="8"/>
      <c r="K43" s="8">
        <v>0</v>
      </c>
      <c r="L43" s="8">
        <v>0</v>
      </c>
      <c r="M43" s="8"/>
      <c r="N43" s="8">
        <f>I43-L43</f>
        <v>35000</v>
      </c>
      <c r="O43" s="8">
        <v>0</v>
      </c>
      <c r="P43" s="8">
        <v>0</v>
      </c>
      <c r="Q43" s="8"/>
      <c r="R43" s="8">
        <v>0</v>
      </c>
      <c r="S43" s="8">
        <v>0</v>
      </c>
    </row>
    <row r="44" ht="31.5" customHeight="1" spans="1:19" x14ac:dyDescent="0.25">
      <c r="A44" s="5" t="s">
        <v>1130</v>
      </c>
      <c r="B44" s="6" t="s">
        <v>1131</v>
      </c>
      <c r="C44" s="6"/>
      <c r="D44" s="5" t="s">
        <v>138</v>
      </c>
      <c r="E44" s="5" t="s">
        <v>11</v>
      </c>
      <c r="F44" s="5" t="s">
        <v>11</v>
      </c>
      <c r="G44" s="5" t="s">
        <v>11</v>
      </c>
      <c r="H44" s="7">
        <v>1</v>
      </c>
      <c r="I44" s="8">
        <v>35000</v>
      </c>
      <c r="J44" s="8"/>
      <c r="K44" s="8">
        <v>0</v>
      </c>
      <c r="L44" s="8">
        <v>0</v>
      </c>
      <c r="M44" s="8"/>
      <c r="N44" s="8">
        <f>I44-L44</f>
        <v>35000</v>
      </c>
      <c r="O44" s="8">
        <v>0</v>
      </c>
      <c r="P44" s="8">
        <v>0</v>
      </c>
      <c r="Q44" s="8"/>
      <c r="R44" s="8">
        <v>0</v>
      </c>
      <c r="S44" s="8">
        <v>0</v>
      </c>
    </row>
    <row r="45" ht="31.5" customHeight="1" spans="1:19" x14ac:dyDescent="0.25">
      <c r="A45" s="5" t="s">
        <v>1132</v>
      </c>
      <c r="B45" s="6" t="s">
        <v>1133</v>
      </c>
      <c r="C45" s="6"/>
      <c r="D45" s="5" t="s">
        <v>138</v>
      </c>
      <c r="E45" s="5" t="s">
        <v>11</v>
      </c>
      <c r="F45" s="5" t="s">
        <v>11</v>
      </c>
      <c r="G45" s="5" t="s">
        <v>11</v>
      </c>
      <c r="H45" s="7">
        <v>1</v>
      </c>
      <c r="I45" s="8">
        <v>50000</v>
      </c>
      <c r="J45" s="8"/>
      <c r="K45" s="8">
        <v>0</v>
      </c>
      <c r="L45" s="8">
        <v>0</v>
      </c>
      <c r="M45" s="8"/>
      <c r="N45" s="8">
        <f>I45-L45</f>
        <v>50000</v>
      </c>
      <c r="O45" s="8">
        <v>0</v>
      </c>
      <c r="P45" s="8">
        <v>0</v>
      </c>
      <c r="Q45" s="8"/>
      <c r="R45" s="8">
        <v>0</v>
      </c>
      <c r="S45" s="8">
        <v>0</v>
      </c>
    </row>
    <row r="46" ht="31.5" customHeight="1" spans="1:19" x14ac:dyDescent="0.25">
      <c r="A46" s="5" t="s">
        <v>1134</v>
      </c>
      <c r="B46" s="6" t="s">
        <v>1135</v>
      </c>
      <c r="C46" s="6"/>
      <c r="D46" s="5" t="s">
        <v>138</v>
      </c>
      <c r="E46" s="5" t="s">
        <v>11</v>
      </c>
      <c r="F46" s="5" t="s">
        <v>11</v>
      </c>
      <c r="G46" s="5" t="s">
        <v>11</v>
      </c>
      <c r="H46" s="7">
        <v>1</v>
      </c>
      <c r="I46" s="8">
        <v>30000</v>
      </c>
      <c r="J46" s="8"/>
      <c r="K46" s="8">
        <v>0</v>
      </c>
      <c r="L46" s="8">
        <v>0</v>
      </c>
      <c r="M46" s="8"/>
      <c r="N46" s="8">
        <f>I46-L46</f>
        <v>30000</v>
      </c>
      <c r="O46" s="8">
        <v>0</v>
      </c>
      <c r="P46" s="8">
        <v>0</v>
      </c>
      <c r="Q46" s="8"/>
      <c r="R46" s="8">
        <v>0</v>
      </c>
      <c r="S46" s="8">
        <v>0</v>
      </c>
    </row>
    <row r="47" ht="31.5" customHeight="1" spans="1:19" x14ac:dyDescent="0.25">
      <c r="A47" s="5" t="s">
        <v>1136</v>
      </c>
      <c r="B47" s="6" t="s">
        <v>1137</v>
      </c>
      <c r="C47" s="6"/>
      <c r="D47" s="5" t="s">
        <v>138</v>
      </c>
      <c r="E47" s="5" t="s">
        <v>11</v>
      </c>
      <c r="F47" s="5" t="s">
        <v>11</v>
      </c>
      <c r="G47" s="5" t="s">
        <v>11</v>
      </c>
      <c r="H47" s="7">
        <v>1</v>
      </c>
      <c r="I47" s="8">
        <v>35000</v>
      </c>
      <c r="J47" s="8"/>
      <c r="K47" s="8">
        <v>0</v>
      </c>
      <c r="L47" s="8">
        <v>0</v>
      </c>
      <c r="M47" s="8"/>
      <c r="N47" s="8">
        <f>I47-L47</f>
        <v>35000</v>
      </c>
      <c r="O47" s="8">
        <v>0</v>
      </c>
      <c r="P47" s="8">
        <v>0</v>
      </c>
      <c r="Q47" s="8"/>
      <c r="R47" s="8">
        <v>0</v>
      </c>
      <c r="S47" s="8">
        <v>0</v>
      </c>
    </row>
    <row r="48" ht="31.5" customHeight="1" spans="1:19" x14ac:dyDescent="0.25">
      <c r="A48" s="5" t="s">
        <v>1138</v>
      </c>
      <c r="B48" s="6" t="s">
        <v>1139</v>
      </c>
      <c r="C48" s="6"/>
      <c r="D48" s="5" t="s">
        <v>138</v>
      </c>
      <c r="E48" s="5" t="s">
        <v>11</v>
      </c>
      <c r="F48" s="5" t="s">
        <v>11</v>
      </c>
      <c r="G48" s="5" t="s">
        <v>11</v>
      </c>
      <c r="H48" s="7">
        <v>1</v>
      </c>
      <c r="I48" s="8">
        <v>35000</v>
      </c>
      <c r="J48" s="8"/>
      <c r="K48" s="8">
        <v>0</v>
      </c>
      <c r="L48" s="8">
        <v>0</v>
      </c>
      <c r="M48" s="8"/>
      <c r="N48" s="8">
        <f>I48-L48</f>
        <v>35000</v>
      </c>
      <c r="O48" s="8">
        <v>0</v>
      </c>
      <c r="P48" s="8">
        <v>0</v>
      </c>
      <c r="Q48" s="8"/>
      <c r="R48" s="8">
        <v>0</v>
      </c>
      <c r="S48" s="8">
        <v>0</v>
      </c>
    </row>
    <row r="49" ht="31.5" customHeight="1" spans="1:19" x14ac:dyDescent="0.25">
      <c r="A49" s="5" t="s">
        <v>1140</v>
      </c>
      <c r="B49" s="6" t="s">
        <v>1141</v>
      </c>
      <c r="C49" s="6"/>
      <c r="D49" s="5" t="s">
        <v>138</v>
      </c>
      <c r="E49" s="5" t="s">
        <v>11</v>
      </c>
      <c r="F49" s="5" t="s">
        <v>11</v>
      </c>
      <c r="G49" s="5" t="s">
        <v>11</v>
      </c>
      <c r="H49" s="7">
        <v>4</v>
      </c>
      <c r="I49" s="8">
        <v>86000</v>
      </c>
      <c r="J49" s="8"/>
      <c r="K49" s="8">
        <v>0</v>
      </c>
      <c r="L49" s="8">
        <v>6250</v>
      </c>
      <c r="M49" s="8"/>
      <c r="N49" s="8">
        <f>I49-L49</f>
        <v>79750</v>
      </c>
      <c r="O49" s="8">
        <v>0</v>
      </c>
      <c r="P49" s="8">
        <v>0</v>
      </c>
      <c r="Q49" s="8"/>
      <c r="R49" s="8">
        <v>0</v>
      </c>
      <c r="S49" s="8">
        <v>0</v>
      </c>
    </row>
    <row r="50" ht="31.5" customHeight="1" spans="1:19" x14ac:dyDescent="0.25">
      <c r="A50" s="5" t="s">
        <v>1142</v>
      </c>
      <c r="B50" s="6" t="s">
        <v>1143</v>
      </c>
      <c r="C50" s="6"/>
      <c r="D50" s="5" t="s">
        <v>138</v>
      </c>
      <c r="E50" s="5" t="s">
        <v>11</v>
      </c>
      <c r="F50" s="5" t="s">
        <v>11</v>
      </c>
      <c r="G50" s="5" t="s">
        <v>11</v>
      </c>
      <c r="H50" s="7">
        <v>1</v>
      </c>
      <c r="I50" s="8">
        <v>50000</v>
      </c>
      <c r="J50" s="8"/>
      <c r="K50" s="8">
        <v>0</v>
      </c>
      <c r="L50" s="8">
        <v>0</v>
      </c>
      <c r="M50" s="8"/>
      <c r="N50" s="8">
        <f>I50-L50</f>
        <v>50000</v>
      </c>
      <c r="O50" s="8">
        <v>0</v>
      </c>
      <c r="P50" s="8">
        <v>0</v>
      </c>
      <c r="Q50" s="8"/>
      <c r="R50" s="8">
        <v>0</v>
      </c>
      <c r="S50" s="8">
        <v>0</v>
      </c>
    </row>
    <row r="51" ht="31.5" customHeight="1" spans="1:19" x14ac:dyDescent="0.25">
      <c r="A51" s="5" t="s">
        <v>1144</v>
      </c>
      <c r="B51" s="6" t="s">
        <v>1145</v>
      </c>
      <c r="C51" s="6"/>
      <c r="D51" s="5" t="s">
        <v>138</v>
      </c>
      <c r="E51" s="5" t="s">
        <v>11</v>
      </c>
      <c r="F51" s="5" t="s">
        <v>11</v>
      </c>
      <c r="G51" s="5" t="s">
        <v>11</v>
      </c>
      <c r="H51" s="7">
        <v>1</v>
      </c>
      <c r="I51" s="8">
        <v>15000</v>
      </c>
      <c r="J51" s="8"/>
      <c r="K51" s="8">
        <v>0</v>
      </c>
      <c r="L51" s="8">
        <v>7950</v>
      </c>
      <c r="M51" s="8"/>
      <c r="N51" s="8">
        <f>I51-L51</f>
        <v>7050</v>
      </c>
      <c r="O51" s="8">
        <v>0</v>
      </c>
      <c r="P51" s="8">
        <v>0</v>
      </c>
      <c r="Q51" s="8"/>
      <c r="R51" s="8">
        <v>0</v>
      </c>
      <c r="S51" s="8">
        <v>0</v>
      </c>
    </row>
    <row r="52" ht="31.5" customHeight="1" spans="1:19" x14ac:dyDescent="0.25">
      <c r="A52" s="5" t="s">
        <v>1146</v>
      </c>
      <c r="B52" s="6" t="s">
        <v>1147</v>
      </c>
      <c r="C52" s="6"/>
      <c r="D52" s="5" t="s">
        <v>138</v>
      </c>
      <c r="E52" s="5" t="s">
        <v>11</v>
      </c>
      <c r="F52" s="5" t="s">
        <v>11</v>
      </c>
      <c r="G52" s="5" t="s">
        <v>11</v>
      </c>
      <c r="H52" s="7">
        <v>1</v>
      </c>
      <c r="I52" s="8">
        <v>90000</v>
      </c>
      <c r="J52" s="8"/>
      <c r="K52" s="8">
        <v>0</v>
      </c>
      <c r="L52" s="8">
        <v>59437.32</v>
      </c>
      <c r="M52" s="8"/>
      <c r="N52" s="8">
        <f>I52-L52</f>
        <v>30562.68</v>
      </c>
      <c r="O52" s="8">
        <v>0</v>
      </c>
      <c r="P52" s="8">
        <v>0</v>
      </c>
      <c r="Q52" s="8"/>
      <c r="R52" s="8">
        <v>0</v>
      </c>
      <c r="S52" s="8">
        <v>0</v>
      </c>
    </row>
    <row r="53" ht="31.5" customHeight="1" spans="1:19" x14ac:dyDescent="0.25">
      <c r="A53" s="5" t="s">
        <v>1148</v>
      </c>
      <c r="B53" s="6" t="s">
        <v>1149</v>
      </c>
      <c r="C53" s="6"/>
      <c r="D53" s="5" t="s">
        <v>138</v>
      </c>
      <c r="E53" s="5" t="s">
        <v>11</v>
      </c>
      <c r="F53" s="5" t="s">
        <v>11</v>
      </c>
      <c r="G53" s="5" t="s">
        <v>11</v>
      </c>
      <c r="H53" s="7">
        <v>1</v>
      </c>
      <c r="I53" s="8">
        <v>20000</v>
      </c>
      <c r="J53" s="8"/>
      <c r="K53" s="8">
        <v>0</v>
      </c>
      <c r="L53" s="8">
        <v>10250</v>
      </c>
      <c r="M53" s="8"/>
      <c r="N53" s="8">
        <f>I53-L53</f>
        <v>9750</v>
      </c>
      <c r="O53" s="8">
        <v>0</v>
      </c>
      <c r="P53" s="8">
        <v>0</v>
      </c>
      <c r="Q53" s="8"/>
      <c r="R53" s="8">
        <v>0</v>
      </c>
      <c r="S53" s="8">
        <v>0</v>
      </c>
    </row>
    <row r="54" ht="31.5" customHeight="1" spans="1:19" x14ac:dyDescent="0.25">
      <c r="A54" s="5" t="s">
        <v>1150</v>
      </c>
      <c r="B54" s="6" t="s">
        <v>1151</v>
      </c>
      <c r="C54" s="6"/>
      <c r="D54" s="5" t="s">
        <v>138</v>
      </c>
      <c r="E54" s="5" t="s">
        <v>11</v>
      </c>
      <c r="F54" s="5" t="s">
        <v>11</v>
      </c>
      <c r="G54" s="5" t="s">
        <v>11</v>
      </c>
      <c r="H54" s="7">
        <v>1</v>
      </c>
      <c r="I54" s="8">
        <v>40000</v>
      </c>
      <c r="J54" s="8"/>
      <c r="K54" s="8">
        <v>0</v>
      </c>
      <c r="L54" s="8">
        <v>0</v>
      </c>
      <c r="M54" s="8"/>
      <c r="N54" s="8">
        <f>I54-L54</f>
        <v>40000</v>
      </c>
      <c r="O54" s="8">
        <v>0</v>
      </c>
      <c r="P54" s="8">
        <v>0</v>
      </c>
      <c r="Q54" s="8"/>
      <c r="R54" s="8">
        <v>0</v>
      </c>
      <c r="S54" s="8">
        <v>0</v>
      </c>
    </row>
    <row r="55" ht="31.5" customHeight="1" spans="1:19" x14ac:dyDescent="0.25">
      <c r="A55" s="5" t="s">
        <v>1152</v>
      </c>
      <c r="B55" s="6" t="s">
        <v>1153</v>
      </c>
      <c r="C55" s="6"/>
      <c r="D55" s="5" t="s">
        <v>138</v>
      </c>
      <c r="E55" s="5" t="s">
        <v>11</v>
      </c>
      <c r="F55" s="5" t="s">
        <v>11</v>
      </c>
      <c r="G55" s="5" t="s">
        <v>11</v>
      </c>
      <c r="H55" s="7">
        <v>2</v>
      </c>
      <c r="I55" s="8">
        <v>57000</v>
      </c>
      <c r="J55" s="8"/>
      <c r="K55" s="8">
        <v>0</v>
      </c>
      <c r="L55" s="8">
        <v>0</v>
      </c>
      <c r="M55" s="8"/>
      <c r="N55" s="8">
        <f>I55-L55</f>
        <v>57000</v>
      </c>
      <c r="O55" s="8">
        <v>0</v>
      </c>
      <c r="P55" s="8">
        <v>0</v>
      </c>
      <c r="Q55" s="8"/>
      <c r="R55" s="8">
        <v>0</v>
      </c>
      <c r="S55" s="8">
        <v>0</v>
      </c>
    </row>
    <row r="56" ht="31.5" customHeight="1" spans="1:19" x14ac:dyDescent="0.25">
      <c r="A56" s="5" t="s">
        <v>1154</v>
      </c>
      <c r="B56" s="6" t="s">
        <v>1155</v>
      </c>
      <c r="C56" s="6"/>
      <c r="D56" s="5" t="s">
        <v>138</v>
      </c>
      <c r="E56" s="5" t="s">
        <v>11</v>
      </c>
      <c r="F56" s="5" t="s">
        <v>11</v>
      </c>
      <c r="G56" s="5" t="s">
        <v>11</v>
      </c>
      <c r="H56" s="7">
        <v>2</v>
      </c>
      <c r="I56" s="8">
        <v>38000</v>
      </c>
      <c r="J56" s="8"/>
      <c r="K56" s="8">
        <v>0</v>
      </c>
      <c r="L56" s="8">
        <v>2087.18</v>
      </c>
      <c r="M56" s="8"/>
      <c r="N56" s="8">
        <f>I56-L56</f>
        <v>35912.82</v>
      </c>
      <c r="O56" s="8">
        <v>0</v>
      </c>
      <c r="P56" s="8">
        <v>0</v>
      </c>
      <c r="Q56" s="8"/>
      <c r="R56" s="8">
        <v>0</v>
      </c>
      <c r="S56" s="8">
        <v>0</v>
      </c>
    </row>
    <row r="57" ht="31.5" customHeight="1" spans="1:19" x14ac:dyDescent="0.25">
      <c r="A57" s="5" t="s">
        <v>1156</v>
      </c>
      <c r="B57" s="6" t="s">
        <v>1157</v>
      </c>
      <c r="C57" s="6"/>
      <c r="D57" s="5" t="s">
        <v>138</v>
      </c>
      <c r="E57" s="5" t="s">
        <v>11</v>
      </c>
      <c r="F57" s="5" t="s">
        <v>11</v>
      </c>
      <c r="G57" s="5" t="s">
        <v>11</v>
      </c>
      <c r="H57" s="7">
        <v>2</v>
      </c>
      <c r="I57" s="8">
        <v>58000</v>
      </c>
      <c r="J57" s="8"/>
      <c r="K57" s="8">
        <v>0</v>
      </c>
      <c r="L57" s="8">
        <v>0</v>
      </c>
      <c r="M57" s="8"/>
      <c r="N57" s="8">
        <f>I57-L57</f>
        <v>58000</v>
      </c>
      <c r="O57" s="8">
        <v>0</v>
      </c>
      <c r="P57" s="8">
        <v>0</v>
      </c>
      <c r="Q57" s="8"/>
      <c r="R57" s="8">
        <v>0</v>
      </c>
      <c r="S57" s="8">
        <v>0</v>
      </c>
    </row>
    <row r="58" ht="31.5" customHeight="1" spans="1:19" x14ac:dyDescent="0.25">
      <c r="A58" s="5" t="s">
        <v>1158</v>
      </c>
      <c r="B58" s="6" t="s">
        <v>1159</v>
      </c>
      <c r="C58" s="6"/>
      <c r="D58" s="5" t="s">
        <v>138</v>
      </c>
      <c r="E58" s="5" t="s">
        <v>11</v>
      </c>
      <c r="F58" s="5" t="s">
        <v>11</v>
      </c>
      <c r="G58" s="5" t="s">
        <v>11</v>
      </c>
      <c r="H58" s="7">
        <v>4</v>
      </c>
      <c r="I58" s="8">
        <v>600000</v>
      </c>
      <c r="J58" s="8"/>
      <c r="K58" s="8">
        <v>0</v>
      </c>
      <c r="L58" s="8">
        <v>0</v>
      </c>
      <c r="M58" s="8"/>
      <c r="N58" s="8">
        <f>I58-L58</f>
        <v>600000</v>
      </c>
      <c r="O58" s="8">
        <v>0</v>
      </c>
      <c r="P58" s="8">
        <v>0</v>
      </c>
      <c r="Q58" s="8"/>
      <c r="R58" s="8">
        <v>0</v>
      </c>
      <c r="S58" s="8">
        <v>0</v>
      </c>
    </row>
    <row r="59" ht="31.5" customHeight="1" spans="1:19" x14ac:dyDescent="0.25">
      <c r="A59" s="5" t="s">
        <v>1160</v>
      </c>
      <c r="B59" s="6" t="s">
        <v>1161</v>
      </c>
      <c r="C59" s="6"/>
      <c r="D59" s="5" t="s">
        <v>138</v>
      </c>
      <c r="E59" s="5" t="s">
        <v>11</v>
      </c>
      <c r="F59" s="5" t="s">
        <v>11</v>
      </c>
      <c r="G59" s="5" t="s">
        <v>11</v>
      </c>
      <c r="H59" s="7">
        <v>2</v>
      </c>
      <c r="I59" s="8">
        <v>62000</v>
      </c>
      <c r="J59" s="8"/>
      <c r="K59" s="8">
        <v>0</v>
      </c>
      <c r="L59" s="8">
        <v>6250</v>
      </c>
      <c r="M59" s="8"/>
      <c r="N59" s="8">
        <f>I59-L59</f>
        <v>55750</v>
      </c>
      <c r="O59" s="8">
        <v>0</v>
      </c>
      <c r="P59" s="8">
        <v>0</v>
      </c>
      <c r="Q59" s="8"/>
      <c r="R59" s="8">
        <v>0</v>
      </c>
      <c r="S59" s="8">
        <v>0</v>
      </c>
    </row>
    <row r="60" ht="31.5" customHeight="1" spans="1:19" x14ac:dyDescent="0.25">
      <c r="A60" s="5" t="s">
        <v>1162</v>
      </c>
      <c r="B60" s="6" t="s">
        <v>1163</v>
      </c>
      <c r="C60" s="6"/>
      <c r="D60" s="5" t="s">
        <v>138</v>
      </c>
      <c r="E60" s="5" t="s">
        <v>11</v>
      </c>
      <c r="F60" s="5" t="s">
        <v>11</v>
      </c>
      <c r="G60" s="5" t="s">
        <v>11</v>
      </c>
      <c r="H60" s="7">
        <v>2</v>
      </c>
      <c r="I60" s="8">
        <v>27000</v>
      </c>
      <c r="J60" s="8"/>
      <c r="K60" s="8">
        <v>0</v>
      </c>
      <c r="L60" s="8">
        <v>11153.46</v>
      </c>
      <c r="M60" s="8"/>
      <c r="N60" s="8">
        <f>I60-L60</f>
        <v>15846.54</v>
      </c>
      <c r="O60" s="8">
        <v>0</v>
      </c>
      <c r="P60" s="8">
        <v>0</v>
      </c>
      <c r="Q60" s="8"/>
      <c r="R60" s="8">
        <v>0</v>
      </c>
      <c r="S60" s="8">
        <v>0</v>
      </c>
    </row>
    <row r="61" ht="31.5" customHeight="1" spans="1:19" x14ac:dyDescent="0.25">
      <c r="A61" s="5" t="s">
        <v>1164</v>
      </c>
      <c r="B61" s="6" t="s">
        <v>1165</v>
      </c>
      <c r="C61" s="6"/>
      <c r="D61" s="5" t="s">
        <v>138</v>
      </c>
      <c r="E61" s="5" t="s">
        <v>11</v>
      </c>
      <c r="F61" s="5" t="s">
        <v>11</v>
      </c>
      <c r="G61" s="5" t="s">
        <v>11</v>
      </c>
      <c r="H61" s="7">
        <v>1</v>
      </c>
      <c r="I61" s="8">
        <v>15000</v>
      </c>
      <c r="J61" s="8"/>
      <c r="K61" s="8">
        <v>0</v>
      </c>
      <c r="L61" s="8">
        <v>4903.46</v>
      </c>
      <c r="M61" s="8"/>
      <c r="N61" s="8">
        <f>I61-L61</f>
        <v>10096.54</v>
      </c>
      <c r="O61" s="8">
        <v>0</v>
      </c>
      <c r="P61" s="8">
        <v>0</v>
      </c>
      <c r="Q61" s="8"/>
      <c r="R61" s="8">
        <v>0</v>
      </c>
      <c r="S61" s="8">
        <v>0</v>
      </c>
    </row>
    <row r="62" ht="31.5" customHeight="1" spans="1:19" x14ac:dyDescent="0.25">
      <c r="A62" s="5" t="s">
        <v>1166</v>
      </c>
      <c r="B62" s="6" t="s">
        <v>1167</v>
      </c>
      <c r="C62" s="6"/>
      <c r="D62" s="5" t="s">
        <v>138</v>
      </c>
      <c r="E62" s="5" t="s">
        <v>11</v>
      </c>
      <c r="F62" s="5" t="s">
        <v>11</v>
      </c>
      <c r="G62" s="5" t="s">
        <v>11</v>
      </c>
      <c r="H62" s="7">
        <v>1</v>
      </c>
      <c r="I62" s="8">
        <v>15000</v>
      </c>
      <c r="J62" s="8"/>
      <c r="K62" s="8">
        <v>0</v>
      </c>
      <c r="L62" s="8">
        <v>4903.46</v>
      </c>
      <c r="M62" s="8"/>
      <c r="N62" s="8">
        <f>I62-L62</f>
        <v>10096.54</v>
      </c>
      <c r="O62" s="8">
        <v>0</v>
      </c>
      <c r="P62" s="8">
        <v>0</v>
      </c>
      <c r="Q62" s="8"/>
      <c r="R62" s="8">
        <v>0</v>
      </c>
      <c r="S62" s="8">
        <v>0</v>
      </c>
    </row>
    <row r="63" ht="31.5" customHeight="1" spans="1:19" x14ac:dyDescent="0.25">
      <c r="A63" s="5" t="s">
        <v>1168</v>
      </c>
      <c r="B63" s="6" t="s">
        <v>1169</v>
      </c>
      <c r="C63" s="6"/>
      <c r="D63" s="5" t="s">
        <v>138</v>
      </c>
      <c r="E63" s="5" t="s">
        <v>11</v>
      </c>
      <c r="F63" s="5" t="s">
        <v>11</v>
      </c>
      <c r="G63" s="5" t="s">
        <v>11</v>
      </c>
      <c r="H63" s="7">
        <v>2</v>
      </c>
      <c r="I63" s="8">
        <v>57000</v>
      </c>
      <c r="J63" s="8"/>
      <c r="K63" s="8">
        <v>0</v>
      </c>
      <c r="L63" s="8">
        <v>0</v>
      </c>
      <c r="M63" s="8"/>
      <c r="N63" s="8">
        <f>I63-L63</f>
        <v>57000</v>
      </c>
      <c r="O63" s="8">
        <v>0</v>
      </c>
      <c r="P63" s="8">
        <v>0</v>
      </c>
      <c r="Q63" s="8"/>
      <c r="R63" s="8">
        <v>0</v>
      </c>
      <c r="S63" s="8">
        <v>0</v>
      </c>
    </row>
    <row r="64" ht="31.5" customHeight="1" spans="1:19" x14ac:dyDescent="0.25">
      <c r="A64" s="5" t="s">
        <v>1170</v>
      </c>
      <c r="B64" s="6" t="s">
        <v>1171</v>
      </c>
      <c r="C64" s="6"/>
      <c r="D64" s="5" t="s">
        <v>138</v>
      </c>
      <c r="E64" s="5" t="s">
        <v>11</v>
      </c>
      <c r="F64" s="5" t="s">
        <v>11</v>
      </c>
      <c r="G64" s="5" t="s">
        <v>11</v>
      </c>
      <c r="H64" s="7">
        <v>1</v>
      </c>
      <c r="I64" s="8">
        <v>15000</v>
      </c>
      <c r="J64" s="8"/>
      <c r="K64" s="8">
        <v>0</v>
      </c>
      <c r="L64" s="8">
        <v>4903.46</v>
      </c>
      <c r="M64" s="8"/>
      <c r="N64" s="8">
        <f>I64-L64</f>
        <v>10096.54</v>
      </c>
      <c r="O64" s="8">
        <v>0</v>
      </c>
      <c r="P64" s="8">
        <v>0</v>
      </c>
      <c r="Q64" s="8"/>
      <c r="R64" s="8">
        <v>0</v>
      </c>
      <c r="S64" s="8">
        <v>0</v>
      </c>
    </row>
    <row r="65" ht="31.5" customHeight="1" spans="1:19" x14ac:dyDescent="0.25">
      <c r="A65" s="5" t="s">
        <v>1172</v>
      </c>
      <c r="B65" s="6" t="s">
        <v>1173</v>
      </c>
      <c r="C65" s="6"/>
      <c r="D65" s="5" t="s">
        <v>138</v>
      </c>
      <c r="E65" s="5" t="s">
        <v>11</v>
      </c>
      <c r="F65" s="5" t="s">
        <v>11</v>
      </c>
      <c r="G65" s="5" t="s">
        <v>11</v>
      </c>
      <c r="H65" s="7">
        <v>2</v>
      </c>
      <c r="I65" s="8">
        <v>25000</v>
      </c>
      <c r="J65" s="8"/>
      <c r="K65" s="8">
        <v>0</v>
      </c>
      <c r="L65" s="8">
        <v>7162.110000000001</v>
      </c>
      <c r="M65" s="8"/>
      <c r="N65" s="8">
        <f>I65-L65</f>
        <v>17837.89</v>
      </c>
      <c r="O65" s="8">
        <v>0</v>
      </c>
      <c r="P65" s="8">
        <v>0</v>
      </c>
      <c r="Q65" s="8"/>
      <c r="R65" s="8">
        <v>0</v>
      </c>
      <c r="S65" s="8">
        <v>0</v>
      </c>
    </row>
    <row r="66" ht="31.5" customHeight="1" spans="1:19" x14ac:dyDescent="0.25">
      <c r="A66" s="5" t="s">
        <v>1174</v>
      </c>
      <c r="B66" s="6" t="s">
        <v>1175</v>
      </c>
      <c r="C66" s="6"/>
      <c r="D66" s="5" t="s">
        <v>138</v>
      </c>
      <c r="E66" s="5" t="s">
        <v>11</v>
      </c>
      <c r="F66" s="5" t="s">
        <v>11</v>
      </c>
      <c r="G66" s="5" t="s">
        <v>11</v>
      </c>
      <c r="H66" s="7">
        <v>1</v>
      </c>
      <c r="I66" s="8">
        <v>15000</v>
      </c>
      <c r="J66" s="8"/>
      <c r="K66" s="8">
        <v>0</v>
      </c>
      <c r="L66" s="8">
        <v>4903.46</v>
      </c>
      <c r="M66" s="8"/>
      <c r="N66" s="8">
        <f>I66-L66</f>
        <v>10096.54</v>
      </c>
      <c r="O66" s="8">
        <v>0</v>
      </c>
      <c r="P66" s="8">
        <v>0</v>
      </c>
      <c r="Q66" s="8"/>
      <c r="R66" s="8">
        <v>0</v>
      </c>
      <c r="S66" s="8">
        <v>0</v>
      </c>
    </row>
    <row r="67" ht="31.5" customHeight="1" spans="1:19" x14ac:dyDescent="0.25">
      <c r="A67" s="5" t="s">
        <v>1176</v>
      </c>
      <c r="B67" s="6" t="s">
        <v>1177</v>
      </c>
      <c r="C67" s="6"/>
      <c r="D67" s="5" t="s">
        <v>138</v>
      </c>
      <c r="E67" s="5" t="s">
        <v>11</v>
      </c>
      <c r="F67" s="5" t="s">
        <v>11</v>
      </c>
      <c r="G67" s="5" t="s">
        <v>11</v>
      </c>
      <c r="H67" s="7">
        <v>1</v>
      </c>
      <c r="I67" s="8">
        <v>25000</v>
      </c>
      <c r="J67" s="8"/>
      <c r="K67" s="8">
        <v>0</v>
      </c>
      <c r="L67" s="8">
        <v>0</v>
      </c>
      <c r="M67" s="8"/>
      <c r="N67" s="8">
        <f>I67-L67</f>
        <v>25000</v>
      </c>
      <c r="O67" s="8">
        <v>0</v>
      </c>
      <c r="P67" s="8">
        <v>0</v>
      </c>
      <c r="Q67" s="8"/>
      <c r="R67" s="8">
        <v>0</v>
      </c>
      <c r="S67" s="8">
        <v>0</v>
      </c>
    </row>
    <row r="68" ht="31.5" customHeight="1" spans="1:19" x14ac:dyDescent="0.25">
      <c r="A68" s="5" t="s">
        <v>1178</v>
      </c>
      <c r="B68" s="6" t="s">
        <v>1179</v>
      </c>
      <c r="C68" s="6"/>
      <c r="D68" s="5" t="s">
        <v>138</v>
      </c>
      <c r="E68" s="5" t="s">
        <v>11</v>
      </c>
      <c r="F68" s="5" t="s">
        <v>11</v>
      </c>
      <c r="G68" s="5" t="s">
        <v>11</v>
      </c>
      <c r="H68" s="7">
        <v>1</v>
      </c>
      <c r="I68" s="8">
        <v>15000</v>
      </c>
      <c r="J68" s="8"/>
      <c r="K68" s="8">
        <v>0</v>
      </c>
      <c r="L68" s="8">
        <v>4903.46</v>
      </c>
      <c r="M68" s="8"/>
      <c r="N68" s="8">
        <f>I68-L68</f>
        <v>10096.54</v>
      </c>
      <c r="O68" s="8">
        <v>0</v>
      </c>
      <c r="P68" s="8">
        <v>0</v>
      </c>
      <c r="Q68" s="8"/>
      <c r="R68" s="8">
        <v>0</v>
      </c>
      <c r="S68" s="8">
        <v>0</v>
      </c>
    </row>
    <row r="69" ht="31.5" customHeight="1" spans="1:19" x14ac:dyDescent="0.25">
      <c r="A69" s="5" t="s">
        <v>1180</v>
      </c>
      <c r="B69" s="6" t="s">
        <v>1181</v>
      </c>
      <c r="C69" s="6"/>
      <c r="D69" s="5" t="s">
        <v>138</v>
      </c>
      <c r="E69" s="5" t="s">
        <v>11</v>
      </c>
      <c r="F69" s="5" t="s">
        <v>11</v>
      </c>
      <c r="G69" s="5" t="s">
        <v>11</v>
      </c>
      <c r="H69" s="7">
        <v>1</v>
      </c>
      <c r="I69" s="8">
        <v>15000</v>
      </c>
      <c r="J69" s="8"/>
      <c r="K69" s="8">
        <v>0</v>
      </c>
      <c r="L69" s="8">
        <v>4903.46</v>
      </c>
      <c r="M69" s="8"/>
      <c r="N69" s="8">
        <f>I69-L69</f>
        <v>10096.54</v>
      </c>
      <c r="O69" s="8">
        <v>0</v>
      </c>
      <c r="P69" s="8">
        <v>0</v>
      </c>
      <c r="Q69" s="8"/>
      <c r="R69" s="8">
        <v>0</v>
      </c>
      <c r="S69" s="8">
        <v>0</v>
      </c>
    </row>
    <row r="70" ht="31.5" customHeight="1" spans="1:19" x14ac:dyDescent="0.25">
      <c r="A70" s="5" t="s">
        <v>1182</v>
      </c>
      <c r="B70" s="6" t="s">
        <v>1183</v>
      </c>
      <c r="C70" s="6"/>
      <c r="D70" s="5" t="s">
        <v>363</v>
      </c>
      <c r="E70" s="5" t="s">
        <v>11</v>
      </c>
      <c r="F70" s="5" t="s">
        <v>11</v>
      </c>
      <c r="G70" s="5" t="s">
        <v>11</v>
      </c>
      <c r="H70" s="7">
        <v>5</v>
      </c>
      <c r="I70" s="8">
        <v>215000</v>
      </c>
      <c r="J70" s="8"/>
      <c r="K70" s="8">
        <v>0</v>
      </c>
      <c r="L70" s="8">
        <v>4903.46</v>
      </c>
      <c r="M70" s="8"/>
      <c r="N70" s="8">
        <f>I70-L70</f>
        <v>210096.54</v>
      </c>
      <c r="O70" s="8">
        <v>0</v>
      </c>
      <c r="P70" s="8">
        <v>0</v>
      </c>
      <c r="Q70" s="8"/>
      <c r="R70" s="8">
        <v>0</v>
      </c>
      <c r="S70" s="8">
        <v>0</v>
      </c>
    </row>
    <row r="71" ht="31.5" customHeight="1" spans="1:19" x14ac:dyDescent="0.25">
      <c r="A71" s="5" t="s">
        <v>1184</v>
      </c>
      <c r="B71" s="6" t="s">
        <v>1185</v>
      </c>
      <c r="C71" s="6"/>
      <c r="D71" s="5" t="s">
        <v>363</v>
      </c>
      <c r="E71" s="5" t="s">
        <v>11</v>
      </c>
      <c r="F71" s="5" t="s">
        <v>11</v>
      </c>
      <c r="G71" s="5" t="s">
        <v>11</v>
      </c>
      <c r="H71" s="7">
        <v>1</v>
      </c>
      <c r="I71" s="8">
        <v>10000</v>
      </c>
      <c r="J71" s="8"/>
      <c r="K71" s="8">
        <v>0</v>
      </c>
      <c r="L71" s="8">
        <v>2258.65</v>
      </c>
      <c r="M71" s="8"/>
      <c r="N71" s="8">
        <f>I71-L71</f>
        <v>7741.35</v>
      </c>
      <c r="O71" s="8">
        <v>0</v>
      </c>
      <c r="P71" s="8">
        <v>0</v>
      </c>
      <c r="Q71" s="8"/>
      <c r="R71" s="8">
        <v>0</v>
      </c>
      <c r="S71" s="8">
        <v>0</v>
      </c>
    </row>
    <row r="72" ht="31.5" customHeight="1" spans="1:19" x14ac:dyDescent="0.25">
      <c r="A72" s="5" t="s">
        <v>1186</v>
      </c>
      <c r="B72" s="6" t="s">
        <v>1187</v>
      </c>
      <c r="C72" s="6"/>
      <c r="D72" s="5" t="s">
        <v>363</v>
      </c>
      <c r="E72" s="5" t="s">
        <v>11</v>
      </c>
      <c r="F72" s="5" t="s">
        <v>11</v>
      </c>
      <c r="G72" s="5" t="s">
        <v>11</v>
      </c>
      <c r="H72" s="7">
        <v>5</v>
      </c>
      <c r="I72" s="8">
        <v>370000</v>
      </c>
      <c r="J72" s="8"/>
      <c r="K72" s="8">
        <v>0</v>
      </c>
      <c r="L72" s="8">
        <v>0</v>
      </c>
      <c r="M72" s="8"/>
      <c r="N72" s="8">
        <f>I72-L72</f>
        <v>370000</v>
      </c>
      <c r="O72" s="8">
        <v>0</v>
      </c>
      <c r="P72" s="8">
        <v>0</v>
      </c>
      <c r="Q72" s="8"/>
      <c r="R72" s="8">
        <v>0</v>
      </c>
      <c r="S72" s="8">
        <v>0</v>
      </c>
    </row>
    <row r="73" ht="31.5" customHeight="1" spans="1:19" x14ac:dyDescent="0.25">
      <c r="A73" s="5" t="s">
        <v>1188</v>
      </c>
      <c r="B73" s="6" t="s">
        <v>1189</v>
      </c>
      <c r="C73" s="6"/>
      <c r="D73" s="5" t="s">
        <v>363</v>
      </c>
      <c r="E73" s="5" t="s">
        <v>11</v>
      </c>
      <c r="F73" s="5" t="s">
        <v>11</v>
      </c>
      <c r="G73" s="5" t="s">
        <v>11</v>
      </c>
      <c r="H73" s="7">
        <v>3</v>
      </c>
      <c r="I73" s="8">
        <v>45000</v>
      </c>
      <c r="J73" s="8"/>
      <c r="K73" s="8">
        <v>0</v>
      </c>
      <c r="L73" s="8">
        <v>20803.46</v>
      </c>
      <c r="M73" s="8"/>
      <c r="N73" s="8">
        <f>I73-L73</f>
        <v>24196.54</v>
      </c>
      <c r="O73" s="8">
        <v>0</v>
      </c>
      <c r="P73" s="8">
        <v>0</v>
      </c>
      <c r="Q73" s="8"/>
      <c r="R73" s="8">
        <v>0</v>
      </c>
      <c r="S73" s="8">
        <v>0</v>
      </c>
    </row>
    <row r="74" ht="31.5" customHeight="1" spans="1:19" x14ac:dyDescent="0.25">
      <c r="A74" s="5" t="s">
        <v>1190</v>
      </c>
      <c r="B74" s="6" t="s">
        <v>1191</v>
      </c>
      <c r="C74" s="6"/>
      <c r="D74" s="5" t="s">
        <v>363</v>
      </c>
      <c r="E74" s="5" t="s">
        <v>11</v>
      </c>
      <c r="F74" s="5" t="s">
        <v>11</v>
      </c>
      <c r="G74" s="5" t="s">
        <v>11</v>
      </c>
      <c r="H74" s="7">
        <v>1</v>
      </c>
      <c r="I74" s="8">
        <v>150000</v>
      </c>
      <c r="J74" s="8"/>
      <c r="K74" s="8">
        <v>0</v>
      </c>
      <c r="L74" s="8">
        <v>0</v>
      </c>
      <c r="M74" s="8"/>
      <c r="N74" s="8">
        <f>I74-L74</f>
        <v>150000</v>
      </c>
      <c r="O74" s="8">
        <v>0</v>
      </c>
      <c r="P74" s="8">
        <v>0</v>
      </c>
      <c r="Q74" s="8"/>
      <c r="R74" s="8">
        <v>0</v>
      </c>
      <c r="S74" s="8">
        <v>0</v>
      </c>
    </row>
    <row r="75" ht="18" customHeight="1" spans="1:19" x14ac:dyDescent="0.25">
      <c r="A75" s="9" t="s">
        <v>177</v>
      </c>
      <c r="B75" s="9"/>
      <c r="C75" s="9"/>
      <c r="D75" s="9"/>
      <c r="E75" s="9"/>
      <c r="F75" s="9"/>
      <c r="G75" s="9"/>
      <c r="H75" s="10">
        <f>SUM(H5:H74)</f>
        <v>109</v>
      </c>
      <c r="I75" s="11">
        <f>SUM(I5:I74)</f>
        <v>4724000</v>
      </c>
      <c r="J75" s="11"/>
      <c r="K75" s="11">
        <v>0</v>
      </c>
      <c r="L75" s="11">
        <f>SUM(L5:L74)</f>
        <v>445486.3400000002</v>
      </c>
      <c r="M75" s="11"/>
      <c r="N75" s="11">
        <f>SUM(N5:N74)</f>
        <v>4278513.66</v>
      </c>
      <c r="O75" s="11">
        <v>0</v>
      </c>
      <c r="P75" s="11">
        <v>0</v>
      </c>
      <c r="Q75" s="11"/>
      <c r="R75" s="11">
        <f>SUM(R5:R74)</f>
        <v>0</v>
      </c>
      <c r="S75" s="11">
        <v>0</v>
      </c>
    </row>
  </sheetData>
  <mergeCells count="300">
    <mergeCell ref="A1:S1"/>
    <mergeCell ref="A2:B2"/>
    <mergeCell ref="C2:E2"/>
    <mergeCell ref="F2:I2"/>
    <mergeCell ref="J2:L2"/>
    <mergeCell ref="M2:P2"/>
    <mergeCell ref="Q2:S2"/>
    <mergeCell ref="A3:B3"/>
    <mergeCell ref="C3:E3"/>
    <mergeCell ref="F3:I3"/>
    <mergeCell ref="J3:L3"/>
    <mergeCell ref="M3:S3"/>
    <mergeCell ref="B4:C4"/>
    <mergeCell ref="I4:J4"/>
    <mergeCell ref="L4:M4"/>
    <mergeCell ref="P4:Q4"/>
    <mergeCell ref="B5:C5"/>
    <mergeCell ref="I5:J5"/>
    <mergeCell ref="L5:M5"/>
    <mergeCell ref="P5:Q5"/>
    <mergeCell ref="B6:C6"/>
    <mergeCell ref="I6:J6"/>
    <mergeCell ref="L6:M6"/>
    <mergeCell ref="P6:Q6"/>
    <mergeCell ref="B7:C7"/>
    <mergeCell ref="I7:J7"/>
    <mergeCell ref="L7:M7"/>
    <mergeCell ref="P7:Q7"/>
    <mergeCell ref="B8:C8"/>
    <mergeCell ref="I8:J8"/>
    <mergeCell ref="L8:M8"/>
    <mergeCell ref="P8:Q8"/>
    <mergeCell ref="B9:C9"/>
    <mergeCell ref="I9:J9"/>
    <mergeCell ref="L9:M9"/>
    <mergeCell ref="P9:Q9"/>
    <mergeCell ref="B10:C10"/>
    <mergeCell ref="I10:J10"/>
    <mergeCell ref="L10:M10"/>
    <mergeCell ref="P10:Q10"/>
    <mergeCell ref="B11:C11"/>
    <mergeCell ref="I11:J11"/>
    <mergeCell ref="L11:M11"/>
    <mergeCell ref="P11:Q11"/>
    <mergeCell ref="B12:C12"/>
    <mergeCell ref="I12:J12"/>
    <mergeCell ref="L12:M12"/>
    <mergeCell ref="P12:Q12"/>
    <mergeCell ref="B13:C13"/>
    <mergeCell ref="I13:J13"/>
    <mergeCell ref="L13:M13"/>
    <mergeCell ref="P13:Q13"/>
    <mergeCell ref="B14:C14"/>
    <mergeCell ref="I14:J14"/>
    <mergeCell ref="L14:M14"/>
    <mergeCell ref="P14:Q14"/>
    <mergeCell ref="B15:C15"/>
    <mergeCell ref="I15:J15"/>
    <mergeCell ref="L15:M15"/>
    <mergeCell ref="P15:Q15"/>
    <mergeCell ref="B16:C16"/>
    <mergeCell ref="I16:J16"/>
    <mergeCell ref="L16:M16"/>
    <mergeCell ref="P16:Q16"/>
    <mergeCell ref="B17:C17"/>
    <mergeCell ref="I17:J17"/>
    <mergeCell ref="L17:M17"/>
    <mergeCell ref="P17:Q17"/>
    <mergeCell ref="B18:C18"/>
    <mergeCell ref="I18:J18"/>
    <mergeCell ref="L18:M18"/>
    <mergeCell ref="P18:Q18"/>
    <mergeCell ref="B19:C19"/>
    <mergeCell ref="I19:J19"/>
    <mergeCell ref="L19:M19"/>
    <mergeCell ref="P19:Q19"/>
    <mergeCell ref="B20:C20"/>
    <mergeCell ref="I20:J20"/>
    <mergeCell ref="L20:M20"/>
    <mergeCell ref="P20:Q20"/>
    <mergeCell ref="B21:C21"/>
    <mergeCell ref="I21:J21"/>
    <mergeCell ref="L21:M21"/>
    <mergeCell ref="P21:Q21"/>
    <mergeCell ref="B22:C22"/>
    <mergeCell ref="I22:J22"/>
    <mergeCell ref="L22:M22"/>
    <mergeCell ref="P22:Q22"/>
    <mergeCell ref="B23:C23"/>
    <mergeCell ref="I23:J23"/>
    <mergeCell ref="L23:M23"/>
    <mergeCell ref="P23:Q23"/>
    <mergeCell ref="B24:C24"/>
    <mergeCell ref="I24:J24"/>
    <mergeCell ref="L24:M24"/>
    <mergeCell ref="P24:Q24"/>
    <mergeCell ref="B25:C25"/>
    <mergeCell ref="I25:J25"/>
    <mergeCell ref="L25:M25"/>
    <mergeCell ref="P25:Q25"/>
    <mergeCell ref="B26:C26"/>
    <mergeCell ref="I26:J26"/>
    <mergeCell ref="L26:M26"/>
    <mergeCell ref="P26:Q26"/>
    <mergeCell ref="B27:C27"/>
    <mergeCell ref="I27:J27"/>
    <mergeCell ref="L27:M27"/>
    <mergeCell ref="P27:Q27"/>
    <mergeCell ref="B28:C28"/>
    <mergeCell ref="I28:J28"/>
    <mergeCell ref="L28:M28"/>
    <mergeCell ref="P28:Q28"/>
    <mergeCell ref="B29:C29"/>
    <mergeCell ref="I29:J29"/>
    <mergeCell ref="L29:M29"/>
    <mergeCell ref="P29:Q29"/>
    <mergeCell ref="B30:C30"/>
    <mergeCell ref="I30:J30"/>
    <mergeCell ref="L30:M30"/>
    <mergeCell ref="P30:Q30"/>
    <mergeCell ref="B31:C31"/>
    <mergeCell ref="I31:J31"/>
    <mergeCell ref="L31:M31"/>
    <mergeCell ref="P31:Q31"/>
    <mergeCell ref="B32:C32"/>
    <mergeCell ref="I32:J32"/>
    <mergeCell ref="L32:M32"/>
    <mergeCell ref="P32:Q32"/>
    <mergeCell ref="B33:C33"/>
    <mergeCell ref="I33:J33"/>
    <mergeCell ref="L33:M33"/>
    <mergeCell ref="P33:Q33"/>
    <mergeCell ref="B34:C34"/>
    <mergeCell ref="I34:J34"/>
    <mergeCell ref="L34:M34"/>
    <mergeCell ref="P34:Q34"/>
    <mergeCell ref="B35:C35"/>
    <mergeCell ref="I35:J35"/>
    <mergeCell ref="L35:M35"/>
    <mergeCell ref="P35:Q35"/>
    <mergeCell ref="B36:C36"/>
    <mergeCell ref="I36:J36"/>
    <mergeCell ref="L36:M36"/>
    <mergeCell ref="P36:Q36"/>
    <mergeCell ref="B37:C37"/>
    <mergeCell ref="I37:J37"/>
    <mergeCell ref="L37:M37"/>
    <mergeCell ref="P37:Q37"/>
    <mergeCell ref="B38:C38"/>
    <mergeCell ref="I38:J38"/>
    <mergeCell ref="L38:M38"/>
    <mergeCell ref="P38:Q38"/>
    <mergeCell ref="B39:C39"/>
    <mergeCell ref="I39:J39"/>
    <mergeCell ref="L39:M39"/>
    <mergeCell ref="P39:Q39"/>
    <mergeCell ref="B40:C40"/>
    <mergeCell ref="I40:J40"/>
    <mergeCell ref="L40:M40"/>
    <mergeCell ref="P40:Q40"/>
    <mergeCell ref="B41:C41"/>
    <mergeCell ref="I41:J41"/>
    <mergeCell ref="L41:M41"/>
    <mergeCell ref="P41:Q41"/>
    <mergeCell ref="B42:C42"/>
    <mergeCell ref="I42:J42"/>
    <mergeCell ref="L42:M42"/>
    <mergeCell ref="P42:Q42"/>
    <mergeCell ref="B43:C43"/>
    <mergeCell ref="I43:J43"/>
    <mergeCell ref="L43:M43"/>
    <mergeCell ref="P43:Q43"/>
    <mergeCell ref="B44:C44"/>
    <mergeCell ref="I44:J44"/>
    <mergeCell ref="L44:M44"/>
    <mergeCell ref="P44:Q44"/>
    <mergeCell ref="B45:C45"/>
    <mergeCell ref="I45:J45"/>
    <mergeCell ref="L45:M45"/>
    <mergeCell ref="P45:Q45"/>
    <mergeCell ref="B46:C46"/>
    <mergeCell ref="I46:J46"/>
    <mergeCell ref="L46:M46"/>
    <mergeCell ref="P46:Q46"/>
    <mergeCell ref="B47:C47"/>
    <mergeCell ref="I47:J47"/>
    <mergeCell ref="L47:M47"/>
    <mergeCell ref="P47:Q47"/>
    <mergeCell ref="B48:C48"/>
    <mergeCell ref="I48:J48"/>
    <mergeCell ref="L48:M48"/>
    <mergeCell ref="P48:Q48"/>
    <mergeCell ref="B49:C49"/>
    <mergeCell ref="I49:J49"/>
    <mergeCell ref="L49:M49"/>
    <mergeCell ref="P49:Q49"/>
    <mergeCell ref="B50:C50"/>
    <mergeCell ref="I50:J50"/>
    <mergeCell ref="L50:M50"/>
    <mergeCell ref="P50:Q50"/>
    <mergeCell ref="B51:C51"/>
    <mergeCell ref="I51:J51"/>
    <mergeCell ref="L51:M51"/>
    <mergeCell ref="P51:Q51"/>
    <mergeCell ref="B52:C52"/>
    <mergeCell ref="I52:J52"/>
    <mergeCell ref="L52:M52"/>
    <mergeCell ref="P52:Q52"/>
    <mergeCell ref="B53:C53"/>
    <mergeCell ref="I53:J53"/>
    <mergeCell ref="L53:M53"/>
    <mergeCell ref="P53:Q53"/>
    <mergeCell ref="B54:C54"/>
    <mergeCell ref="I54:J54"/>
    <mergeCell ref="L54:M54"/>
    <mergeCell ref="P54:Q54"/>
    <mergeCell ref="B55:C55"/>
    <mergeCell ref="I55:J55"/>
    <mergeCell ref="L55:M55"/>
    <mergeCell ref="P55:Q55"/>
    <mergeCell ref="B56:C56"/>
    <mergeCell ref="I56:J56"/>
    <mergeCell ref="L56:M56"/>
    <mergeCell ref="P56:Q56"/>
    <mergeCell ref="B57:C57"/>
    <mergeCell ref="I57:J57"/>
    <mergeCell ref="L57:M57"/>
    <mergeCell ref="P57:Q57"/>
    <mergeCell ref="B58:C58"/>
    <mergeCell ref="I58:J58"/>
    <mergeCell ref="L58:M58"/>
    <mergeCell ref="P58:Q58"/>
    <mergeCell ref="B59:C59"/>
    <mergeCell ref="I59:J59"/>
    <mergeCell ref="L59:M59"/>
    <mergeCell ref="P59:Q59"/>
    <mergeCell ref="B60:C60"/>
    <mergeCell ref="I60:J60"/>
    <mergeCell ref="L60:M60"/>
    <mergeCell ref="P60:Q60"/>
    <mergeCell ref="B61:C61"/>
    <mergeCell ref="I61:J61"/>
    <mergeCell ref="L61:M61"/>
    <mergeCell ref="P61:Q61"/>
    <mergeCell ref="B62:C62"/>
    <mergeCell ref="I62:J62"/>
    <mergeCell ref="L62:M62"/>
    <mergeCell ref="P62:Q62"/>
    <mergeCell ref="B63:C63"/>
    <mergeCell ref="I63:J63"/>
    <mergeCell ref="L63:M63"/>
    <mergeCell ref="P63:Q63"/>
    <mergeCell ref="B64:C64"/>
    <mergeCell ref="I64:J64"/>
    <mergeCell ref="L64:M64"/>
    <mergeCell ref="P64:Q64"/>
    <mergeCell ref="B65:C65"/>
    <mergeCell ref="I65:J65"/>
    <mergeCell ref="L65:M65"/>
    <mergeCell ref="P65:Q65"/>
    <mergeCell ref="B66:C66"/>
    <mergeCell ref="I66:J66"/>
    <mergeCell ref="L66:M66"/>
    <mergeCell ref="P66:Q66"/>
    <mergeCell ref="B67:C67"/>
    <mergeCell ref="I67:J67"/>
    <mergeCell ref="L67:M67"/>
    <mergeCell ref="P67:Q67"/>
    <mergeCell ref="B68:C68"/>
    <mergeCell ref="I68:J68"/>
    <mergeCell ref="L68:M68"/>
    <mergeCell ref="P68:Q68"/>
    <mergeCell ref="B69:C69"/>
    <mergeCell ref="I69:J69"/>
    <mergeCell ref="L69:M69"/>
    <mergeCell ref="P69:Q69"/>
    <mergeCell ref="B70:C70"/>
    <mergeCell ref="I70:J70"/>
    <mergeCell ref="L70:M70"/>
    <mergeCell ref="P70:Q70"/>
    <mergeCell ref="B71:C71"/>
    <mergeCell ref="I71:J71"/>
    <mergeCell ref="L71:M71"/>
    <mergeCell ref="P71:Q71"/>
    <mergeCell ref="B72:C72"/>
    <mergeCell ref="I72:J72"/>
    <mergeCell ref="L72:M72"/>
    <mergeCell ref="P72:Q72"/>
    <mergeCell ref="B73:C73"/>
    <mergeCell ref="I73:J73"/>
    <mergeCell ref="L73:M73"/>
    <mergeCell ref="P73:Q73"/>
    <mergeCell ref="B74:C74"/>
    <mergeCell ref="I74:J74"/>
    <mergeCell ref="L74:M74"/>
    <mergeCell ref="P74:Q74"/>
    <mergeCell ref="A75:G75"/>
    <mergeCell ref="I75:J75"/>
    <mergeCell ref="L75:M75"/>
    <mergeCell ref="P75:Q75"/>
  </mergeCells>
  <pageMargins left="0.2" right="0.2" top="0.3" bottom="0.3" header="0.1" footer="0.1"/>
  <pageSetup paperSize="9" orientation="landscape" horizontalDpi="4294967295" verticalDpi="4294967295" scale="100" fitToWidth="1" fitToHeight="0"/>
  <headerFooter>
    <oddFooter>&amp;LGenerated by AYO Olsera&amp;CPage &amp;P of &amp;N&amp;R&amp;D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05"/>
  <sheetViews>
    <sheetView workbookViewId="0" zoomScale="80"/>
  </sheetViews>
  <sheetFormatPr defaultRowHeight="15.75" outlineLevelRow="0" outlineLevelCol="0" x14ac:dyDescent="55" customHeight="1"/>
  <cols>
    <col min="1" max="1" width="22" customWidth="1"/>
    <col min="2" max="2" width="12.1" hidden="1" customWidth="1"/>
    <col min="3" max="3" width="15.7" customWidth="1"/>
    <col min="4" max="4" width="17.4" customWidth="1"/>
    <col min="5" max="5" width="0.1" hidden="1" customWidth="1"/>
    <col min="6" max="6" width="16" customWidth="1"/>
    <col min="7" max="7" width="12" customWidth="1"/>
    <col min="9" max="9" width="14" customWidth="1"/>
    <col min="10" max="10" width="10" customWidth="1"/>
    <col min="12" max="12" width="9" hidden="1" customWidth="1"/>
    <col min="13" max="13" width="10" customWidth="1"/>
    <col min="14" max="14" width="15" customWidth="1"/>
    <col min="16" max="16" width="0.1" customWidth="1"/>
    <col min="17" max="18" width="10" customWidth="1"/>
    <col min="19" max="19" width="11" customWidth="1"/>
  </cols>
  <sheetData>
    <row r="1" ht="52.5" customHeight="1" spans="1:19" x14ac:dyDescent="0.25">
      <c r="A1" s="1" t="s">
        <v>1192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8.5" customHeight="1" spans="1:19" x14ac:dyDescent="0.25">
      <c r="A2" s="2" t="s">
        <v>1193</v>
      </c>
      <c r="B2" s="2"/>
      <c r="C2" s="2" t="s">
        <v>2</v>
      </c>
      <c r="D2" s="2"/>
      <c r="E2" s="2"/>
      <c r="F2" s="2" t="s">
        <v>1194</v>
      </c>
      <c r="G2" s="2"/>
      <c r="H2" s="2"/>
      <c r="I2" s="2"/>
      <c r="J2" s="2" t="s">
        <v>1195</v>
      </c>
      <c r="K2" s="2"/>
      <c r="L2" s="2"/>
      <c r="M2" s="2" t="s">
        <v>5</v>
      </c>
      <c r="N2" s="2"/>
      <c r="O2" s="2"/>
      <c r="P2" s="2"/>
      <c r="Q2" s="2" t="s">
        <v>6</v>
      </c>
      <c r="R2" s="2"/>
      <c r="S2" s="2"/>
    </row>
    <row r="3" ht="31.5" customHeight="1" spans="1:19" x14ac:dyDescent="0.25">
      <c r="A3" s="2" t="s">
        <v>7</v>
      </c>
      <c r="B3" s="2"/>
      <c r="C3" s="2" t="s">
        <v>8</v>
      </c>
      <c r="D3" s="2"/>
      <c r="E3" s="2"/>
      <c r="F3" s="2" t="s">
        <v>1196</v>
      </c>
      <c r="G3" s="2"/>
      <c r="H3" s="2"/>
      <c r="I3" s="2"/>
      <c r="J3" s="2" t="s">
        <v>10</v>
      </c>
      <c r="K3" s="2"/>
      <c r="L3" s="2"/>
      <c r="M3" s="3" t="s">
        <v>11</v>
      </c>
      <c r="N3" s="3"/>
      <c r="O3" s="3"/>
      <c r="P3" s="3"/>
      <c r="Q3" s="3"/>
      <c r="R3" s="3"/>
      <c r="S3" s="3"/>
    </row>
    <row r="4" ht="25.5" customHeight="1" spans="1:19" x14ac:dyDescent="0.25">
      <c r="A4" s="4" t="s">
        <v>12</v>
      </c>
      <c r="B4" s="4" t="s">
        <v>13</v>
      </c>
      <c r="C4" s="4"/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/>
      <c r="K4" s="4" t="s">
        <v>20</v>
      </c>
      <c r="L4" s="4" t="s">
        <v>21</v>
      </c>
      <c r="M4" s="4"/>
      <c r="N4" s="4" t="s">
        <v>22</v>
      </c>
      <c r="O4" s="4" t="s">
        <v>23</v>
      </c>
      <c r="P4" s="4" t="s">
        <v>24</v>
      </c>
      <c r="Q4" s="4"/>
      <c r="R4" s="4" t="s">
        <v>25</v>
      </c>
      <c r="S4" s="4" t="s">
        <v>26</v>
      </c>
    </row>
    <row r="5" ht="31.5" customHeight="1" spans="1:19" x14ac:dyDescent="0.25">
      <c r="A5" s="5" t="s">
        <v>1197</v>
      </c>
      <c r="B5" s="6" t="s">
        <v>1198</v>
      </c>
      <c r="C5" s="6"/>
      <c r="D5" s="5" t="s">
        <v>29</v>
      </c>
      <c r="E5" s="5" t="s">
        <v>11</v>
      </c>
      <c r="F5" s="5" t="s">
        <v>11</v>
      </c>
      <c r="G5" s="5" t="s">
        <v>11</v>
      </c>
      <c r="H5" s="7">
        <v>1</v>
      </c>
      <c r="I5" s="8">
        <v>35000</v>
      </c>
      <c r="J5" s="8"/>
      <c r="K5" s="8">
        <v>0</v>
      </c>
      <c r="L5" s="8">
        <v>25000</v>
      </c>
      <c r="M5" s="8"/>
      <c r="N5" s="8">
        <f>I5-L5</f>
        <v>10000</v>
      </c>
      <c r="O5" s="8">
        <v>0</v>
      </c>
      <c r="P5" s="8">
        <v>0</v>
      </c>
      <c r="Q5" s="8"/>
      <c r="R5" s="8">
        <v>0</v>
      </c>
      <c r="S5" s="8">
        <v>0</v>
      </c>
    </row>
    <row r="6" ht="31.5" customHeight="1" spans="1:19" x14ac:dyDescent="0.25">
      <c r="A6" s="5" t="s">
        <v>1199</v>
      </c>
      <c r="B6" s="6" t="s">
        <v>1200</v>
      </c>
      <c r="C6" s="6"/>
      <c r="D6" s="5" t="s">
        <v>29</v>
      </c>
      <c r="E6" s="5" t="s">
        <v>11</v>
      </c>
      <c r="F6" s="5" t="s">
        <v>11</v>
      </c>
      <c r="G6" s="5" t="s">
        <v>11</v>
      </c>
      <c r="H6" s="7">
        <v>1</v>
      </c>
      <c r="I6" s="8">
        <v>15000</v>
      </c>
      <c r="J6" s="8"/>
      <c r="K6" s="8">
        <v>0</v>
      </c>
      <c r="L6" s="8">
        <v>7950</v>
      </c>
      <c r="M6" s="8"/>
      <c r="N6" s="8">
        <f>I6-L6</f>
        <v>7050</v>
      </c>
      <c r="O6" s="8">
        <v>0</v>
      </c>
      <c r="P6" s="8">
        <v>0</v>
      </c>
      <c r="Q6" s="8"/>
      <c r="R6" s="8">
        <v>0</v>
      </c>
      <c r="S6" s="8">
        <v>0</v>
      </c>
    </row>
    <row r="7" ht="31.5" customHeight="1" spans="1:19" x14ac:dyDescent="0.25">
      <c r="A7" s="5" t="s">
        <v>1201</v>
      </c>
      <c r="B7" s="6" t="s">
        <v>1202</v>
      </c>
      <c r="C7" s="6"/>
      <c r="D7" s="5" t="s">
        <v>29</v>
      </c>
      <c r="E7" s="5" t="s">
        <v>11</v>
      </c>
      <c r="F7" s="5" t="s">
        <v>11</v>
      </c>
      <c r="G7" s="5" t="s">
        <v>11</v>
      </c>
      <c r="H7" s="7">
        <v>1</v>
      </c>
      <c r="I7" s="8">
        <v>30000</v>
      </c>
      <c r="J7" s="8"/>
      <c r="K7" s="8">
        <v>0</v>
      </c>
      <c r="L7" s="8">
        <v>0</v>
      </c>
      <c r="M7" s="8"/>
      <c r="N7" s="8">
        <f>I7-L7</f>
        <v>30000</v>
      </c>
      <c r="O7" s="8">
        <v>0</v>
      </c>
      <c r="P7" s="8">
        <v>0</v>
      </c>
      <c r="Q7" s="8"/>
      <c r="R7" s="8">
        <v>0</v>
      </c>
      <c r="S7" s="8">
        <v>0</v>
      </c>
    </row>
    <row r="8" ht="31.5" customHeight="1" spans="1:19" x14ac:dyDescent="0.25">
      <c r="A8" s="5" t="s">
        <v>1203</v>
      </c>
      <c r="B8" s="6" t="s">
        <v>1204</v>
      </c>
      <c r="C8" s="6"/>
      <c r="D8" s="5" t="s">
        <v>29</v>
      </c>
      <c r="E8" s="5" t="s">
        <v>11</v>
      </c>
      <c r="F8" s="5" t="s">
        <v>11</v>
      </c>
      <c r="G8" s="5" t="s">
        <v>11</v>
      </c>
      <c r="H8" s="7">
        <v>2</v>
      </c>
      <c r="I8" s="8">
        <v>50000</v>
      </c>
      <c r="J8" s="8"/>
      <c r="K8" s="8">
        <v>0</v>
      </c>
      <c r="L8" s="8">
        <v>2258.65</v>
      </c>
      <c r="M8" s="8"/>
      <c r="N8" s="8">
        <f>I8-L8</f>
        <v>47741.35</v>
      </c>
      <c r="O8" s="8">
        <v>0</v>
      </c>
      <c r="P8" s="8">
        <v>0</v>
      </c>
      <c r="Q8" s="8"/>
      <c r="R8" s="8">
        <v>0</v>
      </c>
      <c r="S8" s="8">
        <v>0</v>
      </c>
    </row>
    <row r="9" ht="31.5" customHeight="1" spans="1:19" x14ac:dyDescent="0.25">
      <c r="A9" s="5" t="s">
        <v>1205</v>
      </c>
      <c r="B9" s="6" t="s">
        <v>1206</v>
      </c>
      <c r="C9" s="6"/>
      <c r="D9" s="5" t="s">
        <v>29</v>
      </c>
      <c r="E9" s="5" t="s">
        <v>11</v>
      </c>
      <c r="F9" s="5" t="s">
        <v>11</v>
      </c>
      <c r="G9" s="5" t="s">
        <v>11</v>
      </c>
      <c r="H9" s="7">
        <v>1</v>
      </c>
      <c r="I9" s="8">
        <v>28000</v>
      </c>
      <c r="J9" s="8"/>
      <c r="K9" s="8">
        <v>0</v>
      </c>
      <c r="L9" s="8">
        <v>0</v>
      </c>
      <c r="M9" s="8"/>
      <c r="N9" s="8">
        <f>I9-L9</f>
        <v>28000</v>
      </c>
      <c r="O9" s="8">
        <v>0</v>
      </c>
      <c r="P9" s="8">
        <v>0</v>
      </c>
      <c r="Q9" s="8"/>
      <c r="R9" s="8">
        <v>0</v>
      </c>
      <c r="S9" s="8">
        <v>0</v>
      </c>
    </row>
    <row r="10" ht="31.5" customHeight="1" spans="1:19" x14ac:dyDescent="0.25">
      <c r="A10" s="5" t="s">
        <v>1207</v>
      </c>
      <c r="B10" s="6" t="s">
        <v>1208</v>
      </c>
      <c r="C10" s="6"/>
      <c r="D10" s="5" t="s">
        <v>29</v>
      </c>
      <c r="E10" s="5" t="s">
        <v>11</v>
      </c>
      <c r="F10" s="5" t="s">
        <v>11</v>
      </c>
      <c r="G10" s="5" t="s">
        <v>11</v>
      </c>
      <c r="H10" s="7">
        <v>1</v>
      </c>
      <c r="I10" s="8">
        <v>28000</v>
      </c>
      <c r="J10" s="8"/>
      <c r="K10" s="8">
        <v>0</v>
      </c>
      <c r="L10" s="8">
        <v>0</v>
      </c>
      <c r="M10" s="8"/>
      <c r="N10" s="8">
        <f>I10-L10</f>
        <v>28000</v>
      </c>
      <c r="O10" s="8">
        <v>0</v>
      </c>
      <c r="P10" s="8">
        <v>0</v>
      </c>
      <c r="Q10" s="8"/>
      <c r="R10" s="8">
        <v>0</v>
      </c>
      <c r="S10" s="8">
        <v>0</v>
      </c>
    </row>
    <row r="11" ht="31.5" customHeight="1" spans="1:19" x14ac:dyDescent="0.25">
      <c r="A11" s="5" t="s">
        <v>1209</v>
      </c>
      <c r="B11" s="6" t="s">
        <v>1210</v>
      </c>
      <c r="C11" s="6"/>
      <c r="D11" s="5" t="s">
        <v>29</v>
      </c>
      <c r="E11" s="5" t="s">
        <v>11</v>
      </c>
      <c r="F11" s="5" t="s">
        <v>11</v>
      </c>
      <c r="G11" s="5" t="s">
        <v>11</v>
      </c>
      <c r="H11" s="7">
        <v>4</v>
      </c>
      <c r="I11" s="8">
        <v>160000</v>
      </c>
      <c r="J11" s="8"/>
      <c r="K11" s="8">
        <v>0</v>
      </c>
      <c r="L11" s="8">
        <v>0</v>
      </c>
      <c r="M11" s="8"/>
      <c r="N11" s="8">
        <f>I11-L11</f>
        <v>160000</v>
      </c>
      <c r="O11" s="8">
        <v>0</v>
      </c>
      <c r="P11" s="8">
        <v>0</v>
      </c>
      <c r="Q11" s="8"/>
      <c r="R11" s="8">
        <v>0</v>
      </c>
      <c r="S11" s="8">
        <v>0</v>
      </c>
    </row>
    <row r="12" ht="31.5" customHeight="1" spans="1:19" x14ac:dyDescent="0.25">
      <c r="A12" s="5" t="s">
        <v>1211</v>
      </c>
      <c r="B12" s="6" t="s">
        <v>1212</v>
      </c>
      <c r="C12" s="6"/>
      <c r="D12" s="5" t="s">
        <v>29</v>
      </c>
      <c r="E12" s="5" t="s">
        <v>11</v>
      </c>
      <c r="F12" s="5" t="s">
        <v>11</v>
      </c>
      <c r="G12" s="5" t="s">
        <v>11</v>
      </c>
      <c r="H12" s="7">
        <v>3</v>
      </c>
      <c r="I12" s="8">
        <v>45000</v>
      </c>
      <c r="J12" s="8"/>
      <c r="K12" s="8">
        <v>0</v>
      </c>
      <c r="L12" s="8">
        <v>9806.92</v>
      </c>
      <c r="M12" s="8"/>
      <c r="N12" s="8">
        <f>I12-L12</f>
        <v>35193.08</v>
      </c>
      <c r="O12" s="8">
        <v>0</v>
      </c>
      <c r="P12" s="8">
        <v>0</v>
      </c>
      <c r="Q12" s="8"/>
      <c r="R12" s="8">
        <v>0</v>
      </c>
      <c r="S12" s="8">
        <v>0</v>
      </c>
    </row>
    <row r="13" ht="31.5" customHeight="1" spans="1:19" x14ac:dyDescent="0.25">
      <c r="A13" s="5" t="s">
        <v>1213</v>
      </c>
      <c r="B13" s="6" t="s">
        <v>1214</v>
      </c>
      <c r="C13" s="6"/>
      <c r="D13" s="5" t="s">
        <v>29</v>
      </c>
      <c r="E13" s="5" t="s">
        <v>11</v>
      </c>
      <c r="F13" s="5" t="s">
        <v>11</v>
      </c>
      <c r="G13" s="5" t="s">
        <v>11</v>
      </c>
      <c r="H13" s="7">
        <v>1</v>
      </c>
      <c r="I13" s="8">
        <v>50000</v>
      </c>
      <c r="J13" s="8"/>
      <c r="K13" s="8">
        <v>0</v>
      </c>
      <c r="L13" s="8">
        <v>0</v>
      </c>
      <c r="M13" s="8"/>
      <c r="N13" s="8">
        <f>I13-L13</f>
        <v>50000</v>
      </c>
      <c r="O13" s="8">
        <v>0</v>
      </c>
      <c r="P13" s="8">
        <v>0</v>
      </c>
      <c r="Q13" s="8"/>
      <c r="R13" s="8">
        <v>0</v>
      </c>
      <c r="S13" s="8">
        <v>0</v>
      </c>
    </row>
    <row r="14" ht="31.5" customHeight="1" spans="1:19" x14ac:dyDescent="0.25">
      <c r="A14" s="5" t="s">
        <v>1215</v>
      </c>
      <c r="B14" s="6" t="s">
        <v>1216</v>
      </c>
      <c r="C14" s="6"/>
      <c r="D14" s="5" t="s">
        <v>29</v>
      </c>
      <c r="E14" s="5" t="s">
        <v>11</v>
      </c>
      <c r="F14" s="5" t="s">
        <v>11</v>
      </c>
      <c r="G14" s="5" t="s">
        <v>11</v>
      </c>
      <c r="H14" s="7">
        <v>1</v>
      </c>
      <c r="I14" s="8">
        <v>30000</v>
      </c>
      <c r="J14" s="8"/>
      <c r="K14" s="8">
        <v>0</v>
      </c>
      <c r="L14" s="8">
        <v>0</v>
      </c>
      <c r="M14" s="8"/>
      <c r="N14" s="8">
        <f>I14-L14</f>
        <v>30000</v>
      </c>
      <c r="O14" s="8">
        <v>0</v>
      </c>
      <c r="P14" s="8">
        <v>0</v>
      </c>
      <c r="Q14" s="8"/>
      <c r="R14" s="8">
        <v>0</v>
      </c>
      <c r="S14" s="8">
        <v>0</v>
      </c>
    </row>
    <row r="15" ht="31.5" customHeight="1" spans="1:19" x14ac:dyDescent="0.25">
      <c r="A15" s="5" t="s">
        <v>1217</v>
      </c>
      <c r="B15" s="6" t="s">
        <v>1218</v>
      </c>
      <c r="C15" s="6"/>
      <c r="D15" s="5" t="s">
        <v>29</v>
      </c>
      <c r="E15" s="5" t="s">
        <v>11</v>
      </c>
      <c r="F15" s="5" t="s">
        <v>11</v>
      </c>
      <c r="G15" s="5" t="s">
        <v>11</v>
      </c>
      <c r="H15" s="7">
        <v>1</v>
      </c>
      <c r="I15" s="8">
        <v>30000</v>
      </c>
      <c r="J15" s="8"/>
      <c r="K15" s="8">
        <v>0</v>
      </c>
      <c r="L15" s="8">
        <v>0</v>
      </c>
      <c r="M15" s="8"/>
      <c r="N15" s="8">
        <f>I15-L15</f>
        <v>30000</v>
      </c>
      <c r="O15" s="8">
        <v>0</v>
      </c>
      <c r="P15" s="8">
        <v>0</v>
      </c>
      <c r="Q15" s="8"/>
      <c r="R15" s="8">
        <v>0</v>
      </c>
      <c r="S15" s="8">
        <v>0</v>
      </c>
    </row>
    <row r="16" ht="31.5" customHeight="1" spans="1:19" x14ac:dyDescent="0.25">
      <c r="A16" s="5" t="s">
        <v>1219</v>
      </c>
      <c r="B16" s="6" t="s">
        <v>1220</v>
      </c>
      <c r="C16" s="6"/>
      <c r="D16" s="5" t="s">
        <v>29</v>
      </c>
      <c r="E16" s="5" t="s">
        <v>11</v>
      </c>
      <c r="F16" s="5" t="s">
        <v>11</v>
      </c>
      <c r="G16" s="5" t="s">
        <v>11</v>
      </c>
      <c r="H16" s="7">
        <v>1</v>
      </c>
      <c r="I16" s="8">
        <v>15000</v>
      </c>
      <c r="J16" s="8"/>
      <c r="K16" s="8">
        <v>0</v>
      </c>
      <c r="L16" s="8">
        <v>4903.46</v>
      </c>
      <c r="M16" s="8"/>
      <c r="N16" s="8">
        <f>I16-L16</f>
        <v>10096.54</v>
      </c>
      <c r="O16" s="8">
        <v>0</v>
      </c>
      <c r="P16" s="8">
        <v>0</v>
      </c>
      <c r="Q16" s="8"/>
      <c r="R16" s="8">
        <v>0</v>
      </c>
      <c r="S16" s="8">
        <v>0</v>
      </c>
    </row>
    <row r="17" ht="31.5" customHeight="1" spans="1:19" x14ac:dyDescent="0.25">
      <c r="A17" s="5" t="s">
        <v>1221</v>
      </c>
      <c r="B17" s="6" t="s">
        <v>1222</v>
      </c>
      <c r="C17" s="6"/>
      <c r="D17" s="5" t="s">
        <v>29</v>
      </c>
      <c r="E17" s="5" t="s">
        <v>11</v>
      </c>
      <c r="F17" s="5" t="s">
        <v>11</v>
      </c>
      <c r="G17" s="5" t="s">
        <v>11</v>
      </c>
      <c r="H17" s="7">
        <v>1</v>
      </c>
      <c r="I17" s="8">
        <v>30000</v>
      </c>
      <c r="J17" s="8"/>
      <c r="K17" s="8">
        <v>0</v>
      </c>
      <c r="L17" s="8">
        <v>0</v>
      </c>
      <c r="M17" s="8"/>
      <c r="N17" s="8">
        <f>I17-L17</f>
        <v>30000</v>
      </c>
      <c r="O17" s="8">
        <v>0</v>
      </c>
      <c r="P17" s="8">
        <v>0</v>
      </c>
      <c r="Q17" s="8"/>
      <c r="R17" s="8">
        <v>0</v>
      </c>
      <c r="S17" s="8">
        <v>0</v>
      </c>
    </row>
    <row r="18" ht="31.5" customHeight="1" spans="1:19" x14ac:dyDescent="0.25">
      <c r="A18" s="5" t="s">
        <v>1223</v>
      </c>
      <c r="B18" s="6" t="s">
        <v>1224</v>
      </c>
      <c r="C18" s="6"/>
      <c r="D18" s="5" t="s">
        <v>29</v>
      </c>
      <c r="E18" s="5" t="s">
        <v>11</v>
      </c>
      <c r="F18" s="5" t="s">
        <v>11</v>
      </c>
      <c r="G18" s="5" t="s">
        <v>11</v>
      </c>
      <c r="H18" s="7">
        <v>1</v>
      </c>
      <c r="I18" s="8">
        <v>15000</v>
      </c>
      <c r="J18" s="8"/>
      <c r="K18" s="8">
        <v>0</v>
      </c>
      <c r="L18" s="8">
        <v>4903.46</v>
      </c>
      <c r="M18" s="8"/>
      <c r="N18" s="8">
        <f>I18-L18</f>
        <v>10096.54</v>
      </c>
      <c r="O18" s="8">
        <v>0</v>
      </c>
      <c r="P18" s="8">
        <v>0</v>
      </c>
      <c r="Q18" s="8"/>
      <c r="R18" s="8">
        <v>0</v>
      </c>
      <c r="S18" s="8">
        <v>0</v>
      </c>
    </row>
    <row r="19" ht="31.5" customHeight="1" spans="1:19" x14ac:dyDescent="0.25">
      <c r="A19" s="5" t="s">
        <v>1225</v>
      </c>
      <c r="B19" s="6" t="s">
        <v>1226</v>
      </c>
      <c r="C19" s="6"/>
      <c r="D19" s="5" t="s">
        <v>29</v>
      </c>
      <c r="E19" s="5" t="s">
        <v>11</v>
      </c>
      <c r="F19" s="5" t="s">
        <v>11</v>
      </c>
      <c r="G19" s="5" t="s">
        <v>11</v>
      </c>
      <c r="H19" s="7">
        <v>1</v>
      </c>
      <c r="I19" s="8">
        <v>12000</v>
      </c>
      <c r="J19" s="8"/>
      <c r="K19" s="8">
        <v>0</v>
      </c>
      <c r="L19" s="8">
        <v>6250</v>
      </c>
      <c r="M19" s="8"/>
      <c r="N19" s="8">
        <f>I19-L19</f>
        <v>5750</v>
      </c>
      <c r="O19" s="8">
        <v>0</v>
      </c>
      <c r="P19" s="8">
        <v>0</v>
      </c>
      <c r="Q19" s="8"/>
      <c r="R19" s="8">
        <v>0</v>
      </c>
      <c r="S19" s="8">
        <v>0</v>
      </c>
    </row>
    <row r="20" ht="31.5" customHeight="1" spans="1:19" x14ac:dyDescent="0.25">
      <c r="A20" s="5" t="s">
        <v>1227</v>
      </c>
      <c r="B20" s="6" t="s">
        <v>1228</v>
      </c>
      <c r="C20" s="6"/>
      <c r="D20" s="5" t="s">
        <v>29</v>
      </c>
      <c r="E20" s="5" t="s">
        <v>11</v>
      </c>
      <c r="F20" s="5" t="s">
        <v>11</v>
      </c>
      <c r="G20" s="5" t="s">
        <v>11</v>
      </c>
      <c r="H20" s="7">
        <v>1</v>
      </c>
      <c r="I20" s="8">
        <v>28000</v>
      </c>
      <c r="J20" s="8"/>
      <c r="K20" s="8">
        <v>0</v>
      </c>
      <c r="L20" s="8">
        <v>0</v>
      </c>
      <c r="M20" s="8"/>
      <c r="N20" s="8">
        <f>I20-L20</f>
        <v>28000</v>
      </c>
      <c r="O20" s="8">
        <v>0</v>
      </c>
      <c r="P20" s="8">
        <v>0</v>
      </c>
      <c r="Q20" s="8"/>
      <c r="R20" s="8">
        <v>0</v>
      </c>
      <c r="S20" s="8">
        <v>0</v>
      </c>
    </row>
    <row r="21" ht="31.5" customHeight="1" spans="1:19" x14ac:dyDescent="0.25">
      <c r="A21" s="5" t="s">
        <v>1229</v>
      </c>
      <c r="B21" s="6" t="s">
        <v>1230</v>
      </c>
      <c r="C21" s="6"/>
      <c r="D21" s="5" t="s">
        <v>363</v>
      </c>
      <c r="E21" s="5" t="s">
        <v>11</v>
      </c>
      <c r="F21" s="5" t="s">
        <v>11</v>
      </c>
      <c r="G21" s="5" t="s">
        <v>11</v>
      </c>
      <c r="H21" s="7">
        <v>1</v>
      </c>
      <c r="I21" s="8">
        <v>25000</v>
      </c>
      <c r="J21" s="8"/>
      <c r="K21" s="8">
        <v>0</v>
      </c>
      <c r="L21" s="8">
        <v>0</v>
      </c>
      <c r="M21" s="8"/>
      <c r="N21" s="8">
        <f>I21-L21</f>
        <v>25000</v>
      </c>
      <c r="O21" s="8">
        <v>0</v>
      </c>
      <c r="P21" s="8">
        <v>0</v>
      </c>
      <c r="Q21" s="8"/>
      <c r="R21" s="8">
        <v>0</v>
      </c>
      <c r="S21" s="8">
        <v>0</v>
      </c>
    </row>
    <row r="22" ht="31.5" customHeight="1" spans="1:19" x14ac:dyDescent="0.25">
      <c r="A22" s="5" t="s">
        <v>1231</v>
      </c>
      <c r="B22" s="6" t="s">
        <v>1232</v>
      </c>
      <c r="C22" s="6"/>
      <c r="D22" s="5" t="s">
        <v>29</v>
      </c>
      <c r="E22" s="5" t="s">
        <v>11</v>
      </c>
      <c r="F22" s="5" t="s">
        <v>11</v>
      </c>
      <c r="G22" s="5" t="s">
        <v>11</v>
      </c>
      <c r="H22" s="7">
        <v>1</v>
      </c>
      <c r="I22" s="8">
        <v>17000</v>
      </c>
      <c r="J22" s="8"/>
      <c r="K22" s="8">
        <v>0</v>
      </c>
      <c r="L22" s="8">
        <v>0</v>
      </c>
      <c r="M22" s="8"/>
      <c r="N22" s="8">
        <f>I22-L22</f>
        <v>17000</v>
      </c>
      <c r="O22" s="8">
        <v>0</v>
      </c>
      <c r="P22" s="8">
        <v>0</v>
      </c>
      <c r="Q22" s="8"/>
      <c r="R22" s="8">
        <v>0</v>
      </c>
      <c r="S22" s="8">
        <v>0</v>
      </c>
    </row>
    <row r="23" ht="31.5" customHeight="1" spans="1:19" x14ac:dyDescent="0.25">
      <c r="A23" s="5" t="s">
        <v>1233</v>
      </c>
      <c r="B23" s="6" t="s">
        <v>1234</v>
      </c>
      <c r="C23" s="6"/>
      <c r="D23" s="5" t="s">
        <v>29</v>
      </c>
      <c r="E23" s="5" t="s">
        <v>11</v>
      </c>
      <c r="F23" s="5" t="s">
        <v>11</v>
      </c>
      <c r="G23" s="5" t="s">
        <v>11</v>
      </c>
      <c r="H23" s="7">
        <v>1</v>
      </c>
      <c r="I23" s="8">
        <v>275000</v>
      </c>
      <c r="J23" s="8"/>
      <c r="K23" s="8">
        <v>0</v>
      </c>
      <c r="L23" s="8">
        <v>0</v>
      </c>
      <c r="M23" s="8"/>
      <c r="N23" s="8">
        <f>I23-L23</f>
        <v>275000</v>
      </c>
      <c r="O23" s="8">
        <v>0</v>
      </c>
      <c r="P23" s="8">
        <v>0</v>
      </c>
      <c r="Q23" s="8"/>
      <c r="R23" s="8">
        <v>0</v>
      </c>
      <c r="S23" s="8">
        <v>0</v>
      </c>
    </row>
    <row r="24" ht="31.5" customHeight="1" spans="1:19" x14ac:dyDescent="0.25">
      <c r="A24" s="5" t="s">
        <v>1235</v>
      </c>
      <c r="B24" s="6" t="s">
        <v>1236</v>
      </c>
      <c r="C24" s="6"/>
      <c r="D24" s="5" t="s">
        <v>29</v>
      </c>
      <c r="E24" s="5" t="s">
        <v>11</v>
      </c>
      <c r="F24" s="5" t="s">
        <v>11</v>
      </c>
      <c r="G24" s="5" t="s">
        <v>11</v>
      </c>
      <c r="H24" s="7">
        <v>1</v>
      </c>
      <c r="I24" s="8">
        <v>247500</v>
      </c>
      <c r="J24" s="8"/>
      <c r="K24" s="8">
        <v>0</v>
      </c>
      <c r="L24" s="8">
        <v>0</v>
      </c>
      <c r="M24" s="8"/>
      <c r="N24" s="8">
        <f>I24-L24</f>
        <v>247500</v>
      </c>
      <c r="O24" s="8">
        <v>0</v>
      </c>
      <c r="P24" s="8">
        <v>0</v>
      </c>
      <c r="Q24" s="8"/>
      <c r="R24" s="8">
        <v>0</v>
      </c>
      <c r="S24" s="8">
        <v>0</v>
      </c>
    </row>
    <row r="25" ht="31.5" customHeight="1" spans="1:19" x14ac:dyDescent="0.25">
      <c r="A25" s="5" t="s">
        <v>1237</v>
      </c>
      <c r="B25" s="6" t="s">
        <v>1238</v>
      </c>
      <c r="C25" s="6"/>
      <c r="D25" s="5" t="s">
        <v>29</v>
      </c>
      <c r="E25" s="5" t="s">
        <v>11</v>
      </c>
      <c r="F25" s="5" t="s">
        <v>11</v>
      </c>
      <c r="G25" s="5" t="s">
        <v>11</v>
      </c>
      <c r="H25" s="7">
        <v>1</v>
      </c>
      <c r="I25" s="8">
        <v>25000</v>
      </c>
      <c r="J25" s="8"/>
      <c r="K25" s="8">
        <v>0</v>
      </c>
      <c r="L25" s="8">
        <v>0</v>
      </c>
      <c r="M25" s="8"/>
      <c r="N25" s="8">
        <f>I25-L25</f>
        <v>25000</v>
      </c>
      <c r="O25" s="8">
        <v>0</v>
      </c>
      <c r="P25" s="8">
        <v>0</v>
      </c>
      <c r="Q25" s="8"/>
      <c r="R25" s="8">
        <v>0</v>
      </c>
      <c r="S25" s="8">
        <v>0</v>
      </c>
    </row>
    <row r="26" ht="31.5" customHeight="1" spans="1:19" x14ac:dyDescent="0.25">
      <c r="A26" s="5" t="s">
        <v>1239</v>
      </c>
      <c r="B26" s="6" t="s">
        <v>1240</v>
      </c>
      <c r="C26" s="6"/>
      <c r="D26" s="5" t="s">
        <v>29</v>
      </c>
      <c r="E26" s="5" t="s">
        <v>11</v>
      </c>
      <c r="F26" s="5" t="s">
        <v>11</v>
      </c>
      <c r="G26" s="5" t="s">
        <v>11</v>
      </c>
      <c r="H26" s="7">
        <v>1</v>
      </c>
      <c r="I26" s="8">
        <v>28000</v>
      </c>
      <c r="J26" s="8"/>
      <c r="K26" s="8">
        <v>0</v>
      </c>
      <c r="L26" s="8">
        <v>0</v>
      </c>
      <c r="M26" s="8"/>
      <c r="N26" s="8">
        <f>I26-L26</f>
        <v>28000</v>
      </c>
      <c r="O26" s="8">
        <v>0</v>
      </c>
      <c r="P26" s="8">
        <v>0</v>
      </c>
      <c r="Q26" s="8"/>
      <c r="R26" s="8">
        <v>0</v>
      </c>
      <c r="S26" s="8">
        <v>0</v>
      </c>
    </row>
    <row r="27" ht="31.5" customHeight="1" spans="1:19" x14ac:dyDescent="0.25">
      <c r="A27" s="5" t="s">
        <v>1241</v>
      </c>
      <c r="B27" s="6" t="s">
        <v>1242</v>
      </c>
      <c r="C27" s="6"/>
      <c r="D27" s="5" t="s">
        <v>29</v>
      </c>
      <c r="E27" s="5" t="s">
        <v>11</v>
      </c>
      <c r="F27" s="5" t="s">
        <v>11</v>
      </c>
      <c r="G27" s="5" t="s">
        <v>11</v>
      </c>
      <c r="H27" s="7">
        <v>2</v>
      </c>
      <c r="I27" s="8">
        <v>20000</v>
      </c>
      <c r="J27" s="8"/>
      <c r="K27" s="8">
        <v>0</v>
      </c>
      <c r="L27" s="8">
        <v>4517.3</v>
      </c>
      <c r="M27" s="8"/>
      <c r="N27" s="8">
        <f>I27-L27</f>
        <v>15482.7</v>
      </c>
      <c r="O27" s="8">
        <v>0</v>
      </c>
      <c r="P27" s="8">
        <v>0</v>
      </c>
      <c r="Q27" s="8"/>
      <c r="R27" s="8">
        <v>0</v>
      </c>
      <c r="S27" s="8">
        <v>0</v>
      </c>
    </row>
    <row r="28" ht="31.5" customHeight="1" spans="1:19" x14ac:dyDescent="0.25">
      <c r="A28" s="5" t="s">
        <v>1243</v>
      </c>
      <c r="B28" s="6" t="s">
        <v>1244</v>
      </c>
      <c r="C28" s="6"/>
      <c r="D28" s="5" t="s">
        <v>29</v>
      </c>
      <c r="E28" s="5" t="s">
        <v>11</v>
      </c>
      <c r="F28" s="5" t="s">
        <v>11</v>
      </c>
      <c r="G28" s="5" t="s">
        <v>11</v>
      </c>
      <c r="H28" s="7">
        <v>2</v>
      </c>
      <c r="I28" s="8">
        <v>45000</v>
      </c>
      <c r="J28" s="8"/>
      <c r="K28" s="8">
        <v>0</v>
      </c>
      <c r="L28" s="8">
        <v>0</v>
      </c>
      <c r="M28" s="8"/>
      <c r="N28" s="8">
        <f>I28-L28</f>
        <v>45000</v>
      </c>
      <c r="O28" s="8">
        <v>0</v>
      </c>
      <c r="P28" s="8">
        <v>0</v>
      </c>
      <c r="Q28" s="8"/>
      <c r="R28" s="8">
        <v>0</v>
      </c>
      <c r="S28" s="8">
        <v>0</v>
      </c>
    </row>
    <row r="29" ht="31.5" customHeight="1" spans="1:19" x14ac:dyDescent="0.25">
      <c r="A29" s="5" t="s">
        <v>1245</v>
      </c>
      <c r="B29" s="6" t="s">
        <v>1246</v>
      </c>
      <c r="C29" s="6"/>
      <c r="D29" s="5" t="s">
        <v>29</v>
      </c>
      <c r="E29" s="5" t="s">
        <v>11</v>
      </c>
      <c r="F29" s="5" t="s">
        <v>11</v>
      </c>
      <c r="G29" s="5" t="s">
        <v>11</v>
      </c>
      <c r="H29" s="7">
        <v>1</v>
      </c>
      <c r="I29" s="8">
        <v>15000</v>
      </c>
      <c r="J29" s="8"/>
      <c r="K29" s="8">
        <v>0</v>
      </c>
      <c r="L29" s="8">
        <v>4903.46</v>
      </c>
      <c r="M29" s="8"/>
      <c r="N29" s="8">
        <f>I29-L29</f>
        <v>10096.54</v>
      </c>
      <c r="O29" s="8">
        <v>0</v>
      </c>
      <c r="P29" s="8">
        <v>0</v>
      </c>
      <c r="Q29" s="8"/>
      <c r="R29" s="8">
        <v>0</v>
      </c>
      <c r="S29" s="8">
        <v>0</v>
      </c>
    </row>
    <row r="30" ht="31.5" customHeight="1" spans="1:19" x14ac:dyDescent="0.25">
      <c r="A30" s="5" t="s">
        <v>1247</v>
      </c>
      <c r="B30" s="6" t="s">
        <v>1248</v>
      </c>
      <c r="C30" s="6"/>
      <c r="D30" s="5" t="s">
        <v>29</v>
      </c>
      <c r="E30" s="5" t="s">
        <v>11</v>
      </c>
      <c r="F30" s="5" t="s">
        <v>11</v>
      </c>
      <c r="G30" s="5" t="s">
        <v>11</v>
      </c>
      <c r="H30" s="7">
        <v>1</v>
      </c>
      <c r="I30" s="8">
        <v>35000</v>
      </c>
      <c r="J30" s="8"/>
      <c r="K30" s="8">
        <v>0</v>
      </c>
      <c r="L30" s="8">
        <v>0</v>
      </c>
      <c r="M30" s="8"/>
      <c r="N30" s="8">
        <f>I30-L30</f>
        <v>35000</v>
      </c>
      <c r="O30" s="8">
        <v>0</v>
      </c>
      <c r="P30" s="8">
        <v>0</v>
      </c>
      <c r="Q30" s="8"/>
      <c r="R30" s="8">
        <v>0</v>
      </c>
      <c r="S30" s="8">
        <v>0</v>
      </c>
    </row>
    <row r="31" ht="31.5" customHeight="1" spans="1:19" x14ac:dyDescent="0.25">
      <c r="A31" s="5" t="s">
        <v>1249</v>
      </c>
      <c r="B31" s="6" t="s">
        <v>1250</v>
      </c>
      <c r="C31" s="6"/>
      <c r="D31" s="5" t="s">
        <v>29</v>
      </c>
      <c r="E31" s="5" t="s">
        <v>11</v>
      </c>
      <c r="F31" s="5" t="s">
        <v>11</v>
      </c>
      <c r="G31" s="5" t="s">
        <v>11</v>
      </c>
      <c r="H31" s="7">
        <v>1</v>
      </c>
      <c r="I31" s="8">
        <v>12000</v>
      </c>
      <c r="J31" s="8"/>
      <c r="K31" s="8">
        <v>0</v>
      </c>
      <c r="L31" s="8">
        <v>6250</v>
      </c>
      <c r="M31" s="8"/>
      <c r="N31" s="8">
        <f>I31-L31</f>
        <v>5750</v>
      </c>
      <c r="O31" s="8">
        <v>0</v>
      </c>
      <c r="P31" s="8">
        <v>0</v>
      </c>
      <c r="Q31" s="8"/>
      <c r="R31" s="8">
        <v>0</v>
      </c>
      <c r="S31" s="8">
        <v>0</v>
      </c>
    </row>
    <row r="32" ht="31.5" customHeight="1" spans="1:19" x14ac:dyDescent="0.25">
      <c r="A32" s="5" t="s">
        <v>1251</v>
      </c>
      <c r="B32" s="6" t="s">
        <v>1252</v>
      </c>
      <c r="C32" s="6"/>
      <c r="D32" s="5" t="s">
        <v>29</v>
      </c>
      <c r="E32" s="5" t="s">
        <v>11</v>
      </c>
      <c r="F32" s="5" t="s">
        <v>11</v>
      </c>
      <c r="G32" s="5" t="s">
        <v>11</v>
      </c>
      <c r="H32" s="7">
        <v>3</v>
      </c>
      <c r="I32" s="8">
        <v>110000</v>
      </c>
      <c r="J32" s="8"/>
      <c r="K32" s="8">
        <v>0</v>
      </c>
      <c r="L32" s="8">
        <v>0</v>
      </c>
      <c r="M32" s="8"/>
      <c r="N32" s="8">
        <f>I32-L32</f>
        <v>110000</v>
      </c>
      <c r="O32" s="8">
        <v>0</v>
      </c>
      <c r="P32" s="8">
        <v>0</v>
      </c>
      <c r="Q32" s="8"/>
      <c r="R32" s="8">
        <v>0</v>
      </c>
      <c r="S32" s="8">
        <v>0</v>
      </c>
    </row>
    <row r="33" ht="31.5" customHeight="1" spans="1:19" x14ac:dyDescent="0.25">
      <c r="A33" s="5" t="s">
        <v>1253</v>
      </c>
      <c r="B33" s="6" t="s">
        <v>1254</v>
      </c>
      <c r="C33" s="6"/>
      <c r="D33" s="5" t="s">
        <v>29</v>
      </c>
      <c r="E33" s="5" t="s">
        <v>11</v>
      </c>
      <c r="F33" s="5" t="s">
        <v>11</v>
      </c>
      <c r="G33" s="5" t="s">
        <v>11</v>
      </c>
      <c r="H33" s="7">
        <v>1</v>
      </c>
      <c r="I33" s="8">
        <v>30000</v>
      </c>
      <c r="J33" s="8"/>
      <c r="K33" s="8">
        <v>0</v>
      </c>
      <c r="L33" s="8">
        <v>0</v>
      </c>
      <c r="M33" s="8"/>
      <c r="N33" s="8">
        <f>I33-L33</f>
        <v>30000</v>
      </c>
      <c r="O33" s="8">
        <v>0</v>
      </c>
      <c r="P33" s="8">
        <v>0</v>
      </c>
      <c r="Q33" s="8"/>
      <c r="R33" s="8">
        <v>0</v>
      </c>
      <c r="S33" s="8">
        <v>0</v>
      </c>
    </row>
    <row r="34" ht="31.5" customHeight="1" spans="1:19" x14ac:dyDescent="0.25">
      <c r="A34" s="5" t="s">
        <v>1255</v>
      </c>
      <c r="B34" s="6" t="s">
        <v>1256</v>
      </c>
      <c r="C34" s="6"/>
      <c r="D34" s="5" t="s">
        <v>29</v>
      </c>
      <c r="E34" s="5" t="s">
        <v>11</v>
      </c>
      <c r="F34" s="5" t="s">
        <v>11</v>
      </c>
      <c r="G34" s="5" t="s">
        <v>11</v>
      </c>
      <c r="H34" s="7">
        <v>1</v>
      </c>
      <c r="I34" s="8">
        <v>30000</v>
      </c>
      <c r="J34" s="8"/>
      <c r="K34" s="8">
        <v>0</v>
      </c>
      <c r="L34" s="8">
        <v>0</v>
      </c>
      <c r="M34" s="8"/>
      <c r="N34" s="8">
        <f>I34-L34</f>
        <v>30000</v>
      </c>
      <c r="O34" s="8">
        <v>0</v>
      </c>
      <c r="P34" s="8">
        <v>0</v>
      </c>
      <c r="Q34" s="8"/>
      <c r="R34" s="8">
        <v>0</v>
      </c>
      <c r="S34" s="8">
        <v>0</v>
      </c>
    </row>
    <row r="35" ht="31.5" customHeight="1" spans="1:19" x14ac:dyDescent="0.25">
      <c r="A35" s="5" t="s">
        <v>1257</v>
      </c>
      <c r="B35" s="6" t="s">
        <v>1258</v>
      </c>
      <c r="C35" s="6"/>
      <c r="D35" s="5" t="s">
        <v>29</v>
      </c>
      <c r="E35" s="5" t="s">
        <v>11</v>
      </c>
      <c r="F35" s="5" t="s">
        <v>11</v>
      </c>
      <c r="G35" s="5" t="s">
        <v>11</v>
      </c>
      <c r="H35" s="7">
        <v>1</v>
      </c>
      <c r="I35" s="8">
        <v>30000</v>
      </c>
      <c r="J35" s="8"/>
      <c r="K35" s="8">
        <v>0</v>
      </c>
      <c r="L35" s="8">
        <v>0</v>
      </c>
      <c r="M35" s="8"/>
      <c r="N35" s="8">
        <f>I35-L35</f>
        <v>30000</v>
      </c>
      <c r="O35" s="8">
        <v>0</v>
      </c>
      <c r="P35" s="8">
        <v>0</v>
      </c>
      <c r="Q35" s="8"/>
      <c r="R35" s="8">
        <v>0</v>
      </c>
      <c r="S35" s="8">
        <v>0</v>
      </c>
    </row>
    <row r="36" ht="31.5" customHeight="1" spans="1:19" x14ac:dyDescent="0.25">
      <c r="A36" s="5" t="s">
        <v>1259</v>
      </c>
      <c r="B36" s="6" t="s">
        <v>1260</v>
      </c>
      <c r="C36" s="6"/>
      <c r="D36" s="5" t="s">
        <v>29</v>
      </c>
      <c r="E36" s="5" t="s">
        <v>11</v>
      </c>
      <c r="F36" s="5" t="s">
        <v>11</v>
      </c>
      <c r="G36" s="5" t="s">
        <v>11</v>
      </c>
      <c r="H36" s="7">
        <v>1</v>
      </c>
      <c r="I36" s="8">
        <v>50000</v>
      </c>
      <c r="J36" s="8"/>
      <c r="K36" s="8">
        <v>0</v>
      </c>
      <c r="L36" s="8">
        <v>0</v>
      </c>
      <c r="M36" s="8"/>
      <c r="N36" s="8">
        <f>I36-L36</f>
        <v>50000</v>
      </c>
      <c r="O36" s="8">
        <v>0</v>
      </c>
      <c r="P36" s="8">
        <v>0</v>
      </c>
      <c r="Q36" s="8"/>
      <c r="R36" s="8">
        <v>0</v>
      </c>
      <c r="S36" s="8">
        <v>0</v>
      </c>
    </row>
    <row r="37" ht="31.5" customHeight="1" spans="1:19" x14ac:dyDescent="0.25">
      <c r="A37" s="5" t="s">
        <v>1261</v>
      </c>
      <c r="B37" s="6" t="s">
        <v>1262</v>
      </c>
      <c r="C37" s="6"/>
      <c r="D37" s="5" t="s">
        <v>29</v>
      </c>
      <c r="E37" s="5" t="s">
        <v>11</v>
      </c>
      <c r="F37" s="5" t="s">
        <v>11</v>
      </c>
      <c r="G37" s="5" t="s">
        <v>11</v>
      </c>
      <c r="H37" s="7">
        <v>1</v>
      </c>
      <c r="I37" s="8">
        <v>40000</v>
      </c>
      <c r="J37" s="8"/>
      <c r="K37" s="8">
        <v>0</v>
      </c>
      <c r="L37" s="8">
        <v>0</v>
      </c>
      <c r="M37" s="8"/>
      <c r="N37" s="8">
        <f>I37-L37</f>
        <v>40000</v>
      </c>
      <c r="O37" s="8">
        <v>0</v>
      </c>
      <c r="P37" s="8">
        <v>0</v>
      </c>
      <c r="Q37" s="8"/>
      <c r="R37" s="8">
        <v>0</v>
      </c>
      <c r="S37" s="8">
        <v>0</v>
      </c>
    </row>
    <row r="38" ht="31.5" customHeight="1" spans="1:19" x14ac:dyDescent="0.25">
      <c r="A38" s="5" t="s">
        <v>1263</v>
      </c>
      <c r="B38" s="6" t="s">
        <v>1264</v>
      </c>
      <c r="C38" s="6"/>
      <c r="D38" s="5" t="s">
        <v>29</v>
      </c>
      <c r="E38" s="5" t="s">
        <v>11</v>
      </c>
      <c r="F38" s="5" t="s">
        <v>11</v>
      </c>
      <c r="G38" s="5" t="s">
        <v>11</v>
      </c>
      <c r="H38" s="7">
        <v>1</v>
      </c>
      <c r="I38" s="8">
        <v>90000</v>
      </c>
      <c r="J38" s="8"/>
      <c r="K38" s="8">
        <v>0</v>
      </c>
      <c r="L38" s="8">
        <v>59437.32</v>
      </c>
      <c r="M38" s="8"/>
      <c r="N38" s="8">
        <f>I38-L38</f>
        <v>30562.68</v>
      </c>
      <c r="O38" s="8">
        <v>0</v>
      </c>
      <c r="P38" s="8">
        <v>0</v>
      </c>
      <c r="Q38" s="8"/>
      <c r="R38" s="8">
        <v>0</v>
      </c>
      <c r="S38" s="8">
        <v>0</v>
      </c>
    </row>
    <row r="39" ht="31.5" customHeight="1" spans="1:19" x14ac:dyDescent="0.25">
      <c r="A39" s="5" t="s">
        <v>1265</v>
      </c>
      <c r="B39" s="6" t="s">
        <v>1266</v>
      </c>
      <c r="C39" s="6"/>
      <c r="D39" s="5" t="s">
        <v>29</v>
      </c>
      <c r="E39" s="5" t="s">
        <v>11</v>
      </c>
      <c r="F39" s="5" t="s">
        <v>11</v>
      </c>
      <c r="G39" s="5" t="s">
        <v>11</v>
      </c>
      <c r="H39" s="7">
        <v>1</v>
      </c>
      <c r="I39" s="8">
        <v>30000</v>
      </c>
      <c r="J39" s="8"/>
      <c r="K39" s="8">
        <v>0</v>
      </c>
      <c r="L39" s="8">
        <v>0</v>
      </c>
      <c r="M39" s="8"/>
      <c r="N39" s="8">
        <f>I39-L39</f>
        <v>30000</v>
      </c>
      <c r="O39" s="8">
        <v>0</v>
      </c>
      <c r="P39" s="8">
        <v>0</v>
      </c>
      <c r="Q39" s="8"/>
      <c r="R39" s="8">
        <v>0</v>
      </c>
      <c r="S39" s="8">
        <v>0</v>
      </c>
    </row>
    <row r="40" ht="31.5" customHeight="1" spans="1:19" x14ac:dyDescent="0.25">
      <c r="A40" s="5" t="s">
        <v>1267</v>
      </c>
      <c r="B40" s="6" t="s">
        <v>1268</v>
      </c>
      <c r="C40" s="6"/>
      <c r="D40" s="5" t="s">
        <v>29</v>
      </c>
      <c r="E40" s="5" t="s">
        <v>11</v>
      </c>
      <c r="F40" s="5" t="s">
        <v>11</v>
      </c>
      <c r="G40" s="5" t="s">
        <v>11</v>
      </c>
      <c r="H40" s="7">
        <v>2</v>
      </c>
      <c r="I40" s="8">
        <v>27000</v>
      </c>
      <c r="J40" s="8"/>
      <c r="K40" s="8">
        <v>0</v>
      </c>
      <c r="L40" s="8">
        <v>11153.46</v>
      </c>
      <c r="M40" s="8"/>
      <c r="N40" s="8">
        <f>I40-L40</f>
        <v>15846.54</v>
      </c>
      <c r="O40" s="8">
        <v>0</v>
      </c>
      <c r="P40" s="8">
        <v>0</v>
      </c>
      <c r="Q40" s="8"/>
      <c r="R40" s="8">
        <v>0</v>
      </c>
      <c r="S40" s="8">
        <v>0</v>
      </c>
    </row>
    <row r="41" ht="31.5" customHeight="1" spans="1:19" x14ac:dyDescent="0.25">
      <c r="A41" s="5" t="s">
        <v>1269</v>
      </c>
      <c r="B41" s="6" t="s">
        <v>1270</v>
      </c>
      <c r="C41" s="6"/>
      <c r="D41" s="5" t="s">
        <v>29</v>
      </c>
      <c r="E41" s="5" t="s">
        <v>11</v>
      </c>
      <c r="F41" s="5" t="s">
        <v>11</v>
      </c>
      <c r="G41" s="5" t="s">
        <v>11</v>
      </c>
      <c r="H41" s="7">
        <v>1</v>
      </c>
      <c r="I41" s="8">
        <v>50000</v>
      </c>
      <c r="J41" s="8"/>
      <c r="K41" s="8">
        <v>0</v>
      </c>
      <c r="L41" s="8">
        <v>0</v>
      </c>
      <c r="M41" s="8"/>
      <c r="N41" s="8">
        <f>I41-L41</f>
        <v>50000</v>
      </c>
      <c r="O41" s="8">
        <v>0</v>
      </c>
      <c r="P41" s="8">
        <v>0</v>
      </c>
      <c r="Q41" s="8"/>
      <c r="R41" s="8">
        <v>0</v>
      </c>
      <c r="S41" s="8">
        <v>0</v>
      </c>
    </row>
    <row r="42" ht="31.5" customHeight="1" spans="1:19" x14ac:dyDescent="0.25">
      <c r="A42" s="5" t="s">
        <v>1271</v>
      </c>
      <c r="B42" s="6" t="s">
        <v>1272</v>
      </c>
      <c r="C42" s="6"/>
      <c r="D42" s="5" t="s">
        <v>29</v>
      </c>
      <c r="E42" s="5" t="s">
        <v>11</v>
      </c>
      <c r="F42" s="5" t="s">
        <v>11</v>
      </c>
      <c r="G42" s="5" t="s">
        <v>11</v>
      </c>
      <c r="H42" s="7">
        <v>1</v>
      </c>
      <c r="I42" s="8">
        <v>50000</v>
      </c>
      <c r="J42" s="8"/>
      <c r="K42" s="8">
        <v>0</v>
      </c>
      <c r="L42" s="8">
        <v>0</v>
      </c>
      <c r="M42" s="8"/>
      <c r="N42" s="8">
        <f>I42-L42</f>
        <v>50000</v>
      </c>
      <c r="O42" s="8">
        <v>0</v>
      </c>
      <c r="P42" s="8">
        <v>0</v>
      </c>
      <c r="Q42" s="8"/>
      <c r="R42" s="8">
        <v>0</v>
      </c>
      <c r="S42" s="8">
        <v>0</v>
      </c>
    </row>
    <row r="43" ht="31.5" customHeight="1" spans="1:19" x14ac:dyDescent="0.25">
      <c r="A43" s="5" t="s">
        <v>1273</v>
      </c>
      <c r="B43" s="6" t="s">
        <v>1274</v>
      </c>
      <c r="C43" s="6"/>
      <c r="D43" s="5" t="s">
        <v>29</v>
      </c>
      <c r="E43" s="5" t="s">
        <v>11</v>
      </c>
      <c r="F43" s="5" t="s">
        <v>11</v>
      </c>
      <c r="G43" s="5" t="s">
        <v>11</v>
      </c>
      <c r="H43" s="7">
        <v>1</v>
      </c>
      <c r="I43" s="8">
        <v>50000</v>
      </c>
      <c r="J43" s="8"/>
      <c r="K43" s="8">
        <v>0</v>
      </c>
      <c r="L43" s="8">
        <v>0</v>
      </c>
      <c r="M43" s="8"/>
      <c r="N43" s="8">
        <f>I43-L43</f>
        <v>50000</v>
      </c>
      <c r="O43" s="8">
        <v>0</v>
      </c>
      <c r="P43" s="8">
        <v>0</v>
      </c>
      <c r="Q43" s="8"/>
      <c r="R43" s="8">
        <v>0</v>
      </c>
      <c r="S43" s="8">
        <v>0</v>
      </c>
    </row>
    <row r="44" ht="31.5" customHeight="1" spans="1:19" x14ac:dyDescent="0.25">
      <c r="A44" s="5" t="s">
        <v>1275</v>
      </c>
      <c r="B44" s="6" t="s">
        <v>1276</v>
      </c>
      <c r="C44" s="6"/>
      <c r="D44" s="5" t="s">
        <v>29</v>
      </c>
      <c r="E44" s="5" t="s">
        <v>11</v>
      </c>
      <c r="F44" s="5" t="s">
        <v>11</v>
      </c>
      <c r="G44" s="5" t="s">
        <v>11</v>
      </c>
      <c r="H44" s="7">
        <v>1</v>
      </c>
      <c r="I44" s="8">
        <v>50000</v>
      </c>
      <c r="J44" s="8"/>
      <c r="K44" s="8">
        <v>0</v>
      </c>
      <c r="L44" s="8">
        <v>0</v>
      </c>
      <c r="M44" s="8"/>
      <c r="N44" s="8">
        <f>I44-L44</f>
        <v>50000</v>
      </c>
      <c r="O44" s="8">
        <v>0</v>
      </c>
      <c r="P44" s="8">
        <v>0</v>
      </c>
      <c r="Q44" s="8"/>
      <c r="R44" s="8">
        <v>0</v>
      </c>
      <c r="S44" s="8">
        <v>0</v>
      </c>
    </row>
    <row r="45" ht="31.5" customHeight="1" spans="1:19" x14ac:dyDescent="0.25">
      <c r="A45" s="5" t="s">
        <v>1277</v>
      </c>
      <c r="B45" s="6" t="s">
        <v>1278</v>
      </c>
      <c r="C45" s="6"/>
      <c r="D45" s="5" t="s">
        <v>29</v>
      </c>
      <c r="E45" s="5" t="s">
        <v>11</v>
      </c>
      <c r="F45" s="5" t="s">
        <v>11</v>
      </c>
      <c r="G45" s="5" t="s">
        <v>11</v>
      </c>
      <c r="H45" s="7">
        <v>2</v>
      </c>
      <c r="I45" s="8">
        <v>58000</v>
      </c>
      <c r="J45" s="8"/>
      <c r="K45" s="8">
        <v>0</v>
      </c>
      <c r="L45" s="8">
        <v>0</v>
      </c>
      <c r="M45" s="8"/>
      <c r="N45" s="8">
        <f>I45-L45</f>
        <v>58000</v>
      </c>
      <c r="O45" s="8">
        <v>0</v>
      </c>
      <c r="P45" s="8">
        <v>0</v>
      </c>
      <c r="Q45" s="8"/>
      <c r="R45" s="8">
        <v>0</v>
      </c>
      <c r="S45" s="8">
        <v>0</v>
      </c>
    </row>
    <row r="46" ht="31.5" customHeight="1" spans="1:19" x14ac:dyDescent="0.25">
      <c r="A46" s="5" t="s">
        <v>1279</v>
      </c>
      <c r="B46" s="6" t="s">
        <v>1280</v>
      </c>
      <c r="C46" s="6"/>
      <c r="D46" s="5" t="s">
        <v>29</v>
      </c>
      <c r="E46" s="5" t="s">
        <v>11</v>
      </c>
      <c r="F46" s="5" t="s">
        <v>11</v>
      </c>
      <c r="G46" s="5" t="s">
        <v>11</v>
      </c>
      <c r="H46" s="7">
        <v>1</v>
      </c>
      <c r="I46" s="8">
        <v>28000</v>
      </c>
      <c r="J46" s="8"/>
      <c r="K46" s="8">
        <v>0</v>
      </c>
      <c r="L46" s="8">
        <v>0</v>
      </c>
      <c r="M46" s="8"/>
      <c r="N46" s="8">
        <f>I46-L46</f>
        <v>28000</v>
      </c>
      <c r="O46" s="8">
        <v>0</v>
      </c>
      <c r="P46" s="8">
        <v>0</v>
      </c>
      <c r="Q46" s="8"/>
      <c r="R46" s="8">
        <v>0</v>
      </c>
      <c r="S46" s="8">
        <v>0</v>
      </c>
    </row>
    <row r="47" ht="31.5" customHeight="1" spans="1:19" x14ac:dyDescent="0.25">
      <c r="A47" s="5" t="s">
        <v>1281</v>
      </c>
      <c r="B47" s="6" t="s">
        <v>1282</v>
      </c>
      <c r="C47" s="6"/>
      <c r="D47" s="5" t="s">
        <v>29</v>
      </c>
      <c r="E47" s="5" t="s">
        <v>11</v>
      </c>
      <c r="F47" s="5" t="s">
        <v>11</v>
      </c>
      <c r="G47" s="5" t="s">
        <v>11</v>
      </c>
      <c r="H47" s="7">
        <v>1</v>
      </c>
      <c r="I47" s="8">
        <v>15000</v>
      </c>
      <c r="J47" s="8"/>
      <c r="K47" s="8">
        <v>0</v>
      </c>
      <c r="L47" s="8">
        <v>4903.46</v>
      </c>
      <c r="M47" s="8"/>
      <c r="N47" s="8">
        <f>I47-L47</f>
        <v>10096.54</v>
      </c>
      <c r="O47" s="8">
        <v>0</v>
      </c>
      <c r="P47" s="8">
        <v>0</v>
      </c>
      <c r="Q47" s="8"/>
      <c r="R47" s="8">
        <v>0</v>
      </c>
      <c r="S47" s="8">
        <v>0</v>
      </c>
    </row>
    <row r="48" ht="31.5" customHeight="1" spans="1:19" x14ac:dyDescent="0.25">
      <c r="A48" s="5" t="s">
        <v>1283</v>
      </c>
      <c r="B48" s="6" t="s">
        <v>1284</v>
      </c>
      <c r="C48" s="6"/>
      <c r="D48" s="5" t="s">
        <v>29</v>
      </c>
      <c r="E48" s="5" t="s">
        <v>11</v>
      </c>
      <c r="F48" s="5" t="s">
        <v>11</v>
      </c>
      <c r="G48" s="5" t="s">
        <v>11</v>
      </c>
      <c r="H48" s="7">
        <v>2</v>
      </c>
      <c r="I48" s="8">
        <v>60000</v>
      </c>
      <c r="J48" s="8"/>
      <c r="K48" s="8">
        <v>0</v>
      </c>
      <c r="L48" s="8">
        <v>0</v>
      </c>
      <c r="M48" s="8"/>
      <c r="N48" s="8">
        <f>I48-L48</f>
        <v>60000</v>
      </c>
      <c r="O48" s="8">
        <v>0</v>
      </c>
      <c r="P48" s="8">
        <v>0</v>
      </c>
      <c r="Q48" s="8"/>
      <c r="R48" s="8">
        <v>0</v>
      </c>
      <c r="S48" s="8">
        <v>0</v>
      </c>
    </row>
    <row r="49" ht="31.5" customHeight="1" spans="1:19" x14ac:dyDescent="0.25">
      <c r="A49" s="5" t="s">
        <v>1285</v>
      </c>
      <c r="B49" s="6" t="s">
        <v>1286</v>
      </c>
      <c r="C49" s="6"/>
      <c r="D49" s="5" t="s">
        <v>29</v>
      </c>
      <c r="E49" s="5" t="s">
        <v>11</v>
      </c>
      <c r="F49" s="5" t="s">
        <v>11</v>
      </c>
      <c r="G49" s="5" t="s">
        <v>11</v>
      </c>
      <c r="H49" s="7">
        <v>2</v>
      </c>
      <c r="I49" s="8">
        <v>70000</v>
      </c>
      <c r="J49" s="8"/>
      <c r="K49" s="8">
        <v>0</v>
      </c>
      <c r="L49" s="8">
        <v>0</v>
      </c>
      <c r="M49" s="8"/>
      <c r="N49" s="8">
        <f>I49-L49</f>
        <v>70000</v>
      </c>
      <c r="O49" s="8">
        <v>0</v>
      </c>
      <c r="P49" s="8">
        <v>0</v>
      </c>
      <c r="Q49" s="8"/>
      <c r="R49" s="8">
        <v>0</v>
      </c>
      <c r="S49" s="8">
        <v>0</v>
      </c>
    </row>
    <row r="50" ht="31.5" customHeight="1" spans="1:19" x14ac:dyDescent="0.25">
      <c r="A50" s="5" t="s">
        <v>1287</v>
      </c>
      <c r="B50" s="6" t="s">
        <v>1288</v>
      </c>
      <c r="C50" s="6"/>
      <c r="D50" s="5" t="s">
        <v>29</v>
      </c>
      <c r="E50" s="5" t="s">
        <v>11</v>
      </c>
      <c r="F50" s="5" t="s">
        <v>11</v>
      </c>
      <c r="G50" s="5" t="s">
        <v>11</v>
      </c>
      <c r="H50" s="7">
        <v>1</v>
      </c>
      <c r="I50" s="8">
        <v>35000</v>
      </c>
      <c r="J50" s="8"/>
      <c r="K50" s="8">
        <v>0</v>
      </c>
      <c r="L50" s="8">
        <v>0</v>
      </c>
      <c r="M50" s="8"/>
      <c r="N50" s="8">
        <f>I50-L50</f>
        <v>35000</v>
      </c>
      <c r="O50" s="8">
        <v>0</v>
      </c>
      <c r="P50" s="8">
        <v>0</v>
      </c>
      <c r="Q50" s="8"/>
      <c r="R50" s="8">
        <v>0</v>
      </c>
      <c r="S50" s="8">
        <v>0</v>
      </c>
    </row>
    <row r="51" ht="31.5" customHeight="1" spans="1:19" x14ac:dyDescent="0.25">
      <c r="A51" s="5" t="s">
        <v>1289</v>
      </c>
      <c r="B51" s="6" t="s">
        <v>1290</v>
      </c>
      <c r="C51" s="6"/>
      <c r="D51" s="5" t="s">
        <v>29</v>
      </c>
      <c r="E51" s="5" t="s">
        <v>11</v>
      </c>
      <c r="F51" s="5" t="s">
        <v>11</v>
      </c>
      <c r="G51" s="5" t="s">
        <v>11</v>
      </c>
      <c r="H51" s="7">
        <v>2</v>
      </c>
      <c r="I51" s="8">
        <v>68000</v>
      </c>
      <c r="J51" s="8"/>
      <c r="K51" s="8">
        <v>0</v>
      </c>
      <c r="L51" s="8">
        <v>0</v>
      </c>
      <c r="M51" s="8"/>
      <c r="N51" s="8">
        <f>I51-L51</f>
        <v>68000</v>
      </c>
      <c r="O51" s="8">
        <v>0</v>
      </c>
      <c r="P51" s="8">
        <v>0</v>
      </c>
      <c r="Q51" s="8"/>
      <c r="R51" s="8">
        <v>0</v>
      </c>
      <c r="S51" s="8">
        <v>0</v>
      </c>
    </row>
    <row r="52" ht="31.5" customHeight="1" spans="1:19" x14ac:dyDescent="0.25">
      <c r="A52" s="5" t="s">
        <v>1291</v>
      </c>
      <c r="B52" s="6" t="s">
        <v>1292</v>
      </c>
      <c r="C52" s="6"/>
      <c r="D52" s="5" t="s">
        <v>29</v>
      </c>
      <c r="E52" s="5" t="s">
        <v>11</v>
      </c>
      <c r="F52" s="5" t="s">
        <v>11</v>
      </c>
      <c r="G52" s="5" t="s">
        <v>11</v>
      </c>
      <c r="H52" s="7">
        <v>1</v>
      </c>
      <c r="I52" s="8">
        <v>10000</v>
      </c>
      <c r="J52" s="8"/>
      <c r="K52" s="8">
        <v>0</v>
      </c>
      <c r="L52" s="8">
        <v>2258.65</v>
      </c>
      <c r="M52" s="8"/>
      <c r="N52" s="8">
        <f>I52-L52</f>
        <v>7741.35</v>
      </c>
      <c r="O52" s="8">
        <v>0</v>
      </c>
      <c r="P52" s="8">
        <v>0</v>
      </c>
      <c r="Q52" s="8"/>
      <c r="R52" s="8">
        <v>0</v>
      </c>
      <c r="S52" s="8">
        <v>0</v>
      </c>
    </row>
    <row r="53" ht="31.5" customHeight="1" spans="1:19" x14ac:dyDescent="0.25">
      <c r="A53" s="5" t="s">
        <v>1293</v>
      </c>
      <c r="B53" s="6" t="s">
        <v>1294</v>
      </c>
      <c r="C53" s="6"/>
      <c r="D53" s="5" t="s">
        <v>29</v>
      </c>
      <c r="E53" s="5" t="s">
        <v>11</v>
      </c>
      <c r="F53" s="5" t="s">
        <v>11</v>
      </c>
      <c r="G53" s="5" t="s">
        <v>11</v>
      </c>
      <c r="H53" s="7">
        <v>1</v>
      </c>
      <c r="I53" s="8">
        <v>25000</v>
      </c>
      <c r="J53" s="8"/>
      <c r="K53" s="8">
        <v>0</v>
      </c>
      <c r="L53" s="8">
        <v>0</v>
      </c>
      <c r="M53" s="8"/>
      <c r="N53" s="8">
        <f>I53-L53</f>
        <v>25000</v>
      </c>
      <c r="O53" s="8">
        <v>0</v>
      </c>
      <c r="P53" s="8">
        <v>0</v>
      </c>
      <c r="Q53" s="8"/>
      <c r="R53" s="8">
        <v>0</v>
      </c>
      <c r="S53" s="8">
        <v>0</v>
      </c>
    </row>
    <row r="54" ht="31.5" customHeight="1" spans="1:19" x14ac:dyDescent="0.25">
      <c r="A54" s="5" t="s">
        <v>1295</v>
      </c>
      <c r="B54" s="6" t="s">
        <v>1296</v>
      </c>
      <c r="C54" s="6"/>
      <c r="D54" s="5" t="s">
        <v>29</v>
      </c>
      <c r="E54" s="5" t="s">
        <v>11</v>
      </c>
      <c r="F54" s="5" t="s">
        <v>11</v>
      </c>
      <c r="G54" s="5" t="s">
        <v>11</v>
      </c>
      <c r="H54" s="7">
        <v>2</v>
      </c>
      <c r="I54" s="8">
        <v>45000</v>
      </c>
      <c r="J54" s="8"/>
      <c r="K54" s="8">
        <v>0</v>
      </c>
      <c r="L54" s="8">
        <v>4903.46</v>
      </c>
      <c r="M54" s="8"/>
      <c r="N54" s="8">
        <f>I54-L54</f>
        <v>40096.54</v>
      </c>
      <c r="O54" s="8">
        <v>0</v>
      </c>
      <c r="P54" s="8">
        <v>0</v>
      </c>
      <c r="Q54" s="8"/>
      <c r="R54" s="8">
        <v>0</v>
      </c>
      <c r="S54" s="8">
        <v>0</v>
      </c>
    </row>
    <row r="55" ht="31.5" customHeight="1" spans="1:19" x14ac:dyDescent="0.25">
      <c r="A55" s="5" t="s">
        <v>1297</v>
      </c>
      <c r="B55" s="6" t="s">
        <v>1298</v>
      </c>
      <c r="C55" s="6"/>
      <c r="D55" s="5" t="s">
        <v>29</v>
      </c>
      <c r="E55" s="5" t="s">
        <v>11</v>
      </c>
      <c r="F55" s="5" t="s">
        <v>11</v>
      </c>
      <c r="G55" s="5" t="s">
        <v>11</v>
      </c>
      <c r="H55" s="7">
        <v>1</v>
      </c>
      <c r="I55" s="8">
        <v>28000</v>
      </c>
      <c r="J55" s="8"/>
      <c r="K55" s="8">
        <v>0</v>
      </c>
      <c r="L55" s="8">
        <v>0</v>
      </c>
      <c r="M55" s="8"/>
      <c r="N55" s="8">
        <f>I55-L55</f>
        <v>28000</v>
      </c>
      <c r="O55" s="8">
        <v>0</v>
      </c>
      <c r="P55" s="8">
        <v>0</v>
      </c>
      <c r="Q55" s="8"/>
      <c r="R55" s="8">
        <v>0</v>
      </c>
      <c r="S55" s="8">
        <v>0</v>
      </c>
    </row>
    <row r="56" ht="31.5" customHeight="1" spans="1:19" x14ac:dyDescent="0.25">
      <c r="A56" s="5" t="s">
        <v>1299</v>
      </c>
      <c r="B56" s="6" t="s">
        <v>1300</v>
      </c>
      <c r="C56" s="6"/>
      <c r="D56" s="5" t="s">
        <v>29</v>
      </c>
      <c r="E56" s="5" t="s">
        <v>11</v>
      </c>
      <c r="F56" s="5" t="s">
        <v>11</v>
      </c>
      <c r="G56" s="5" t="s">
        <v>11</v>
      </c>
      <c r="H56" s="7">
        <v>1</v>
      </c>
      <c r="I56" s="8">
        <v>20000</v>
      </c>
      <c r="J56" s="8"/>
      <c r="K56" s="8">
        <v>0</v>
      </c>
      <c r="L56" s="8">
        <v>10250</v>
      </c>
      <c r="M56" s="8"/>
      <c r="N56" s="8">
        <f>I56-L56</f>
        <v>9750</v>
      </c>
      <c r="O56" s="8">
        <v>0</v>
      </c>
      <c r="P56" s="8">
        <v>0</v>
      </c>
      <c r="Q56" s="8"/>
      <c r="R56" s="8">
        <v>0</v>
      </c>
      <c r="S56" s="8">
        <v>0</v>
      </c>
    </row>
    <row r="57" ht="31.5" customHeight="1" spans="1:19" x14ac:dyDescent="0.25">
      <c r="A57" s="5" t="s">
        <v>1301</v>
      </c>
      <c r="B57" s="6" t="s">
        <v>1302</v>
      </c>
      <c r="C57" s="6"/>
      <c r="D57" s="5" t="s">
        <v>29</v>
      </c>
      <c r="E57" s="5" t="s">
        <v>11</v>
      </c>
      <c r="F57" s="5" t="s">
        <v>11</v>
      </c>
      <c r="G57" s="5" t="s">
        <v>11</v>
      </c>
      <c r="H57" s="7">
        <v>1</v>
      </c>
      <c r="I57" s="8">
        <v>35000</v>
      </c>
      <c r="J57" s="8"/>
      <c r="K57" s="8">
        <v>0</v>
      </c>
      <c r="L57" s="8">
        <v>25000</v>
      </c>
      <c r="M57" s="8"/>
      <c r="N57" s="8">
        <f>I57-L57</f>
        <v>10000</v>
      </c>
      <c r="O57" s="8">
        <v>0</v>
      </c>
      <c r="P57" s="8">
        <v>0</v>
      </c>
      <c r="Q57" s="8"/>
      <c r="R57" s="8">
        <v>0</v>
      </c>
      <c r="S57" s="8">
        <v>0</v>
      </c>
    </row>
    <row r="58" ht="31.5" customHeight="1" spans="1:19" x14ac:dyDescent="0.25">
      <c r="A58" s="5" t="s">
        <v>1303</v>
      </c>
      <c r="B58" s="6" t="s">
        <v>1304</v>
      </c>
      <c r="C58" s="6"/>
      <c r="D58" s="5" t="s">
        <v>29</v>
      </c>
      <c r="E58" s="5" t="s">
        <v>11</v>
      </c>
      <c r="F58" s="5" t="s">
        <v>11</v>
      </c>
      <c r="G58" s="5" t="s">
        <v>11</v>
      </c>
      <c r="H58" s="7">
        <v>1</v>
      </c>
      <c r="I58" s="8">
        <v>50000</v>
      </c>
      <c r="J58" s="8"/>
      <c r="K58" s="8">
        <v>0</v>
      </c>
      <c r="L58" s="8">
        <v>0</v>
      </c>
      <c r="M58" s="8"/>
      <c r="N58" s="8">
        <f>I58-L58</f>
        <v>50000</v>
      </c>
      <c r="O58" s="8">
        <v>0</v>
      </c>
      <c r="P58" s="8">
        <v>0</v>
      </c>
      <c r="Q58" s="8"/>
      <c r="R58" s="8">
        <v>0</v>
      </c>
      <c r="S58" s="8">
        <v>0</v>
      </c>
    </row>
    <row r="59" ht="31.5" customHeight="1" spans="1:19" x14ac:dyDescent="0.25">
      <c r="A59" s="5" t="s">
        <v>1305</v>
      </c>
      <c r="B59" s="6" t="s">
        <v>1306</v>
      </c>
      <c r="C59" s="6"/>
      <c r="D59" s="5" t="s">
        <v>29</v>
      </c>
      <c r="E59" s="5" t="s">
        <v>11</v>
      </c>
      <c r="F59" s="5" t="s">
        <v>11</v>
      </c>
      <c r="G59" s="5" t="s">
        <v>11</v>
      </c>
      <c r="H59" s="7">
        <v>1</v>
      </c>
      <c r="I59" s="8">
        <v>50000</v>
      </c>
      <c r="J59" s="8"/>
      <c r="K59" s="8">
        <v>0</v>
      </c>
      <c r="L59" s="8">
        <v>0</v>
      </c>
      <c r="M59" s="8"/>
      <c r="N59" s="8">
        <f>I59-L59</f>
        <v>50000</v>
      </c>
      <c r="O59" s="8">
        <v>0</v>
      </c>
      <c r="P59" s="8">
        <v>0</v>
      </c>
      <c r="Q59" s="8"/>
      <c r="R59" s="8">
        <v>0</v>
      </c>
      <c r="S59" s="8">
        <v>0</v>
      </c>
    </row>
    <row r="60" ht="31.5" customHeight="1" spans="1:19" x14ac:dyDescent="0.25">
      <c r="A60" s="5" t="s">
        <v>1307</v>
      </c>
      <c r="B60" s="6" t="s">
        <v>1308</v>
      </c>
      <c r="C60" s="6"/>
      <c r="D60" s="5" t="s">
        <v>29</v>
      </c>
      <c r="E60" s="5" t="s">
        <v>11</v>
      </c>
      <c r="F60" s="5" t="s">
        <v>11</v>
      </c>
      <c r="G60" s="5" t="s">
        <v>11</v>
      </c>
      <c r="H60" s="7">
        <v>2</v>
      </c>
      <c r="I60" s="8">
        <v>56000</v>
      </c>
      <c r="J60" s="8"/>
      <c r="K60" s="8">
        <v>0</v>
      </c>
      <c r="L60" s="8">
        <v>0</v>
      </c>
      <c r="M60" s="8"/>
      <c r="N60" s="8">
        <f>I60-L60</f>
        <v>56000</v>
      </c>
      <c r="O60" s="8">
        <v>0</v>
      </c>
      <c r="P60" s="8">
        <v>0</v>
      </c>
      <c r="Q60" s="8"/>
      <c r="R60" s="8">
        <v>0</v>
      </c>
      <c r="S60" s="8">
        <v>0</v>
      </c>
    </row>
    <row r="61" ht="31.5" customHeight="1" spans="1:19" x14ac:dyDescent="0.25">
      <c r="A61" s="5" t="s">
        <v>1309</v>
      </c>
      <c r="B61" s="6" t="s">
        <v>1310</v>
      </c>
      <c r="C61" s="6"/>
      <c r="D61" s="5" t="s">
        <v>29</v>
      </c>
      <c r="E61" s="5" t="s">
        <v>11</v>
      </c>
      <c r="F61" s="5" t="s">
        <v>11</v>
      </c>
      <c r="G61" s="5" t="s">
        <v>11</v>
      </c>
      <c r="H61" s="7">
        <v>1</v>
      </c>
      <c r="I61" s="8">
        <v>35000</v>
      </c>
      <c r="J61" s="8"/>
      <c r="K61" s="8">
        <v>0</v>
      </c>
      <c r="L61" s="8">
        <v>0</v>
      </c>
      <c r="M61" s="8"/>
      <c r="N61" s="8">
        <f>I61-L61</f>
        <v>35000</v>
      </c>
      <c r="O61" s="8">
        <v>0</v>
      </c>
      <c r="P61" s="8">
        <v>0</v>
      </c>
      <c r="Q61" s="8"/>
      <c r="R61" s="8">
        <v>0</v>
      </c>
      <c r="S61" s="8">
        <v>0</v>
      </c>
    </row>
    <row r="62" ht="31.5" customHeight="1" spans="1:19" x14ac:dyDescent="0.25">
      <c r="A62" s="5" t="s">
        <v>1311</v>
      </c>
      <c r="B62" s="6" t="s">
        <v>1312</v>
      </c>
      <c r="C62" s="6"/>
      <c r="D62" s="5" t="s">
        <v>29</v>
      </c>
      <c r="E62" s="5" t="s">
        <v>11</v>
      </c>
      <c r="F62" s="5" t="s">
        <v>11</v>
      </c>
      <c r="G62" s="5" t="s">
        <v>11</v>
      </c>
      <c r="H62" s="7">
        <v>1</v>
      </c>
      <c r="I62" s="8">
        <v>40000</v>
      </c>
      <c r="J62" s="8"/>
      <c r="K62" s="8">
        <v>0</v>
      </c>
      <c r="L62" s="8">
        <v>30000</v>
      </c>
      <c r="M62" s="8"/>
      <c r="N62" s="8">
        <f>I62-L62</f>
        <v>10000</v>
      </c>
      <c r="O62" s="8">
        <v>0</v>
      </c>
      <c r="P62" s="8">
        <v>0</v>
      </c>
      <c r="Q62" s="8"/>
      <c r="R62" s="8">
        <v>0</v>
      </c>
      <c r="S62" s="8">
        <v>0</v>
      </c>
    </row>
    <row r="63" ht="31.5" customHeight="1" spans="1:19" x14ac:dyDescent="0.25">
      <c r="A63" s="5" t="s">
        <v>1313</v>
      </c>
      <c r="B63" s="6" t="s">
        <v>1314</v>
      </c>
      <c r="C63" s="6"/>
      <c r="D63" s="5" t="s">
        <v>29</v>
      </c>
      <c r="E63" s="5" t="s">
        <v>11</v>
      </c>
      <c r="F63" s="5" t="s">
        <v>11</v>
      </c>
      <c r="G63" s="5" t="s">
        <v>11</v>
      </c>
      <c r="H63" s="7">
        <v>1</v>
      </c>
      <c r="I63" s="8">
        <v>15000</v>
      </c>
      <c r="J63" s="8"/>
      <c r="K63" s="8">
        <v>0</v>
      </c>
      <c r="L63" s="8">
        <v>4903.46</v>
      </c>
      <c r="M63" s="8"/>
      <c r="N63" s="8">
        <f>I63-L63</f>
        <v>10096.54</v>
      </c>
      <c r="O63" s="8">
        <v>0</v>
      </c>
      <c r="P63" s="8">
        <v>0</v>
      </c>
      <c r="Q63" s="8"/>
      <c r="R63" s="8">
        <v>0</v>
      </c>
      <c r="S63" s="8">
        <v>0</v>
      </c>
    </row>
    <row r="64" ht="31.5" customHeight="1" spans="1:19" x14ac:dyDescent="0.25">
      <c r="A64" s="5" t="s">
        <v>1315</v>
      </c>
      <c r="B64" s="6" t="s">
        <v>1316</v>
      </c>
      <c r="C64" s="6"/>
      <c r="D64" s="5" t="s">
        <v>29</v>
      </c>
      <c r="E64" s="5" t="s">
        <v>11</v>
      </c>
      <c r="F64" s="5" t="s">
        <v>11</v>
      </c>
      <c r="G64" s="5" t="s">
        <v>11</v>
      </c>
      <c r="H64" s="7">
        <v>1</v>
      </c>
      <c r="I64" s="8">
        <v>25000</v>
      </c>
      <c r="J64" s="8"/>
      <c r="K64" s="8">
        <v>0</v>
      </c>
      <c r="L64" s="8">
        <v>0</v>
      </c>
      <c r="M64" s="8"/>
      <c r="N64" s="8">
        <f>I64-L64</f>
        <v>25000</v>
      </c>
      <c r="O64" s="8">
        <v>0</v>
      </c>
      <c r="P64" s="8">
        <v>0</v>
      </c>
      <c r="Q64" s="8"/>
      <c r="R64" s="8">
        <v>0</v>
      </c>
      <c r="S64" s="8">
        <v>0</v>
      </c>
    </row>
    <row r="65" ht="31.5" customHeight="1" spans="1:19" x14ac:dyDescent="0.25">
      <c r="A65" s="5" t="s">
        <v>1317</v>
      </c>
      <c r="B65" s="6" t="s">
        <v>1318</v>
      </c>
      <c r="C65" s="6"/>
      <c r="D65" s="5" t="s">
        <v>29</v>
      </c>
      <c r="E65" s="5" t="s">
        <v>11</v>
      </c>
      <c r="F65" s="5" t="s">
        <v>11</v>
      </c>
      <c r="G65" s="5" t="s">
        <v>11</v>
      </c>
      <c r="H65" s="7">
        <v>1</v>
      </c>
      <c r="I65" s="8">
        <v>10000</v>
      </c>
      <c r="J65" s="8"/>
      <c r="K65" s="8">
        <v>0</v>
      </c>
      <c r="L65" s="8">
        <v>2258.65</v>
      </c>
      <c r="M65" s="8"/>
      <c r="N65" s="8">
        <f>I65-L65</f>
        <v>7741.35</v>
      </c>
      <c r="O65" s="8">
        <v>0</v>
      </c>
      <c r="P65" s="8">
        <v>0</v>
      </c>
      <c r="Q65" s="8"/>
      <c r="R65" s="8">
        <v>0</v>
      </c>
      <c r="S65" s="8">
        <v>0</v>
      </c>
    </row>
    <row r="66" ht="31.5" customHeight="1" spans="1:19" x14ac:dyDescent="0.25">
      <c r="A66" s="5" t="s">
        <v>1319</v>
      </c>
      <c r="B66" s="6" t="s">
        <v>1320</v>
      </c>
      <c r="C66" s="6"/>
      <c r="D66" s="5" t="s">
        <v>29</v>
      </c>
      <c r="E66" s="5" t="s">
        <v>11</v>
      </c>
      <c r="F66" s="5" t="s">
        <v>11</v>
      </c>
      <c r="G66" s="5" t="s">
        <v>11</v>
      </c>
      <c r="H66" s="7">
        <v>1</v>
      </c>
      <c r="I66" s="8">
        <v>20000</v>
      </c>
      <c r="J66" s="8"/>
      <c r="K66" s="8">
        <v>0</v>
      </c>
      <c r="L66" s="8">
        <v>10250</v>
      </c>
      <c r="M66" s="8"/>
      <c r="N66" s="8">
        <f>I66-L66</f>
        <v>9750</v>
      </c>
      <c r="O66" s="8">
        <v>0</v>
      </c>
      <c r="P66" s="8">
        <v>0</v>
      </c>
      <c r="Q66" s="8"/>
      <c r="R66" s="8">
        <v>0</v>
      </c>
      <c r="S66" s="8">
        <v>0</v>
      </c>
    </row>
    <row r="67" ht="31.5" customHeight="1" spans="1:19" x14ac:dyDescent="0.25">
      <c r="A67" s="5" t="s">
        <v>1321</v>
      </c>
      <c r="B67" s="6" t="s">
        <v>1322</v>
      </c>
      <c r="C67" s="6"/>
      <c r="D67" s="5" t="s">
        <v>29</v>
      </c>
      <c r="E67" s="5" t="s">
        <v>11</v>
      </c>
      <c r="F67" s="5" t="s">
        <v>11</v>
      </c>
      <c r="G67" s="5" t="s">
        <v>11</v>
      </c>
      <c r="H67" s="7">
        <v>1</v>
      </c>
      <c r="I67" s="8">
        <v>15000</v>
      </c>
      <c r="J67" s="8"/>
      <c r="K67" s="8">
        <v>0</v>
      </c>
      <c r="L67" s="8">
        <v>4903.46</v>
      </c>
      <c r="M67" s="8"/>
      <c r="N67" s="8">
        <f>I67-L67</f>
        <v>10096.54</v>
      </c>
      <c r="O67" s="8">
        <v>0</v>
      </c>
      <c r="P67" s="8">
        <v>0</v>
      </c>
      <c r="Q67" s="8"/>
      <c r="R67" s="8">
        <v>0</v>
      </c>
      <c r="S67" s="8">
        <v>0</v>
      </c>
    </row>
    <row r="68" ht="31.5" customHeight="1" spans="1:19" x14ac:dyDescent="0.25">
      <c r="A68" s="5" t="s">
        <v>1323</v>
      </c>
      <c r="B68" s="6" t="s">
        <v>1324</v>
      </c>
      <c r="C68" s="6"/>
      <c r="D68" s="5" t="s">
        <v>29</v>
      </c>
      <c r="E68" s="5" t="s">
        <v>11</v>
      </c>
      <c r="F68" s="5" t="s">
        <v>11</v>
      </c>
      <c r="G68" s="5" t="s">
        <v>11</v>
      </c>
      <c r="H68" s="7">
        <v>1</v>
      </c>
      <c r="I68" s="8">
        <v>20000</v>
      </c>
      <c r="J68" s="8"/>
      <c r="K68" s="8">
        <v>0</v>
      </c>
      <c r="L68" s="8">
        <v>10250</v>
      </c>
      <c r="M68" s="8"/>
      <c r="N68" s="8">
        <f>I68-L68</f>
        <v>9750</v>
      </c>
      <c r="O68" s="8">
        <v>0</v>
      </c>
      <c r="P68" s="8">
        <v>0</v>
      </c>
      <c r="Q68" s="8"/>
      <c r="R68" s="8">
        <v>0</v>
      </c>
      <c r="S68" s="8">
        <v>0</v>
      </c>
    </row>
    <row r="69" ht="31.5" customHeight="1" spans="1:19" x14ac:dyDescent="0.25">
      <c r="A69" s="5" t="s">
        <v>1325</v>
      </c>
      <c r="B69" s="6" t="s">
        <v>1326</v>
      </c>
      <c r="C69" s="6"/>
      <c r="D69" s="5" t="s">
        <v>29</v>
      </c>
      <c r="E69" s="5" t="s">
        <v>11</v>
      </c>
      <c r="F69" s="5" t="s">
        <v>11</v>
      </c>
      <c r="G69" s="5" t="s">
        <v>11</v>
      </c>
      <c r="H69" s="7">
        <v>1</v>
      </c>
      <c r="I69" s="8">
        <v>10000</v>
      </c>
      <c r="J69" s="8"/>
      <c r="K69" s="8">
        <v>0</v>
      </c>
      <c r="L69" s="8">
        <v>2258.65</v>
      </c>
      <c r="M69" s="8"/>
      <c r="N69" s="8">
        <f>I69-L69</f>
        <v>7741.35</v>
      </c>
      <c r="O69" s="8">
        <v>0</v>
      </c>
      <c r="P69" s="8">
        <v>0</v>
      </c>
      <c r="Q69" s="8"/>
      <c r="R69" s="8">
        <v>0</v>
      </c>
      <c r="S69" s="8">
        <v>0</v>
      </c>
    </row>
    <row r="70" ht="31.5" customHeight="1" spans="1:19" x14ac:dyDescent="0.25">
      <c r="A70" s="5" t="s">
        <v>1327</v>
      </c>
      <c r="B70" s="6" t="s">
        <v>1328</v>
      </c>
      <c r="C70" s="6"/>
      <c r="D70" s="5" t="s">
        <v>29</v>
      </c>
      <c r="E70" s="5" t="s">
        <v>11</v>
      </c>
      <c r="F70" s="5" t="s">
        <v>11</v>
      </c>
      <c r="G70" s="5" t="s">
        <v>11</v>
      </c>
      <c r="H70" s="7">
        <v>2</v>
      </c>
      <c r="I70" s="8">
        <v>47000</v>
      </c>
      <c r="J70" s="8"/>
      <c r="K70" s="8">
        <v>0</v>
      </c>
      <c r="L70" s="8">
        <v>0</v>
      </c>
      <c r="M70" s="8"/>
      <c r="N70" s="8">
        <f>I70-L70</f>
        <v>47000</v>
      </c>
      <c r="O70" s="8">
        <v>0</v>
      </c>
      <c r="P70" s="8">
        <v>0</v>
      </c>
      <c r="Q70" s="8"/>
      <c r="R70" s="8">
        <v>0</v>
      </c>
      <c r="S70" s="8">
        <v>0</v>
      </c>
    </row>
    <row r="71" ht="31.5" customHeight="1" spans="1:19" x14ac:dyDescent="0.25">
      <c r="A71" s="5" t="s">
        <v>1329</v>
      </c>
      <c r="B71" s="6" t="s">
        <v>1330</v>
      </c>
      <c r="C71" s="6"/>
      <c r="D71" s="5" t="s">
        <v>29</v>
      </c>
      <c r="E71" s="5" t="s">
        <v>11</v>
      </c>
      <c r="F71" s="5" t="s">
        <v>11</v>
      </c>
      <c r="G71" s="5" t="s">
        <v>11</v>
      </c>
      <c r="H71" s="7">
        <v>1</v>
      </c>
      <c r="I71" s="8">
        <v>28000</v>
      </c>
      <c r="J71" s="8"/>
      <c r="K71" s="8">
        <v>0</v>
      </c>
      <c r="L71" s="8">
        <v>0</v>
      </c>
      <c r="M71" s="8"/>
      <c r="N71" s="8">
        <f>I71-L71</f>
        <v>28000</v>
      </c>
      <c r="O71" s="8">
        <v>0</v>
      </c>
      <c r="P71" s="8">
        <v>0</v>
      </c>
      <c r="Q71" s="8"/>
      <c r="R71" s="8">
        <v>0</v>
      </c>
      <c r="S71" s="8">
        <v>0</v>
      </c>
    </row>
    <row r="72" ht="31.5" customHeight="1" spans="1:19" x14ac:dyDescent="0.25">
      <c r="A72" s="5" t="s">
        <v>1331</v>
      </c>
      <c r="B72" s="6" t="s">
        <v>1332</v>
      </c>
      <c r="C72" s="6"/>
      <c r="D72" s="5" t="s">
        <v>29</v>
      </c>
      <c r="E72" s="5" t="s">
        <v>11</v>
      </c>
      <c r="F72" s="5" t="s">
        <v>11</v>
      </c>
      <c r="G72" s="5" t="s">
        <v>11</v>
      </c>
      <c r="H72" s="7">
        <v>1</v>
      </c>
      <c r="I72" s="8">
        <v>10000</v>
      </c>
      <c r="J72" s="8"/>
      <c r="K72" s="8">
        <v>0</v>
      </c>
      <c r="L72" s="8">
        <v>2258.65</v>
      </c>
      <c r="M72" s="8"/>
      <c r="N72" s="8">
        <f>I72-L72</f>
        <v>7741.35</v>
      </c>
      <c r="O72" s="8">
        <v>0</v>
      </c>
      <c r="P72" s="8">
        <v>0</v>
      </c>
      <c r="Q72" s="8"/>
      <c r="R72" s="8">
        <v>0</v>
      </c>
      <c r="S72" s="8">
        <v>0</v>
      </c>
    </row>
    <row r="73" ht="31.5" customHeight="1" spans="1:19" x14ac:dyDescent="0.25">
      <c r="A73" s="5" t="s">
        <v>1333</v>
      </c>
      <c r="B73" s="6" t="s">
        <v>1334</v>
      </c>
      <c r="C73" s="6"/>
      <c r="D73" s="5" t="s">
        <v>29</v>
      </c>
      <c r="E73" s="5" t="s">
        <v>11</v>
      </c>
      <c r="F73" s="5" t="s">
        <v>11</v>
      </c>
      <c r="G73" s="5" t="s">
        <v>11</v>
      </c>
      <c r="H73" s="7">
        <v>5</v>
      </c>
      <c r="I73" s="8">
        <v>63000</v>
      </c>
      <c r="J73" s="8"/>
      <c r="K73" s="8">
        <v>0</v>
      </c>
      <c r="L73" s="8">
        <v>29903.46</v>
      </c>
      <c r="M73" s="8"/>
      <c r="N73" s="8">
        <f>I73-L73</f>
        <v>33096.54</v>
      </c>
      <c r="O73" s="8">
        <v>0</v>
      </c>
      <c r="P73" s="8">
        <v>0</v>
      </c>
      <c r="Q73" s="8"/>
      <c r="R73" s="8">
        <v>0</v>
      </c>
      <c r="S73" s="8">
        <v>0</v>
      </c>
    </row>
    <row r="74" ht="31.5" customHeight="1" spans="1:19" x14ac:dyDescent="0.25">
      <c r="A74" s="5" t="s">
        <v>1335</v>
      </c>
      <c r="B74" s="6" t="s">
        <v>1336</v>
      </c>
      <c r="C74" s="6"/>
      <c r="D74" s="5" t="s">
        <v>29</v>
      </c>
      <c r="E74" s="5" t="s">
        <v>11</v>
      </c>
      <c r="F74" s="5" t="s">
        <v>11</v>
      </c>
      <c r="G74" s="5" t="s">
        <v>11</v>
      </c>
      <c r="H74" s="7">
        <v>1</v>
      </c>
      <c r="I74" s="8">
        <v>30000</v>
      </c>
      <c r="J74" s="8"/>
      <c r="K74" s="8">
        <v>0</v>
      </c>
      <c r="L74" s="8">
        <v>0</v>
      </c>
      <c r="M74" s="8"/>
      <c r="N74" s="8">
        <f>I74-L74</f>
        <v>30000</v>
      </c>
      <c r="O74" s="8">
        <v>0</v>
      </c>
      <c r="P74" s="8">
        <v>0</v>
      </c>
      <c r="Q74" s="8"/>
      <c r="R74" s="8">
        <v>0</v>
      </c>
      <c r="S74" s="8">
        <v>0</v>
      </c>
    </row>
    <row r="75" ht="31.5" customHeight="1" spans="1:19" x14ac:dyDescent="0.25">
      <c r="A75" s="5" t="s">
        <v>1337</v>
      </c>
      <c r="B75" s="6" t="s">
        <v>1338</v>
      </c>
      <c r="C75" s="6"/>
      <c r="D75" s="5" t="s">
        <v>29</v>
      </c>
      <c r="E75" s="5" t="s">
        <v>11</v>
      </c>
      <c r="F75" s="5" t="s">
        <v>11</v>
      </c>
      <c r="G75" s="5" t="s">
        <v>11</v>
      </c>
      <c r="H75" s="7">
        <v>1</v>
      </c>
      <c r="I75" s="8">
        <v>150000</v>
      </c>
      <c r="J75" s="8"/>
      <c r="K75" s="8">
        <v>0</v>
      </c>
      <c r="L75" s="8">
        <v>0</v>
      </c>
      <c r="M75" s="8"/>
      <c r="N75" s="8">
        <f>I75-L75</f>
        <v>150000</v>
      </c>
      <c r="O75" s="8">
        <v>0</v>
      </c>
      <c r="P75" s="8">
        <v>0</v>
      </c>
      <c r="Q75" s="8"/>
      <c r="R75" s="8">
        <v>0</v>
      </c>
      <c r="S75" s="8">
        <v>0</v>
      </c>
    </row>
    <row r="76" ht="31.5" customHeight="1" spans="1:19" x14ac:dyDescent="0.25">
      <c r="A76" s="5" t="s">
        <v>1339</v>
      </c>
      <c r="B76" s="6" t="s">
        <v>1340</v>
      </c>
      <c r="C76" s="6"/>
      <c r="D76" s="5" t="s">
        <v>29</v>
      </c>
      <c r="E76" s="5" t="s">
        <v>11</v>
      </c>
      <c r="F76" s="5" t="s">
        <v>11</v>
      </c>
      <c r="G76" s="5" t="s">
        <v>11</v>
      </c>
      <c r="H76" s="7">
        <v>1</v>
      </c>
      <c r="I76" s="8">
        <v>25000</v>
      </c>
      <c r="J76" s="8"/>
      <c r="K76" s="8">
        <v>0</v>
      </c>
      <c r="L76" s="8">
        <v>0</v>
      </c>
      <c r="M76" s="8"/>
      <c r="N76" s="8">
        <f>I76-L76</f>
        <v>25000</v>
      </c>
      <c r="O76" s="8">
        <v>0</v>
      </c>
      <c r="P76" s="8">
        <v>0</v>
      </c>
      <c r="Q76" s="8"/>
      <c r="R76" s="8">
        <v>0</v>
      </c>
      <c r="S76" s="8">
        <v>0</v>
      </c>
    </row>
    <row r="77" ht="31.5" customHeight="1" spans="1:19" x14ac:dyDescent="0.25">
      <c r="A77" s="5" t="s">
        <v>1341</v>
      </c>
      <c r="B77" s="6" t="s">
        <v>1342</v>
      </c>
      <c r="C77" s="6"/>
      <c r="D77" s="5" t="s">
        <v>29</v>
      </c>
      <c r="E77" s="5" t="s">
        <v>11</v>
      </c>
      <c r="F77" s="5" t="s">
        <v>11</v>
      </c>
      <c r="G77" s="5" t="s">
        <v>11</v>
      </c>
      <c r="H77" s="7">
        <v>1</v>
      </c>
      <c r="I77" s="8">
        <v>25000</v>
      </c>
      <c r="J77" s="8"/>
      <c r="K77" s="8">
        <v>0</v>
      </c>
      <c r="L77" s="8">
        <v>0</v>
      </c>
      <c r="M77" s="8"/>
      <c r="N77" s="8">
        <f>I77-L77</f>
        <v>25000</v>
      </c>
      <c r="O77" s="8">
        <v>0</v>
      </c>
      <c r="P77" s="8">
        <v>0</v>
      </c>
      <c r="Q77" s="8"/>
      <c r="R77" s="8">
        <v>0</v>
      </c>
      <c r="S77" s="8">
        <v>0</v>
      </c>
    </row>
    <row r="78" ht="31.5" customHeight="1" spans="1:19" x14ac:dyDescent="0.25">
      <c r="A78" s="5" t="s">
        <v>1343</v>
      </c>
      <c r="B78" s="6" t="s">
        <v>1344</v>
      </c>
      <c r="C78" s="6"/>
      <c r="D78" s="5" t="s">
        <v>29</v>
      </c>
      <c r="E78" s="5" t="s">
        <v>11</v>
      </c>
      <c r="F78" s="5" t="s">
        <v>11</v>
      </c>
      <c r="G78" s="5" t="s">
        <v>11</v>
      </c>
      <c r="H78" s="7">
        <v>1</v>
      </c>
      <c r="I78" s="8">
        <v>15000</v>
      </c>
      <c r="J78" s="8"/>
      <c r="K78" s="8">
        <v>0</v>
      </c>
      <c r="L78" s="8">
        <v>4903.46</v>
      </c>
      <c r="M78" s="8"/>
      <c r="N78" s="8">
        <f>I78-L78</f>
        <v>10096.54</v>
      </c>
      <c r="O78" s="8">
        <v>0</v>
      </c>
      <c r="P78" s="8">
        <v>0</v>
      </c>
      <c r="Q78" s="8"/>
      <c r="R78" s="8">
        <v>0</v>
      </c>
      <c r="S78" s="8">
        <v>0</v>
      </c>
    </row>
    <row r="79" ht="31.5" customHeight="1" spans="1:19" x14ac:dyDescent="0.25">
      <c r="A79" s="5" t="s">
        <v>1345</v>
      </c>
      <c r="B79" s="6" t="s">
        <v>1346</v>
      </c>
      <c r="C79" s="6"/>
      <c r="D79" s="5" t="s">
        <v>138</v>
      </c>
      <c r="E79" s="5" t="s">
        <v>11</v>
      </c>
      <c r="F79" s="5" t="s">
        <v>11</v>
      </c>
      <c r="G79" s="5" t="s">
        <v>11</v>
      </c>
      <c r="H79" s="7">
        <v>1</v>
      </c>
      <c r="I79" s="8">
        <v>25000</v>
      </c>
      <c r="J79" s="8"/>
      <c r="K79" s="8">
        <v>0</v>
      </c>
      <c r="L79" s="8">
        <v>0</v>
      </c>
      <c r="M79" s="8"/>
      <c r="N79" s="8">
        <f>I79-L79</f>
        <v>25000</v>
      </c>
      <c r="O79" s="8">
        <v>0</v>
      </c>
      <c r="P79" s="8">
        <v>0</v>
      </c>
      <c r="Q79" s="8"/>
      <c r="R79" s="8">
        <v>0</v>
      </c>
      <c r="S79" s="8">
        <v>0</v>
      </c>
    </row>
    <row r="80" ht="31.5" customHeight="1" spans="1:19" x14ac:dyDescent="0.25">
      <c r="A80" s="5" t="s">
        <v>1347</v>
      </c>
      <c r="B80" s="6" t="s">
        <v>1348</v>
      </c>
      <c r="C80" s="6"/>
      <c r="D80" s="5" t="s">
        <v>138</v>
      </c>
      <c r="E80" s="5" t="s">
        <v>11</v>
      </c>
      <c r="F80" s="5" t="s">
        <v>11</v>
      </c>
      <c r="G80" s="5" t="s">
        <v>11</v>
      </c>
      <c r="H80" s="7">
        <v>2</v>
      </c>
      <c r="I80" s="8">
        <v>35000</v>
      </c>
      <c r="J80" s="8"/>
      <c r="K80" s="8">
        <v>0</v>
      </c>
      <c r="L80" s="8">
        <v>2258.65</v>
      </c>
      <c r="M80" s="8"/>
      <c r="N80" s="8">
        <f>I80-L80</f>
        <v>32741.35</v>
      </c>
      <c r="O80" s="8">
        <v>0</v>
      </c>
      <c r="P80" s="8">
        <v>0</v>
      </c>
      <c r="Q80" s="8"/>
      <c r="R80" s="8">
        <v>0</v>
      </c>
      <c r="S80" s="8">
        <v>0</v>
      </c>
    </row>
    <row r="81" ht="31.5" customHeight="1" spans="1:19" x14ac:dyDescent="0.25">
      <c r="A81" s="5" t="s">
        <v>1349</v>
      </c>
      <c r="B81" s="6" t="s">
        <v>1350</v>
      </c>
      <c r="C81" s="6"/>
      <c r="D81" s="5" t="s">
        <v>138</v>
      </c>
      <c r="E81" s="5" t="s">
        <v>11</v>
      </c>
      <c r="F81" s="5" t="s">
        <v>11</v>
      </c>
      <c r="G81" s="5" t="s">
        <v>11</v>
      </c>
      <c r="H81" s="7">
        <v>2</v>
      </c>
      <c r="I81" s="8">
        <v>50000</v>
      </c>
      <c r="J81" s="8"/>
      <c r="K81" s="8">
        <v>0</v>
      </c>
      <c r="L81" s="8">
        <v>0</v>
      </c>
      <c r="M81" s="8"/>
      <c r="N81" s="8">
        <f>I81-L81</f>
        <v>50000</v>
      </c>
      <c r="O81" s="8">
        <v>0</v>
      </c>
      <c r="P81" s="8">
        <v>0</v>
      </c>
      <c r="Q81" s="8"/>
      <c r="R81" s="8">
        <v>0</v>
      </c>
      <c r="S81" s="8">
        <v>0</v>
      </c>
    </row>
    <row r="82" ht="31.5" customHeight="1" spans="1:19" x14ac:dyDescent="0.25">
      <c r="A82" s="5" t="s">
        <v>1351</v>
      </c>
      <c r="B82" s="6" t="s">
        <v>1352</v>
      </c>
      <c r="C82" s="6"/>
      <c r="D82" s="5" t="s">
        <v>138</v>
      </c>
      <c r="E82" s="5" t="s">
        <v>11</v>
      </c>
      <c r="F82" s="5" t="s">
        <v>11</v>
      </c>
      <c r="G82" s="5" t="s">
        <v>11</v>
      </c>
      <c r="H82" s="7">
        <v>5</v>
      </c>
      <c r="I82" s="8">
        <v>125000</v>
      </c>
      <c r="J82" s="8"/>
      <c r="K82" s="8">
        <v>0</v>
      </c>
      <c r="L82" s="8">
        <v>2258.65</v>
      </c>
      <c r="M82" s="8"/>
      <c r="N82" s="8">
        <f>I82-L82</f>
        <v>122741.35</v>
      </c>
      <c r="O82" s="8">
        <v>0</v>
      </c>
      <c r="P82" s="8">
        <v>0</v>
      </c>
      <c r="Q82" s="8"/>
      <c r="R82" s="8">
        <v>0</v>
      </c>
      <c r="S82" s="8">
        <v>0</v>
      </c>
    </row>
    <row r="83" ht="31.5" customHeight="1" spans="1:19" x14ac:dyDescent="0.25">
      <c r="A83" s="5" t="s">
        <v>1353</v>
      </c>
      <c r="B83" s="6" t="s">
        <v>1354</v>
      </c>
      <c r="C83" s="6"/>
      <c r="D83" s="5" t="s">
        <v>138</v>
      </c>
      <c r="E83" s="5" t="s">
        <v>11</v>
      </c>
      <c r="F83" s="5" t="s">
        <v>11</v>
      </c>
      <c r="G83" s="5" t="s">
        <v>11</v>
      </c>
      <c r="H83" s="7">
        <v>1</v>
      </c>
      <c r="I83" s="8">
        <v>10000</v>
      </c>
      <c r="J83" s="8"/>
      <c r="K83" s="8">
        <v>0</v>
      </c>
      <c r="L83" s="8">
        <v>2258.65</v>
      </c>
      <c r="M83" s="8"/>
      <c r="N83" s="8">
        <f>I83-L83</f>
        <v>7741.35</v>
      </c>
      <c r="O83" s="8">
        <v>0</v>
      </c>
      <c r="P83" s="8">
        <v>0</v>
      </c>
      <c r="Q83" s="8"/>
      <c r="R83" s="8">
        <v>0</v>
      </c>
      <c r="S83" s="8">
        <v>0</v>
      </c>
    </row>
    <row r="84" ht="31.5" customHeight="1" spans="1:19" x14ac:dyDescent="0.25">
      <c r="A84" s="5" t="s">
        <v>1355</v>
      </c>
      <c r="B84" s="6" t="s">
        <v>1356</v>
      </c>
      <c r="C84" s="6"/>
      <c r="D84" s="5" t="s">
        <v>138</v>
      </c>
      <c r="E84" s="5" t="s">
        <v>11</v>
      </c>
      <c r="F84" s="5" t="s">
        <v>11</v>
      </c>
      <c r="G84" s="5" t="s">
        <v>11</v>
      </c>
      <c r="H84" s="7">
        <v>1</v>
      </c>
      <c r="I84" s="8">
        <v>10000</v>
      </c>
      <c r="J84" s="8"/>
      <c r="K84" s="8">
        <v>0</v>
      </c>
      <c r="L84" s="8">
        <v>2258.65</v>
      </c>
      <c r="M84" s="8"/>
      <c r="N84" s="8">
        <f>I84-L84</f>
        <v>7741.35</v>
      </c>
      <c r="O84" s="8">
        <v>0</v>
      </c>
      <c r="P84" s="8">
        <v>0</v>
      </c>
      <c r="Q84" s="8"/>
      <c r="R84" s="8">
        <v>0</v>
      </c>
      <c r="S84" s="8">
        <v>0</v>
      </c>
    </row>
    <row r="85" ht="31.5" customHeight="1" spans="1:19" x14ac:dyDescent="0.25">
      <c r="A85" s="5" t="s">
        <v>1357</v>
      </c>
      <c r="B85" s="6" t="s">
        <v>1358</v>
      </c>
      <c r="C85" s="6"/>
      <c r="D85" s="5" t="s">
        <v>138</v>
      </c>
      <c r="E85" s="5" t="s">
        <v>11</v>
      </c>
      <c r="F85" s="5" t="s">
        <v>11</v>
      </c>
      <c r="G85" s="5" t="s">
        <v>11</v>
      </c>
      <c r="H85" s="7">
        <v>4</v>
      </c>
      <c r="I85" s="8">
        <v>70000</v>
      </c>
      <c r="J85" s="8"/>
      <c r="K85" s="8">
        <v>0</v>
      </c>
      <c r="L85" s="8">
        <v>30306.92</v>
      </c>
      <c r="M85" s="8"/>
      <c r="N85" s="8">
        <f>I85-L85</f>
        <v>39693.08</v>
      </c>
      <c r="O85" s="8">
        <v>0</v>
      </c>
      <c r="P85" s="8">
        <v>0</v>
      </c>
      <c r="Q85" s="8"/>
      <c r="R85" s="8">
        <v>0</v>
      </c>
      <c r="S85" s="8">
        <v>0</v>
      </c>
    </row>
    <row r="86" ht="31.5" customHeight="1" spans="1:19" x14ac:dyDescent="0.25">
      <c r="A86" s="5" t="s">
        <v>1359</v>
      </c>
      <c r="B86" s="6" t="s">
        <v>1360</v>
      </c>
      <c r="C86" s="6"/>
      <c r="D86" s="5" t="s">
        <v>138</v>
      </c>
      <c r="E86" s="5" t="s">
        <v>11</v>
      </c>
      <c r="F86" s="5" t="s">
        <v>11</v>
      </c>
      <c r="G86" s="5" t="s">
        <v>11</v>
      </c>
      <c r="H86" s="7">
        <v>1</v>
      </c>
      <c r="I86" s="8">
        <v>28000</v>
      </c>
      <c r="J86" s="8"/>
      <c r="K86" s="8">
        <v>0</v>
      </c>
      <c r="L86" s="8">
        <v>0</v>
      </c>
      <c r="M86" s="8"/>
      <c r="N86" s="8">
        <f>I86-L86</f>
        <v>28000</v>
      </c>
      <c r="O86" s="8">
        <v>0</v>
      </c>
      <c r="P86" s="8">
        <v>0</v>
      </c>
      <c r="Q86" s="8"/>
      <c r="R86" s="8">
        <v>0</v>
      </c>
      <c r="S86" s="8">
        <v>0</v>
      </c>
    </row>
    <row r="87" ht="31.5" customHeight="1" spans="1:19" x14ac:dyDescent="0.25">
      <c r="A87" s="5" t="s">
        <v>1361</v>
      </c>
      <c r="B87" s="6" t="s">
        <v>1362</v>
      </c>
      <c r="C87" s="6"/>
      <c r="D87" s="5" t="s">
        <v>138</v>
      </c>
      <c r="E87" s="5" t="s">
        <v>11</v>
      </c>
      <c r="F87" s="5" t="s">
        <v>11</v>
      </c>
      <c r="G87" s="5" t="s">
        <v>11</v>
      </c>
      <c r="H87" s="7">
        <v>5</v>
      </c>
      <c r="I87" s="8">
        <v>150000</v>
      </c>
      <c r="J87" s="8"/>
      <c r="K87" s="8">
        <v>0</v>
      </c>
      <c r="L87" s="8">
        <v>2258.65</v>
      </c>
      <c r="M87" s="8"/>
      <c r="N87" s="8">
        <f>I87-L87</f>
        <v>147741.35</v>
      </c>
      <c r="O87" s="8">
        <v>0</v>
      </c>
      <c r="P87" s="8">
        <v>0</v>
      </c>
      <c r="Q87" s="8"/>
      <c r="R87" s="8">
        <v>0</v>
      </c>
      <c r="S87" s="8">
        <v>0</v>
      </c>
    </row>
    <row r="88" ht="31.5" customHeight="1" spans="1:19" x14ac:dyDescent="0.25">
      <c r="A88" s="5" t="s">
        <v>1363</v>
      </c>
      <c r="B88" s="6" t="s">
        <v>1364</v>
      </c>
      <c r="C88" s="6"/>
      <c r="D88" s="5" t="s">
        <v>138</v>
      </c>
      <c r="E88" s="5" t="s">
        <v>11</v>
      </c>
      <c r="F88" s="5" t="s">
        <v>11</v>
      </c>
      <c r="G88" s="5" t="s">
        <v>11</v>
      </c>
      <c r="H88" s="7">
        <v>2</v>
      </c>
      <c r="I88" s="8">
        <v>34000</v>
      </c>
      <c r="J88" s="8"/>
      <c r="K88" s="8">
        <v>0</v>
      </c>
      <c r="L88" s="8">
        <v>0</v>
      </c>
      <c r="M88" s="8"/>
      <c r="N88" s="8">
        <f>I88-L88</f>
        <v>34000</v>
      </c>
      <c r="O88" s="8">
        <v>0</v>
      </c>
      <c r="P88" s="8">
        <v>0</v>
      </c>
      <c r="Q88" s="8"/>
      <c r="R88" s="8">
        <v>0</v>
      </c>
      <c r="S88" s="8">
        <v>0</v>
      </c>
    </row>
    <row r="89" ht="31.5" customHeight="1" spans="1:19" x14ac:dyDescent="0.25">
      <c r="A89" s="5" t="s">
        <v>1365</v>
      </c>
      <c r="B89" s="6" t="s">
        <v>1366</v>
      </c>
      <c r="C89" s="6"/>
      <c r="D89" s="5" t="s">
        <v>138</v>
      </c>
      <c r="E89" s="5" t="s">
        <v>11</v>
      </c>
      <c r="F89" s="5" t="s">
        <v>11</v>
      </c>
      <c r="G89" s="5" t="s">
        <v>11</v>
      </c>
      <c r="H89" s="7">
        <v>1</v>
      </c>
      <c r="I89" s="8">
        <v>10000</v>
      </c>
      <c r="J89" s="8"/>
      <c r="K89" s="8">
        <v>0</v>
      </c>
      <c r="L89" s="8">
        <v>2258.65</v>
      </c>
      <c r="M89" s="8"/>
      <c r="N89" s="8">
        <f>I89-L89</f>
        <v>7741.35</v>
      </c>
      <c r="O89" s="8">
        <v>0</v>
      </c>
      <c r="P89" s="8">
        <v>0</v>
      </c>
      <c r="Q89" s="8"/>
      <c r="R89" s="8">
        <v>0</v>
      </c>
      <c r="S89" s="8">
        <v>0</v>
      </c>
    </row>
    <row r="90" ht="31.5" customHeight="1" spans="1:19" x14ac:dyDescent="0.25">
      <c r="A90" s="5" t="s">
        <v>1367</v>
      </c>
      <c r="B90" s="6" t="s">
        <v>1368</v>
      </c>
      <c r="C90" s="6"/>
      <c r="D90" s="5" t="s">
        <v>138</v>
      </c>
      <c r="E90" s="5" t="s">
        <v>11</v>
      </c>
      <c r="F90" s="5" t="s">
        <v>11</v>
      </c>
      <c r="G90" s="5" t="s">
        <v>11</v>
      </c>
      <c r="H90" s="7">
        <v>3</v>
      </c>
      <c r="I90" s="8">
        <v>44000</v>
      </c>
      <c r="J90" s="8"/>
      <c r="K90" s="8">
        <v>0</v>
      </c>
      <c r="L90" s="8">
        <v>2258.65</v>
      </c>
      <c r="M90" s="8"/>
      <c r="N90" s="8">
        <f>I90-L90</f>
        <v>41741.35</v>
      </c>
      <c r="O90" s="8">
        <v>0</v>
      </c>
      <c r="P90" s="8">
        <v>0</v>
      </c>
      <c r="Q90" s="8"/>
      <c r="R90" s="8">
        <v>0</v>
      </c>
      <c r="S90" s="8">
        <v>0</v>
      </c>
    </row>
    <row r="91" ht="31.5" customHeight="1" spans="1:19" x14ac:dyDescent="0.25">
      <c r="A91" s="5" t="s">
        <v>1369</v>
      </c>
      <c r="B91" s="6" t="s">
        <v>1370</v>
      </c>
      <c r="C91" s="6"/>
      <c r="D91" s="5" t="s">
        <v>138</v>
      </c>
      <c r="E91" s="5" t="s">
        <v>11</v>
      </c>
      <c r="F91" s="5" t="s">
        <v>11</v>
      </c>
      <c r="G91" s="5" t="s">
        <v>11</v>
      </c>
      <c r="H91" s="7">
        <v>1</v>
      </c>
      <c r="I91" s="8">
        <v>40000</v>
      </c>
      <c r="J91" s="8"/>
      <c r="K91" s="8">
        <v>0</v>
      </c>
      <c r="L91" s="8">
        <v>30000</v>
      </c>
      <c r="M91" s="8"/>
      <c r="N91" s="8">
        <f>I91-L91</f>
        <v>10000</v>
      </c>
      <c r="O91" s="8">
        <v>0</v>
      </c>
      <c r="P91" s="8">
        <v>0</v>
      </c>
      <c r="Q91" s="8"/>
      <c r="R91" s="8">
        <v>0</v>
      </c>
      <c r="S91" s="8">
        <v>0</v>
      </c>
    </row>
    <row r="92" ht="31.5" customHeight="1" spans="1:19" x14ac:dyDescent="0.25">
      <c r="A92" s="5" t="s">
        <v>1371</v>
      </c>
      <c r="B92" s="6" t="s">
        <v>1372</v>
      </c>
      <c r="C92" s="6"/>
      <c r="D92" s="5" t="s">
        <v>138</v>
      </c>
      <c r="E92" s="5" t="s">
        <v>11</v>
      </c>
      <c r="F92" s="5" t="s">
        <v>11</v>
      </c>
      <c r="G92" s="5" t="s">
        <v>11</v>
      </c>
      <c r="H92" s="7">
        <v>1</v>
      </c>
      <c r="I92" s="8">
        <v>15000</v>
      </c>
      <c r="J92" s="8"/>
      <c r="K92" s="8">
        <v>0</v>
      </c>
      <c r="L92" s="8">
        <v>4903.46</v>
      </c>
      <c r="M92" s="8"/>
      <c r="N92" s="8">
        <f>I92-L92</f>
        <v>10096.54</v>
      </c>
      <c r="O92" s="8">
        <v>0</v>
      </c>
      <c r="P92" s="8">
        <v>0</v>
      </c>
      <c r="Q92" s="8"/>
      <c r="R92" s="8">
        <v>0</v>
      </c>
      <c r="S92" s="8">
        <v>0</v>
      </c>
    </row>
    <row r="93" ht="31.5" customHeight="1" spans="1:19" x14ac:dyDescent="0.25">
      <c r="A93" s="5" t="s">
        <v>1373</v>
      </c>
      <c r="B93" s="6" t="s">
        <v>1374</v>
      </c>
      <c r="C93" s="6"/>
      <c r="D93" s="5" t="s">
        <v>138</v>
      </c>
      <c r="E93" s="5" t="s">
        <v>11</v>
      </c>
      <c r="F93" s="5" t="s">
        <v>11</v>
      </c>
      <c r="G93" s="5" t="s">
        <v>11</v>
      </c>
      <c r="H93" s="7">
        <v>1</v>
      </c>
      <c r="I93" s="8">
        <v>15000</v>
      </c>
      <c r="J93" s="8"/>
      <c r="K93" s="8">
        <v>0</v>
      </c>
      <c r="L93" s="8">
        <v>4903.46</v>
      </c>
      <c r="M93" s="8"/>
      <c r="N93" s="8">
        <f>I93-L93</f>
        <v>10096.54</v>
      </c>
      <c r="O93" s="8">
        <v>0</v>
      </c>
      <c r="P93" s="8">
        <v>0</v>
      </c>
      <c r="Q93" s="8"/>
      <c r="R93" s="8">
        <v>0</v>
      </c>
      <c r="S93" s="8">
        <v>0</v>
      </c>
    </row>
    <row r="94" ht="31.5" customHeight="1" spans="1:19" x14ac:dyDescent="0.25">
      <c r="A94" s="5" t="s">
        <v>1375</v>
      </c>
      <c r="B94" s="6" t="s">
        <v>1376</v>
      </c>
      <c r="C94" s="6"/>
      <c r="D94" s="5" t="s">
        <v>138</v>
      </c>
      <c r="E94" s="5" t="s">
        <v>11</v>
      </c>
      <c r="F94" s="5" t="s">
        <v>11</v>
      </c>
      <c r="G94" s="5" t="s">
        <v>11</v>
      </c>
      <c r="H94" s="7">
        <v>1</v>
      </c>
      <c r="I94" s="8">
        <v>20000</v>
      </c>
      <c r="J94" s="8"/>
      <c r="K94" s="8">
        <v>0</v>
      </c>
      <c r="L94" s="8">
        <v>10250</v>
      </c>
      <c r="M94" s="8"/>
      <c r="N94" s="8">
        <f>I94-L94</f>
        <v>9750</v>
      </c>
      <c r="O94" s="8">
        <v>0</v>
      </c>
      <c r="P94" s="8">
        <v>0</v>
      </c>
      <c r="Q94" s="8"/>
      <c r="R94" s="8">
        <v>0</v>
      </c>
      <c r="S94" s="8">
        <v>0</v>
      </c>
    </row>
    <row r="95" ht="31.5" customHeight="1" spans="1:19" x14ac:dyDescent="0.25">
      <c r="A95" s="5" t="s">
        <v>1377</v>
      </c>
      <c r="B95" s="6" t="s">
        <v>1378</v>
      </c>
      <c r="C95" s="6"/>
      <c r="D95" s="5" t="s">
        <v>138</v>
      </c>
      <c r="E95" s="5" t="s">
        <v>11</v>
      </c>
      <c r="F95" s="5" t="s">
        <v>11</v>
      </c>
      <c r="G95" s="5" t="s">
        <v>11</v>
      </c>
      <c r="H95" s="7">
        <v>4</v>
      </c>
      <c r="I95" s="8">
        <v>160000</v>
      </c>
      <c r="J95" s="8"/>
      <c r="K95" s="8">
        <v>0</v>
      </c>
      <c r="L95" s="8">
        <v>0</v>
      </c>
      <c r="M95" s="8"/>
      <c r="N95" s="8">
        <f>I95-L95</f>
        <v>160000</v>
      </c>
      <c r="O95" s="8">
        <v>0</v>
      </c>
      <c r="P95" s="8">
        <v>0</v>
      </c>
      <c r="Q95" s="8"/>
      <c r="R95" s="8">
        <v>0</v>
      </c>
      <c r="S95" s="8">
        <v>0</v>
      </c>
    </row>
    <row r="96" ht="31.5" customHeight="1" spans="1:19" x14ac:dyDescent="0.25">
      <c r="A96" s="5" t="s">
        <v>1379</v>
      </c>
      <c r="B96" s="6" t="s">
        <v>1380</v>
      </c>
      <c r="C96" s="6"/>
      <c r="D96" s="5" t="s">
        <v>138</v>
      </c>
      <c r="E96" s="5" t="s">
        <v>11</v>
      </c>
      <c r="F96" s="5" t="s">
        <v>11</v>
      </c>
      <c r="G96" s="5" t="s">
        <v>11</v>
      </c>
      <c r="H96" s="7">
        <v>2</v>
      </c>
      <c r="I96" s="8">
        <v>37000</v>
      </c>
      <c r="J96" s="8"/>
      <c r="K96" s="8">
        <v>0</v>
      </c>
      <c r="L96" s="8">
        <v>6250</v>
      </c>
      <c r="M96" s="8"/>
      <c r="N96" s="8">
        <f>I96-L96</f>
        <v>30750</v>
      </c>
      <c r="O96" s="8">
        <v>0</v>
      </c>
      <c r="P96" s="8">
        <v>0</v>
      </c>
      <c r="Q96" s="8"/>
      <c r="R96" s="8">
        <v>0</v>
      </c>
      <c r="S96" s="8">
        <v>0</v>
      </c>
    </row>
    <row r="97" ht="31.5" customHeight="1" spans="1:19" x14ac:dyDescent="0.25">
      <c r="A97" s="5" t="s">
        <v>1381</v>
      </c>
      <c r="B97" s="6" t="s">
        <v>1382</v>
      </c>
      <c r="C97" s="6"/>
      <c r="D97" s="5" t="s">
        <v>138</v>
      </c>
      <c r="E97" s="5" t="s">
        <v>11</v>
      </c>
      <c r="F97" s="5" t="s">
        <v>11</v>
      </c>
      <c r="G97" s="5" t="s">
        <v>11</v>
      </c>
      <c r="H97" s="7">
        <v>2</v>
      </c>
      <c r="I97" s="8">
        <v>45000</v>
      </c>
      <c r="J97" s="8"/>
      <c r="K97" s="8">
        <v>0</v>
      </c>
      <c r="L97" s="8">
        <v>0</v>
      </c>
      <c r="M97" s="8"/>
      <c r="N97" s="8">
        <f>I97-L97</f>
        <v>45000</v>
      </c>
      <c r="O97" s="8">
        <v>0</v>
      </c>
      <c r="P97" s="8">
        <v>0</v>
      </c>
      <c r="Q97" s="8"/>
      <c r="R97" s="8">
        <v>0</v>
      </c>
      <c r="S97" s="8">
        <v>0</v>
      </c>
    </row>
    <row r="98" ht="31.5" customHeight="1" spans="1:19" x14ac:dyDescent="0.25">
      <c r="A98" s="5" t="s">
        <v>1383</v>
      </c>
      <c r="B98" s="6" t="s">
        <v>1384</v>
      </c>
      <c r="C98" s="6"/>
      <c r="D98" s="5" t="s">
        <v>138</v>
      </c>
      <c r="E98" s="5" t="s">
        <v>11</v>
      </c>
      <c r="F98" s="5" t="s">
        <v>11</v>
      </c>
      <c r="G98" s="5" t="s">
        <v>11</v>
      </c>
      <c r="H98" s="7">
        <v>1</v>
      </c>
      <c r="I98" s="8">
        <v>50000</v>
      </c>
      <c r="J98" s="8"/>
      <c r="K98" s="8">
        <v>0</v>
      </c>
      <c r="L98" s="8">
        <v>0</v>
      </c>
      <c r="M98" s="8"/>
      <c r="N98" s="8">
        <f>I98-L98</f>
        <v>50000</v>
      </c>
      <c r="O98" s="8">
        <v>0</v>
      </c>
      <c r="P98" s="8">
        <v>0</v>
      </c>
      <c r="Q98" s="8"/>
      <c r="R98" s="8">
        <v>0</v>
      </c>
      <c r="S98" s="8">
        <v>0</v>
      </c>
    </row>
    <row r="99" ht="31.5" customHeight="1" spans="1:19" x14ac:dyDescent="0.25">
      <c r="A99" s="5" t="s">
        <v>1385</v>
      </c>
      <c r="B99" s="6" t="s">
        <v>1386</v>
      </c>
      <c r="C99" s="6"/>
      <c r="D99" s="5" t="s">
        <v>363</v>
      </c>
      <c r="E99" s="5" t="s">
        <v>11</v>
      </c>
      <c r="F99" s="5" t="s">
        <v>11</v>
      </c>
      <c r="G99" s="5" t="s">
        <v>11</v>
      </c>
      <c r="H99" s="7">
        <v>1</v>
      </c>
      <c r="I99" s="8">
        <v>10000</v>
      </c>
      <c r="J99" s="8"/>
      <c r="K99" s="8">
        <v>0</v>
      </c>
      <c r="L99" s="8">
        <v>2258.65</v>
      </c>
      <c r="M99" s="8"/>
      <c r="N99" s="8">
        <f>I99-L99</f>
        <v>7741.35</v>
      </c>
      <c r="O99" s="8">
        <v>0</v>
      </c>
      <c r="P99" s="8">
        <v>0</v>
      </c>
      <c r="Q99" s="8"/>
      <c r="R99" s="8">
        <v>0</v>
      </c>
      <c r="S99" s="8">
        <v>0</v>
      </c>
    </row>
    <row r="100" ht="31.5" customHeight="1" spans="1:19" x14ac:dyDescent="0.25">
      <c r="A100" s="5" t="s">
        <v>1387</v>
      </c>
      <c r="B100" s="6" t="s">
        <v>1388</v>
      </c>
      <c r="C100" s="6"/>
      <c r="D100" s="5" t="s">
        <v>363</v>
      </c>
      <c r="E100" s="5" t="s">
        <v>11</v>
      </c>
      <c r="F100" s="5" t="s">
        <v>11</v>
      </c>
      <c r="G100" s="5" t="s">
        <v>11</v>
      </c>
      <c r="H100" s="7">
        <v>1</v>
      </c>
      <c r="I100" s="8">
        <v>12000</v>
      </c>
      <c r="J100" s="8"/>
      <c r="K100" s="8">
        <v>0</v>
      </c>
      <c r="L100" s="8">
        <v>6250</v>
      </c>
      <c r="M100" s="8"/>
      <c r="N100" s="8">
        <f>I100-L100</f>
        <v>5750</v>
      </c>
      <c r="O100" s="8">
        <v>0</v>
      </c>
      <c r="P100" s="8">
        <v>0</v>
      </c>
      <c r="Q100" s="8"/>
      <c r="R100" s="8">
        <v>0</v>
      </c>
      <c r="S100" s="8">
        <v>0</v>
      </c>
    </row>
    <row r="101" ht="31.5" customHeight="1" spans="1:19" x14ac:dyDescent="0.25">
      <c r="A101" s="5" t="s">
        <v>1389</v>
      </c>
      <c r="B101" s="6" t="s">
        <v>1390</v>
      </c>
      <c r="C101" s="6"/>
      <c r="D101" s="5" t="s">
        <v>363</v>
      </c>
      <c r="E101" s="5" t="s">
        <v>11</v>
      </c>
      <c r="F101" s="5" t="s">
        <v>11</v>
      </c>
      <c r="G101" s="5" t="s">
        <v>11</v>
      </c>
      <c r="H101" s="7">
        <v>1</v>
      </c>
      <c r="I101" s="8">
        <v>15000</v>
      </c>
      <c r="J101" s="8"/>
      <c r="K101" s="8">
        <v>0</v>
      </c>
      <c r="L101" s="8">
        <v>4903.46</v>
      </c>
      <c r="M101" s="8"/>
      <c r="N101" s="8">
        <f>I101-L101</f>
        <v>10096.54</v>
      </c>
      <c r="O101" s="8">
        <v>0</v>
      </c>
      <c r="P101" s="8">
        <v>0</v>
      </c>
      <c r="Q101" s="8"/>
      <c r="R101" s="8">
        <v>0</v>
      </c>
      <c r="S101" s="8">
        <v>0</v>
      </c>
    </row>
    <row r="102" ht="31.5" customHeight="1" spans="1:19" x14ac:dyDescent="0.25">
      <c r="A102" s="5" t="s">
        <v>1391</v>
      </c>
      <c r="B102" s="6" t="s">
        <v>1392</v>
      </c>
      <c r="C102" s="6"/>
      <c r="D102" s="5" t="s">
        <v>363</v>
      </c>
      <c r="E102" s="5" t="s">
        <v>11</v>
      </c>
      <c r="F102" s="5" t="s">
        <v>11</v>
      </c>
      <c r="G102" s="5" t="s">
        <v>11</v>
      </c>
      <c r="H102" s="7">
        <v>1</v>
      </c>
      <c r="I102" s="8">
        <v>15000</v>
      </c>
      <c r="J102" s="8"/>
      <c r="K102" s="8">
        <v>0</v>
      </c>
      <c r="L102" s="8">
        <v>4903.46</v>
      </c>
      <c r="M102" s="8"/>
      <c r="N102" s="8">
        <f>I102-L102</f>
        <v>10096.54</v>
      </c>
      <c r="O102" s="8">
        <v>0</v>
      </c>
      <c r="P102" s="8">
        <v>0</v>
      </c>
      <c r="Q102" s="8"/>
      <c r="R102" s="8">
        <v>0</v>
      </c>
      <c r="S102" s="8">
        <v>0</v>
      </c>
    </row>
    <row r="103" ht="31.5" customHeight="1" spans="1:19" x14ac:dyDescent="0.25">
      <c r="A103" s="5" t="s">
        <v>1393</v>
      </c>
      <c r="B103" s="6" t="s">
        <v>1394</v>
      </c>
      <c r="C103" s="6"/>
      <c r="D103" s="5" t="s">
        <v>363</v>
      </c>
      <c r="E103" s="5" t="s">
        <v>11</v>
      </c>
      <c r="F103" s="5" t="s">
        <v>11</v>
      </c>
      <c r="G103" s="5" t="s">
        <v>11</v>
      </c>
      <c r="H103" s="7">
        <v>1</v>
      </c>
      <c r="I103" s="8">
        <v>12000</v>
      </c>
      <c r="J103" s="8"/>
      <c r="K103" s="8">
        <v>0</v>
      </c>
      <c r="L103" s="8">
        <v>6250</v>
      </c>
      <c r="M103" s="8"/>
      <c r="N103" s="8">
        <f>I103-L103</f>
        <v>5750</v>
      </c>
      <c r="O103" s="8">
        <v>0</v>
      </c>
      <c r="P103" s="8">
        <v>0</v>
      </c>
      <c r="Q103" s="8"/>
      <c r="R103" s="8">
        <v>0</v>
      </c>
      <c r="S103" s="8">
        <v>0</v>
      </c>
    </row>
    <row r="104" ht="31.5" customHeight="1" spans="1:19" x14ac:dyDescent="0.25">
      <c r="A104" s="5" t="s">
        <v>1395</v>
      </c>
      <c r="B104" s="6" t="s">
        <v>1396</v>
      </c>
      <c r="C104" s="6"/>
      <c r="D104" s="5" t="s">
        <v>363</v>
      </c>
      <c r="E104" s="5" t="s">
        <v>11</v>
      </c>
      <c r="F104" s="5" t="s">
        <v>11</v>
      </c>
      <c r="G104" s="5" t="s">
        <v>11</v>
      </c>
      <c r="H104" s="7">
        <v>1</v>
      </c>
      <c r="I104" s="8">
        <v>12000</v>
      </c>
      <c r="J104" s="8"/>
      <c r="K104" s="8">
        <v>0</v>
      </c>
      <c r="L104" s="8">
        <v>6250</v>
      </c>
      <c r="M104" s="8"/>
      <c r="N104" s="8">
        <f>I104-L104</f>
        <v>5750</v>
      </c>
      <c r="O104" s="8">
        <v>0</v>
      </c>
      <c r="P104" s="8">
        <v>0</v>
      </c>
      <c r="Q104" s="8"/>
      <c r="R104" s="8">
        <v>0</v>
      </c>
      <c r="S104" s="8">
        <v>0</v>
      </c>
    </row>
    <row r="105" ht="18" customHeight="1" spans="1:19" x14ac:dyDescent="0.25">
      <c r="A105" s="9" t="s">
        <v>177</v>
      </c>
      <c r="B105" s="9"/>
      <c r="C105" s="9"/>
      <c r="D105" s="9"/>
      <c r="E105" s="9"/>
      <c r="F105" s="9"/>
      <c r="G105" s="9"/>
      <c r="H105" s="10">
        <f>SUM(H5:H104)</f>
        <v>143</v>
      </c>
      <c r="I105" s="11">
        <f>SUM(I5:I104)</f>
        <v>4267500</v>
      </c>
      <c r="J105" s="11"/>
      <c r="K105" s="11">
        <v>0</v>
      </c>
      <c r="L105" s="11">
        <f>SUM(L5:L104)</f>
        <v>429779.3500000002</v>
      </c>
      <c r="M105" s="11"/>
      <c r="N105" s="11">
        <f>SUM(N5:N104)</f>
        <v>3837720.65</v>
      </c>
      <c r="O105" s="11">
        <v>0</v>
      </c>
      <c r="P105" s="11">
        <v>0</v>
      </c>
      <c r="Q105" s="11"/>
      <c r="R105" s="11">
        <f>SUM(R5:R104)</f>
        <v>0</v>
      </c>
      <c r="S105" s="11">
        <v>0</v>
      </c>
    </row>
  </sheetData>
  <mergeCells count="420">
    <mergeCell ref="A1:S1"/>
    <mergeCell ref="A2:B2"/>
    <mergeCell ref="C2:E2"/>
    <mergeCell ref="F2:I2"/>
    <mergeCell ref="J2:L2"/>
    <mergeCell ref="M2:P2"/>
    <mergeCell ref="Q2:S2"/>
    <mergeCell ref="A3:B3"/>
    <mergeCell ref="C3:E3"/>
    <mergeCell ref="F3:I3"/>
    <mergeCell ref="J3:L3"/>
    <mergeCell ref="M3:S3"/>
    <mergeCell ref="B4:C4"/>
    <mergeCell ref="I4:J4"/>
    <mergeCell ref="L4:M4"/>
    <mergeCell ref="P4:Q4"/>
    <mergeCell ref="B5:C5"/>
    <mergeCell ref="I5:J5"/>
    <mergeCell ref="L5:M5"/>
    <mergeCell ref="P5:Q5"/>
    <mergeCell ref="B6:C6"/>
    <mergeCell ref="I6:J6"/>
    <mergeCell ref="L6:M6"/>
    <mergeCell ref="P6:Q6"/>
    <mergeCell ref="B7:C7"/>
    <mergeCell ref="I7:J7"/>
    <mergeCell ref="L7:M7"/>
    <mergeCell ref="P7:Q7"/>
    <mergeCell ref="B8:C8"/>
    <mergeCell ref="I8:J8"/>
    <mergeCell ref="L8:M8"/>
    <mergeCell ref="P8:Q8"/>
    <mergeCell ref="B9:C9"/>
    <mergeCell ref="I9:J9"/>
    <mergeCell ref="L9:M9"/>
    <mergeCell ref="P9:Q9"/>
    <mergeCell ref="B10:C10"/>
    <mergeCell ref="I10:J10"/>
    <mergeCell ref="L10:M10"/>
    <mergeCell ref="P10:Q10"/>
    <mergeCell ref="B11:C11"/>
    <mergeCell ref="I11:J11"/>
    <mergeCell ref="L11:M11"/>
    <mergeCell ref="P11:Q11"/>
    <mergeCell ref="B12:C12"/>
    <mergeCell ref="I12:J12"/>
    <mergeCell ref="L12:M12"/>
    <mergeCell ref="P12:Q12"/>
    <mergeCell ref="B13:C13"/>
    <mergeCell ref="I13:J13"/>
    <mergeCell ref="L13:M13"/>
    <mergeCell ref="P13:Q13"/>
    <mergeCell ref="B14:C14"/>
    <mergeCell ref="I14:J14"/>
    <mergeCell ref="L14:M14"/>
    <mergeCell ref="P14:Q14"/>
    <mergeCell ref="B15:C15"/>
    <mergeCell ref="I15:J15"/>
    <mergeCell ref="L15:M15"/>
    <mergeCell ref="P15:Q15"/>
    <mergeCell ref="B16:C16"/>
    <mergeCell ref="I16:J16"/>
    <mergeCell ref="L16:M16"/>
    <mergeCell ref="P16:Q16"/>
    <mergeCell ref="B17:C17"/>
    <mergeCell ref="I17:J17"/>
    <mergeCell ref="L17:M17"/>
    <mergeCell ref="P17:Q17"/>
    <mergeCell ref="B18:C18"/>
    <mergeCell ref="I18:J18"/>
    <mergeCell ref="L18:M18"/>
    <mergeCell ref="P18:Q18"/>
    <mergeCell ref="B19:C19"/>
    <mergeCell ref="I19:J19"/>
    <mergeCell ref="L19:M19"/>
    <mergeCell ref="P19:Q19"/>
    <mergeCell ref="B20:C20"/>
    <mergeCell ref="I20:J20"/>
    <mergeCell ref="L20:M20"/>
    <mergeCell ref="P20:Q20"/>
    <mergeCell ref="B21:C21"/>
    <mergeCell ref="I21:J21"/>
    <mergeCell ref="L21:M21"/>
    <mergeCell ref="P21:Q21"/>
    <mergeCell ref="B22:C22"/>
    <mergeCell ref="I22:J22"/>
    <mergeCell ref="L22:M22"/>
    <mergeCell ref="P22:Q22"/>
    <mergeCell ref="B23:C23"/>
    <mergeCell ref="I23:J23"/>
    <mergeCell ref="L23:M23"/>
    <mergeCell ref="P23:Q23"/>
    <mergeCell ref="B24:C24"/>
    <mergeCell ref="I24:J24"/>
    <mergeCell ref="L24:M24"/>
    <mergeCell ref="P24:Q24"/>
    <mergeCell ref="B25:C25"/>
    <mergeCell ref="I25:J25"/>
    <mergeCell ref="L25:M25"/>
    <mergeCell ref="P25:Q25"/>
    <mergeCell ref="B26:C26"/>
    <mergeCell ref="I26:J26"/>
    <mergeCell ref="L26:M26"/>
    <mergeCell ref="P26:Q26"/>
    <mergeCell ref="B27:C27"/>
    <mergeCell ref="I27:J27"/>
    <mergeCell ref="L27:M27"/>
    <mergeCell ref="P27:Q27"/>
    <mergeCell ref="B28:C28"/>
    <mergeCell ref="I28:J28"/>
    <mergeCell ref="L28:M28"/>
    <mergeCell ref="P28:Q28"/>
    <mergeCell ref="B29:C29"/>
    <mergeCell ref="I29:J29"/>
    <mergeCell ref="L29:M29"/>
    <mergeCell ref="P29:Q29"/>
    <mergeCell ref="B30:C30"/>
    <mergeCell ref="I30:J30"/>
    <mergeCell ref="L30:M30"/>
    <mergeCell ref="P30:Q30"/>
    <mergeCell ref="B31:C31"/>
    <mergeCell ref="I31:J31"/>
    <mergeCell ref="L31:M31"/>
    <mergeCell ref="P31:Q31"/>
    <mergeCell ref="B32:C32"/>
    <mergeCell ref="I32:J32"/>
    <mergeCell ref="L32:M32"/>
    <mergeCell ref="P32:Q32"/>
    <mergeCell ref="B33:C33"/>
    <mergeCell ref="I33:J33"/>
    <mergeCell ref="L33:M33"/>
    <mergeCell ref="P33:Q33"/>
    <mergeCell ref="B34:C34"/>
    <mergeCell ref="I34:J34"/>
    <mergeCell ref="L34:M34"/>
    <mergeCell ref="P34:Q34"/>
    <mergeCell ref="B35:C35"/>
    <mergeCell ref="I35:J35"/>
    <mergeCell ref="L35:M35"/>
    <mergeCell ref="P35:Q35"/>
    <mergeCell ref="B36:C36"/>
    <mergeCell ref="I36:J36"/>
    <mergeCell ref="L36:M36"/>
    <mergeCell ref="P36:Q36"/>
    <mergeCell ref="B37:C37"/>
    <mergeCell ref="I37:J37"/>
    <mergeCell ref="L37:M37"/>
    <mergeCell ref="P37:Q37"/>
    <mergeCell ref="B38:C38"/>
    <mergeCell ref="I38:J38"/>
    <mergeCell ref="L38:M38"/>
    <mergeCell ref="P38:Q38"/>
    <mergeCell ref="B39:C39"/>
    <mergeCell ref="I39:J39"/>
    <mergeCell ref="L39:M39"/>
    <mergeCell ref="P39:Q39"/>
    <mergeCell ref="B40:C40"/>
    <mergeCell ref="I40:J40"/>
    <mergeCell ref="L40:M40"/>
    <mergeCell ref="P40:Q40"/>
    <mergeCell ref="B41:C41"/>
    <mergeCell ref="I41:J41"/>
    <mergeCell ref="L41:M41"/>
    <mergeCell ref="P41:Q41"/>
    <mergeCell ref="B42:C42"/>
    <mergeCell ref="I42:J42"/>
    <mergeCell ref="L42:M42"/>
    <mergeCell ref="P42:Q42"/>
    <mergeCell ref="B43:C43"/>
    <mergeCell ref="I43:J43"/>
    <mergeCell ref="L43:M43"/>
    <mergeCell ref="P43:Q43"/>
    <mergeCell ref="B44:C44"/>
    <mergeCell ref="I44:J44"/>
    <mergeCell ref="L44:M44"/>
    <mergeCell ref="P44:Q44"/>
    <mergeCell ref="B45:C45"/>
    <mergeCell ref="I45:J45"/>
    <mergeCell ref="L45:M45"/>
    <mergeCell ref="P45:Q45"/>
    <mergeCell ref="B46:C46"/>
    <mergeCell ref="I46:J46"/>
    <mergeCell ref="L46:M46"/>
    <mergeCell ref="P46:Q46"/>
    <mergeCell ref="B47:C47"/>
    <mergeCell ref="I47:J47"/>
    <mergeCell ref="L47:M47"/>
    <mergeCell ref="P47:Q47"/>
    <mergeCell ref="B48:C48"/>
    <mergeCell ref="I48:J48"/>
    <mergeCell ref="L48:M48"/>
    <mergeCell ref="P48:Q48"/>
    <mergeCell ref="B49:C49"/>
    <mergeCell ref="I49:J49"/>
    <mergeCell ref="L49:M49"/>
    <mergeCell ref="P49:Q49"/>
    <mergeCell ref="B50:C50"/>
    <mergeCell ref="I50:J50"/>
    <mergeCell ref="L50:M50"/>
    <mergeCell ref="P50:Q50"/>
    <mergeCell ref="B51:C51"/>
    <mergeCell ref="I51:J51"/>
    <mergeCell ref="L51:M51"/>
    <mergeCell ref="P51:Q51"/>
    <mergeCell ref="B52:C52"/>
    <mergeCell ref="I52:J52"/>
    <mergeCell ref="L52:M52"/>
    <mergeCell ref="P52:Q52"/>
    <mergeCell ref="B53:C53"/>
    <mergeCell ref="I53:J53"/>
    <mergeCell ref="L53:M53"/>
    <mergeCell ref="P53:Q53"/>
    <mergeCell ref="B54:C54"/>
    <mergeCell ref="I54:J54"/>
    <mergeCell ref="L54:M54"/>
    <mergeCell ref="P54:Q54"/>
    <mergeCell ref="B55:C55"/>
    <mergeCell ref="I55:J55"/>
    <mergeCell ref="L55:M55"/>
    <mergeCell ref="P55:Q55"/>
    <mergeCell ref="B56:C56"/>
    <mergeCell ref="I56:J56"/>
    <mergeCell ref="L56:M56"/>
    <mergeCell ref="P56:Q56"/>
    <mergeCell ref="B57:C57"/>
    <mergeCell ref="I57:J57"/>
    <mergeCell ref="L57:M57"/>
    <mergeCell ref="P57:Q57"/>
    <mergeCell ref="B58:C58"/>
    <mergeCell ref="I58:J58"/>
    <mergeCell ref="L58:M58"/>
    <mergeCell ref="P58:Q58"/>
    <mergeCell ref="B59:C59"/>
    <mergeCell ref="I59:J59"/>
    <mergeCell ref="L59:M59"/>
    <mergeCell ref="P59:Q59"/>
    <mergeCell ref="B60:C60"/>
    <mergeCell ref="I60:J60"/>
    <mergeCell ref="L60:M60"/>
    <mergeCell ref="P60:Q60"/>
    <mergeCell ref="B61:C61"/>
    <mergeCell ref="I61:J61"/>
    <mergeCell ref="L61:M61"/>
    <mergeCell ref="P61:Q61"/>
    <mergeCell ref="B62:C62"/>
    <mergeCell ref="I62:J62"/>
    <mergeCell ref="L62:M62"/>
    <mergeCell ref="P62:Q62"/>
    <mergeCell ref="B63:C63"/>
    <mergeCell ref="I63:J63"/>
    <mergeCell ref="L63:M63"/>
    <mergeCell ref="P63:Q63"/>
    <mergeCell ref="B64:C64"/>
    <mergeCell ref="I64:J64"/>
    <mergeCell ref="L64:M64"/>
    <mergeCell ref="P64:Q64"/>
    <mergeCell ref="B65:C65"/>
    <mergeCell ref="I65:J65"/>
    <mergeCell ref="L65:M65"/>
    <mergeCell ref="P65:Q65"/>
    <mergeCell ref="B66:C66"/>
    <mergeCell ref="I66:J66"/>
    <mergeCell ref="L66:M66"/>
    <mergeCell ref="P66:Q66"/>
    <mergeCell ref="B67:C67"/>
    <mergeCell ref="I67:J67"/>
    <mergeCell ref="L67:M67"/>
    <mergeCell ref="P67:Q67"/>
    <mergeCell ref="B68:C68"/>
    <mergeCell ref="I68:J68"/>
    <mergeCell ref="L68:M68"/>
    <mergeCell ref="P68:Q68"/>
    <mergeCell ref="B69:C69"/>
    <mergeCell ref="I69:J69"/>
    <mergeCell ref="L69:M69"/>
    <mergeCell ref="P69:Q69"/>
    <mergeCell ref="B70:C70"/>
    <mergeCell ref="I70:J70"/>
    <mergeCell ref="L70:M70"/>
    <mergeCell ref="P70:Q70"/>
    <mergeCell ref="B71:C71"/>
    <mergeCell ref="I71:J71"/>
    <mergeCell ref="L71:M71"/>
    <mergeCell ref="P71:Q71"/>
    <mergeCell ref="B72:C72"/>
    <mergeCell ref="I72:J72"/>
    <mergeCell ref="L72:M72"/>
    <mergeCell ref="P72:Q72"/>
    <mergeCell ref="B73:C73"/>
    <mergeCell ref="I73:J73"/>
    <mergeCell ref="L73:M73"/>
    <mergeCell ref="P73:Q73"/>
    <mergeCell ref="B74:C74"/>
    <mergeCell ref="I74:J74"/>
    <mergeCell ref="L74:M74"/>
    <mergeCell ref="P74:Q74"/>
    <mergeCell ref="B75:C75"/>
    <mergeCell ref="I75:J75"/>
    <mergeCell ref="L75:M75"/>
    <mergeCell ref="P75:Q75"/>
    <mergeCell ref="B76:C76"/>
    <mergeCell ref="I76:J76"/>
    <mergeCell ref="L76:M76"/>
    <mergeCell ref="P76:Q76"/>
    <mergeCell ref="B77:C77"/>
    <mergeCell ref="I77:J77"/>
    <mergeCell ref="L77:M77"/>
    <mergeCell ref="P77:Q77"/>
    <mergeCell ref="B78:C78"/>
    <mergeCell ref="I78:J78"/>
    <mergeCell ref="L78:M78"/>
    <mergeCell ref="P78:Q78"/>
    <mergeCell ref="B79:C79"/>
    <mergeCell ref="I79:J79"/>
    <mergeCell ref="L79:M79"/>
    <mergeCell ref="P79:Q79"/>
    <mergeCell ref="B80:C80"/>
    <mergeCell ref="I80:J80"/>
    <mergeCell ref="L80:M80"/>
    <mergeCell ref="P80:Q80"/>
    <mergeCell ref="B81:C81"/>
    <mergeCell ref="I81:J81"/>
    <mergeCell ref="L81:M81"/>
    <mergeCell ref="P81:Q81"/>
    <mergeCell ref="B82:C82"/>
    <mergeCell ref="I82:J82"/>
    <mergeCell ref="L82:M82"/>
    <mergeCell ref="P82:Q82"/>
    <mergeCell ref="B83:C83"/>
    <mergeCell ref="I83:J83"/>
    <mergeCell ref="L83:M83"/>
    <mergeCell ref="P83:Q83"/>
    <mergeCell ref="B84:C84"/>
    <mergeCell ref="I84:J84"/>
    <mergeCell ref="L84:M84"/>
    <mergeCell ref="P84:Q84"/>
    <mergeCell ref="B85:C85"/>
    <mergeCell ref="I85:J85"/>
    <mergeCell ref="L85:M85"/>
    <mergeCell ref="P85:Q85"/>
    <mergeCell ref="B86:C86"/>
    <mergeCell ref="I86:J86"/>
    <mergeCell ref="L86:M86"/>
    <mergeCell ref="P86:Q86"/>
    <mergeCell ref="B87:C87"/>
    <mergeCell ref="I87:J87"/>
    <mergeCell ref="L87:M87"/>
    <mergeCell ref="P87:Q87"/>
    <mergeCell ref="B88:C88"/>
    <mergeCell ref="I88:J88"/>
    <mergeCell ref="L88:M88"/>
    <mergeCell ref="P88:Q88"/>
    <mergeCell ref="B89:C89"/>
    <mergeCell ref="I89:J89"/>
    <mergeCell ref="L89:M89"/>
    <mergeCell ref="P89:Q89"/>
    <mergeCell ref="B90:C90"/>
    <mergeCell ref="I90:J90"/>
    <mergeCell ref="L90:M90"/>
    <mergeCell ref="P90:Q90"/>
    <mergeCell ref="B91:C91"/>
    <mergeCell ref="I91:J91"/>
    <mergeCell ref="L91:M91"/>
    <mergeCell ref="P91:Q91"/>
    <mergeCell ref="B92:C92"/>
    <mergeCell ref="I92:J92"/>
    <mergeCell ref="L92:M92"/>
    <mergeCell ref="P92:Q92"/>
    <mergeCell ref="B93:C93"/>
    <mergeCell ref="I93:J93"/>
    <mergeCell ref="L93:M93"/>
    <mergeCell ref="P93:Q93"/>
    <mergeCell ref="B94:C94"/>
    <mergeCell ref="I94:J94"/>
    <mergeCell ref="L94:M94"/>
    <mergeCell ref="P94:Q94"/>
    <mergeCell ref="B95:C95"/>
    <mergeCell ref="I95:J95"/>
    <mergeCell ref="L95:M95"/>
    <mergeCell ref="P95:Q95"/>
    <mergeCell ref="B96:C96"/>
    <mergeCell ref="I96:J96"/>
    <mergeCell ref="L96:M96"/>
    <mergeCell ref="P96:Q96"/>
    <mergeCell ref="B97:C97"/>
    <mergeCell ref="I97:J97"/>
    <mergeCell ref="L97:M97"/>
    <mergeCell ref="P97:Q97"/>
    <mergeCell ref="B98:C98"/>
    <mergeCell ref="I98:J98"/>
    <mergeCell ref="L98:M98"/>
    <mergeCell ref="P98:Q98"/>
    <mergeCell ref="B99:C99"/>
    <mergeCell ref="I99:J99"/>
    <mergeCell ref="L99:M99"/>
    <mergeCell ref="P99:Q99"/>
    <mergeCell ref="B100:C100"/>
    <mergeCell ref="I100:J100"/>
    <mergeCell ref="L100:M100"/>
    <mergeCell ref="P100:Q100"/>
    <mergeCell ref="B101:C101"/>
    <mergeCell ref="I101:J101"/>
    <mergeCell ref="L101:M101"/>
    <mergeCell ref="P101:Q101"/>
    <mergeCell ref="B102:C102"/>
    <mergeCell ref="I102:J102"/>
    <mergeCell ref="L102:M102"/>
    <mergeCell ref="P102:Q102"/>
    <mergeCell ref="B103:C103"/>
    <mergeCell ref="I103:J103"/>
    <mergeCell ref="L103:M103"/>
    <mergeCell ref="P103:Q103"/>
    <mergeCell ref="B104:C104"/>
    <mergeCell ref="I104:J104"/>
    <mergeCell ref="L104:M104"/>
    <mergeCell ref="P104:Q104"/>
    <mergeCell ref="A105:G105"/>
    <mergeCell ref="I105:J105"/>
    <mergeCell ref="L105:M105"/>
    <mergeCell ref="P105:Q105"/>
  </mergeCells>
  <pageMargins left="0.2" right="0.2" top="0.3" bottom="0.3" header="0.1" footer="0.1"/>
  <pageSetup paperSize="9" orientation="landscape" horizontalDpi="4294967295" verticalDpi="4294967295" scale="100" fitToWidth="1" fitToHeight="0"/>
  <headerFooter>
    <oddFooter>&amp;LGenerated by AYO Olsera&amp;CPage &amp;P of &amp;N&amp;R&amp;D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 Mei</vt:lpstr>
      <vt:lpstr>02 Mei</vt:lpstr>
      <vt:lpstr>03 Mei</vt:lpstr>
      <vt:lpstr>04 Mei</vt:lpstr>
      <vt:lpstr>05 Mei</vt:lpstr>
      <vt:lpstr>06 Mei</vt:lpstr>
      <vt:lpstr>07 Mei</vt:lpstr>
      <vt:lpstr>08 Mei</vt:lpstr>
      <vt:lpstr>09 Mei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 Olsera</dc:creator>
  <dc:title/>
  <dc:subject/>
  <dc:description/>
  <cp:keywords/>
  <cp:category/>
  <cp:lastModifiedBy>Unknown</cp:lastModifiedBy>
  <dcterms:created xsi:type="dcterms:W3CDTF">2026-07-13T08:06:06Z</dcterms:created>
  <dcterms:modified xsi:type="dcterms:W3CDTF">2026-07-13T08:06:06Z</dcterms:modified>
</cp:coreProperties>
</file>