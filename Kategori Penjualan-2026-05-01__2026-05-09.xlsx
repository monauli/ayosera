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ANGAN PADEL" state="visible" r:id="rId4"/>
    <sheet sheetId="2" name="LABERS" state="visible" r:id="rId5"/>
    <sheet sheetId="3" name="SEWA RAKET" state="visible" r:id="rId6"/>
    <sheet sheetId="4" name="MINUMAN" state="visible" r:id="rId7"/>
    <sheet sheetId="5" name="BOLA PADEL" state="visible" r:id="rId8"/>
    <sheet sheetId="6" name="LAPANGAN PICKLEBALL" state="visible" r:id="rId9"/>
    <sheet sheetId="7" name="GRIP" state="visible" r:id="rId10"/>
    <sheet sheetId="8" name="SEWA KERANJANG+BOLA" state="visible" r:id="rId11"/>
    <sheet sheetId="9" name="SNACK" state="visible" r:id="rId12"/>
    <sheet sheetId="10" name="SKORT WANITA" state="visible" r:id="rId13"/>
    <sheet sheetId="11" name="TOPI" state="visible" r:id="rId14"/>
    <sheet sheetId="12" name="KAOS KAKI" state="visible" r:id="rId15"/>
    <sheet sheetId="13" name="SALON" state="visible" r:id="rId16"/>
    <sheet sheetId="14" name="CELANA PRIA" state="visible" r:id="rId17"/>
  </sheets>
  <definedNames>
    <definedName name="_xlnm.Print_Area" localSheetId="0">'LAPANGAN PADEL'!$A1:$P109</definedName>
    <definedName name="_xlnm.Print_Area" localSheetId="1">'LABERS'!$A1:$P348</definedName>
    <definedName name="_xlnm.Print_Area" localSheetId="2">'SEWA RAKET'!$A1:$P190</definedName>
    <definedName name="_xlnm.Print_Area" localSheetId="3">'MINUMAN'!$A1:$P347</definedName>
    <definedName name="_xlnm.Print_Area" localSheetId="4">'BOLA PADEL'!$A1:$P78</definedName>
    <definedName name="_xlnm.Print_Area" localSheetId="5">'LAPANGAN PICKLEBALL'!$A1:$P28</definedName>
    <definedName name="_xlnm.Print_Area" localSheetId="6">'GRIP'!$A1:$P47</definedName>
    <definedName name="_xlnm.Print_Area" localSheetId="7">'SEWA KERANJANG+BOLA'!$A1:$P41</definedName>
    <definedName name="_xlnm.Print_Area" localSheetId="8">'SNACK'!$A1:$P61</definedName>
    <definedName name="_xlnm.Print_Area" localSheetId="9">'SKORT WANITA'!$A1:$P4</definedName>
    <definedName name="_xlnm.Print_Area" localSheetId="10">'TOPI'!$A1:$P4</definedName>
    <definedName name="_xlnm.Print_Area" localSheetId="11">'KAOS KAKI'!$A1:$P11</definedName>
    <definedName name="_xlnm.Print_Area" localSheetId="12">'SALON'!$A1:$P12</definedName>
    <definedName name="_xlnm.Print_Area" localSheetId="13">'CELANA PRIA'!$A1:$P4</definedName>
  </definedNames>
  <calcPr calcId="171027" fullCalcOnLoad="1"/>
</workbook>
</file>

<file path=xl/sharedStrings.xml><?xml version="1.0" encoding="utf-8"?>
<sst xmlns="http://schemas.openxmlformats.org/spreadsheetml/2006/main" count="9198" uniqueCount="1414">
  <si>
    <t>Item Penjualan : May 01, 2026 - May 01, 2026</t>
  </si>
  <si>
    <t>No. Pesanan</t>
  </si>
  <si>
    <t>Tanggal Jual</t>
  </si>
  <si>
    <t>Pelanggan</t>
  </si>
  <si>
    <t>Nomor Meja</t>
  </si>
  <si>
    <t>Penjualan Oleh</t>
  </si>
  <si>
    <t>No. Seri</t>
  </si>
  <si>
    <t>Item</t>
  </si>
  <si>
    <t>Qty</t>
  </si>
  <si>
    <t>Unit Pengukuran</t>
  </si>
  <si>
    <t>Total Pesanan</t>
  </si>
  <si>
    <t>Komisi</t>
  </si>
  <si>
    <t>Modal Produk</t>
  </si>
  <si>
    <t xml:space="preserve">Sudah termasuk
Pajak</t>
  </si>
  <si>
    <t>Nama Diskon</t>
  </si>
  <si>
    <t>Diskon</t>
  </si>
  <si>
    <t>Laba</t>
  </si>
  <si>
    <t>DF0226050100004098</t>
  </si>
  <si>
    <t xml:space="preserve">01-May-2026
13:23:57</t>
  </si>
  <si>
    <t/>
  </si>
  <si>
    <t>AMEL (DINE IN)</t>
  </si>
  <si>
    <t>COURT FEES - 9,</t>
  </si>
  <si>
    <t>COURT FEES - 1</t>
  </si>
  <si>
    <t>DF0226050100004123</t>
  </si>
  <si>
    <t xml:space="preserve">01-May-2026
18:37:59</t>
  </si>
  <si>
    <t>NISA (DINE IN)</t>
  </si>
  <si>
    <t>COURT FEES - 5</t>
  </si>
  <si>
    <t>COURT FEES - 6</t>
  </si>
  <si>
    <t>DF0226050100004128</t>
  </si>
  <si>
    <t xml:space="preserve">01-May-2026
20:07:49</t>
  </si>
  <si>
    <t>COURT FEES - 2</t>
  </si>
  <si>
    <t>DF0226050100004129</t>
  </si>
  <si>
    <t xml:space="preserve">01-May-2026
20:11:26</t>
  </si>
  <si>
    <t>COURT FEES - 7</t>
  </si>
  <si>
    <t>Total - IDR</t>
  </si>
  <si>
    <t>Item Penjualan : May 02, 2026 - May 02, 2026</t>
  </si>
  <si>
    <t>DF0226050200004142</t>
  </si>
  <si>
    <t xml:space="preserve">02-May-2026
08:14:48</t>
  </si>
  <si>
    <t>DF0226050200004165</t>
  </si>
  <si>
    <t xml:space="preserve">02-May-2026
11:53:45</t>
  </si>
  <si>
    <t>DF0226050200004170</t>
  </si>
  <si>
    <t xml:space="preserve">02-May-2026
12:52:02</t>
  </si>
  <si>
    <t>DF0226050200004198</t>
  </si>
  <si>
    <t xml:space="preserve">02-May-2026
17:35:47</t>
  </si>
  <si>
    <t>COURT FEES - 3</t>
  </si>
  <si>
    <t>DF0226050200004216</t>
  </si>
  <si>
    <t xml:space="preserve">02-May-2026
19:50:34</t>
  </si>
  <si>
    <t>COURT FEES - 4</t>
  </si>
  <si>
    <t>DF0226050200004219</t>
  </si>
  <si>
    <t xml:space="preserve">02-May-2026
20:16:51</t>
  </si>
  <si>
    <t>DF0226050200004225</t>
  </si>
  <si>
    <t xml:space="preserve">02-May-2026
21:50:04</t>
  </si>
  <si>
    <t>ASYFA (DINE IN)</t>
  </si>
  <si>
    <t>Item Penjualan : May 03, 2026 - May 03, 2026</t>
  </si>
  <si>
    <t>DF0226050300004297</t>
  </si>
  <si>
    <t xml:space="preserve">03-May-2026
17:22:39</t>
  </si>
  <si>
    <t>DF0226050300004309</t>
  </si>
  <si>
    <t xml:space="preserve">03-May-2026
20:45:11</t>
  </si>
  <si>
    <t>DF0226050300004318</t>
  </si>
  <si>
    <t xml:space="preserve">03-May-2026
22:46:37</t>
  </si>
  <si>
    <t>Item Penjualan : May 04, 2026 - May 04, 2026</t>
  </si>
  <si>
    <t>DF0226050400004354</t>
  </si>
  <si>
    <t xml:space="preserve">04-May-2026
16:46:38</t>
  </si>
  <si>
    <t>DF0226050400004355</t>
  </si>
  <si>
    <t xml:space="preserve">04-May-2026
16:48:36</t>
  </si>
  <si>
    <t>Item Penjualan : May 05, 2026 - May 05, 2026</t>
  </si>
  <si>
    <t>DF0226050500004387</t>
  </si>
  <si>
    <t xml:space="preserve">05-May-2026
10:28:47</t>
  </si>
  <si>
    <t>DF0226050500004402</t>
  </si>
  <si>
    <t xml:space="preserve">05-May-2026
13:25:01</t>
  </si>
  <si>
    <t>DF0226050500004414</t>
  </si>
  <si>
    <t xml:space="preserve">05-May-2026
16:16:49</t>
  </si>
  <si>
    <t>DF0226050500004430</t>
  </si>
  <si>
    <t xml:space="preserve">05-May-2026
20:40:08</t>
  </si>
  <si>
    <t>DF0226050500004434</t>
  </si>
  <si>
    <t xml:space="preserve">05-May-2026
21:14:47</t>
  </si>
  <si>
    <t>DF0226050500004435</t>
  </si>
  <si>
    <t xml:space="preserve">05-May-2026
21:16:13</t>
  </si>
  <si>
    <t>DF0226050500004436</t>
  </si>
  <si>
    <t xml:space="preserve">05-May-2026
21:23:03</t>
  </si>
  <si>
    <t>Item Penjualan : May 06, 2026 - May 06, 2026</t>
  </si>
  <si>
    <t>DF0226050600004447</t>
  </si>
  <si>
    <t xml:space="preserve">06-May-2026
08:36:47</t>
  </si>
  <si>
    <t>COURT FEES - -,</t>
  </si>
  <si>
    <t>DF0226050600004459</t>
  </si>
  <si>
    <t xml:space="preserve">06-May-2026
10:48:09</t>
  </si>
  <si>
    <t>COURT FEES - .</t>
  </si>
  <si>
    <t>DF0226050600004476</t>
  </si>
  <si>
    <t xml:space="preserve">06-May-2026
17:17:35</t>
  </si>
  <si>
    <t>DF0226050600004489</t>
  </si>
  <si>
    <t xml:space="preserve">06-May-2026
19:05:55</t>
  </si>
  <si>
    <t>DF0226050600004498</t>
  </si>
  <si>
    <t xml:space="preserve">06-May-2026
20:32:27</t>
  </si>
  <si>
    <t>DF0226050600004499</t>
  </si>
  <si>
    <t xml:space="preserve">06-May-2026
20:46:48</t>
  </si>
  <si>
    <t>DF0226050600004502</t>
  </si>
  <si>
    <t xml:space="preserve">06-May-2026
21:06:50</t>
  </si>
  <si>
    <t>DF0226050600004507</t>
  </si>
  <si>
    <t xml:space="preserve">06-May-2026
23:03:42</t>
  </si>
  <si>
    <t>Item Penjualan : May 07, 2026 - May 07, 2026</t>
  </si>
  <si>
    <t>DF0226050700004516</t>
  </si>
  <si>
    <t xml:space="preserve">07-May-2026
11:16:32</t>
  </si>
  <si>
    <t>DF0226050700004518</t>
  </si>
  <si>
    <t xml:space="preserve">07-May-2026
11:42:28</t>
  </si>
  <si>
    <t>DF0226050700004530</t>
  </si>
  <si>
    <t xml:space="preserve">07-May-2026
13:48:05</t>
  </si>
  <si>
    <t>DF0226050700004546</t>
  </si>
  <si>
    <t xml:space="preserve">07-May-2026
19:48:18</t>
  </si>
  <si>
    <t>DF0226050700004549</t>
  </si>
  <si>
    <t xml:space="preserve">07-May-2026
21:20:23</t>
  </si>
  <si>
    <t>DF0226050700004554</t>
  </si>
  <si>
    <t xml:space="preserve">07-May-2026
22:55:36</t>
  </si>
  <si>
    <t>Item Penjualan : May 08, 2026 - May 08, 2026</t>
  </si>
  <si>
    <t>DF0226050800004577</t>
  </si>
  <si>
    <t xml:space="preserve">08-May-2026
13:01:27</t>
  </si>
  <si>
    <t>DF0226050800004580</t>
  </si>
  <si>
    <t xml:space="preserve">08-May-2026
13:20:10</t>
  </si>
  <si>
    <t>DF0226050800004608</t>
  </si>
  <si>
    <t xml:space="preserve">08-May-2026
20:06:44</t>
  </si>
  <si>
    <t>DF0226050800004622</t>
  </si>
  <si>
    <t xml:space="preserve">08-May-2026
22:50:38</t>
  </si>
  <si>
    <t>COURT FEES - .,</t>
  </si>
  <si>
    <t>DF0226050800004624</t>
  </si>
  <si>
    <t xml:space="preserve">08-May-2026
23:16:12</t>
  </si>
  <si>
    <t>Item Penjualan : May 09, 2026 - May 09, 2026</t>
  </si>
  <si>
    <t>DF0226050900004643</t>
  </si>
  <si>
    <t xml:space="preserve">09-May-2026
11:31:41</t>
  </si>
  <si>
    <t>DF0226050900004644</t>
  </si>
  <si>
    <t xml:space="preserve">09-May-2026
11:32:37</t>
  </si>
  <si>
    <t>DF0226050900004695</t>
  </si>
  <si>
    <t xml:space="preserve">09-May-2026
16:17:49</t>
  </si>
  <si>
    <t>DF0226050100004070</t>
  </si>
  <si>
    <t xml:space="preserve">01-May-2026
08:35:32</t>
  </si>
  <si>
    <t>ICED LYCHEE TEA</t>
  </si>
  <si>
    <t>DF0226050100004072</t>
  </si>
  <si>
    <t xml:space="preserve">01-May-2026
08:43:44</t>
  </si>
  <si>
    <t>ICED LEMON TEA</t>
  </si>
  <si>
    <t>DF0226050100004075</t>
  </si>
  <si>
    <t xml:space="preserve">01-May-2026
09:38:23</t>
  </si>
  <si>
    <t>BLACK - Ice</t>
  </si>
  <si>
    <t>ES KOPI SUSU</t>
  </si>
  <si>
    <t>DF0226050100004076</t>
  </si>
  <si>
    <t xml:space="preserve">01-May-2026
09:41:49</t>
  </si>
  <si>
    <t>BLACK - Hot</t>
  </si>
  <si>
    <t>DF0226050100004078</t>
  </si>
  <si>
    <t xml:space="preserve">01-May-2026
09:54:00</t>
  </si>
  <si>
    <t>DF0226050100004079</t>
  </si>
  <si>
    <t xml:space="preserve">01-May-2026
09:57:52</t>
  </si>
  <si>
    <t>DF0226050100004081</t>
  </si>
  <si>
    <t xml:space="preserve">01-May-2026
10:12:04</t>
  </si>
  <si>
    <t>ESPRESSO</t>
  </si>
  <si>
    <t>DF0226050100004083</t>
  </si>
  <si>
    <t xml:space="preserve">01-May-2026
11:01:41</t>
  </si>
  <si>
    <t>WHITE - Ice Latte</t>
  </si>
  <si>
    <t>DF0226050100004086</t>
  </si>
  <si>
    <t xml:space="preserve">01-May-2026
11:16:45</t>
  </si>
  <si>
    <t>DF0226050100004089</t>
  </si>
  <si>
    <t xml:space="preserve">01-May-2026
11:34:32</t>
  </si>
  <si>
    <t>DF0226050100004091</t>
  </si>
  <si>
    <t xml:space="preserve">01-May-2026
12:36:54</t>
  </si>
  <si>
    <t>BROWNIES</t>
  </si>
  <si>
    <t>DF0226050100004094</t>
  </si>
  <si>
    <t xml:space="preserve">01-May-2026
13:02:05</t>
  </si>
  <si>
    <t>DF0226050100004099</t>
  </si>
  <si>
    <t xml:space="preserve">01-May-2026
13:26:06</t>
  </si>
  <si>
    <t>DF0226050100004100</t>
  </si>
  <si>
    <t xml:space="preserve">01-May-2026
13:37:35</t>
  </si>
  <si>
    <t>INDOMIE GORENG FULL PROTEIN</t>
  </si>
  <si>
    <t>DF0226050100004102</t>
  </si>
  <si>
    <t xml:space="preserve">01-May-2026
13:45:44</t>
  </si>
  <si>
    <t>APPLE JUICE ( FRESH APPLE)</t>
  </si>
  <si>
    <t>DF0226050100004107</t>
  </si>
  <si>
    <t xml:space="preserve">01-May-2026
14:13:28</t>
  </si>
  <si>
    <t>MATCHA - Ice</t>
  </si>
  <si>
    <t>DF0226050100004108</t>
  </si>
  <si>
    <t xml:space="preserve">01-May-2026
14:24:05</t>
  </si>
  <si>
    <t>WHITE - Hot Latte</t>
  </si>
  <si>
    <t>DF0226050100004109</t>
  </si>
  <si>
    <t xml:space="preserve">01-May-2026
15:19:56</t>
  </si>
  <si>
    <t>CHOCOLATE - Ice</t>
  </si>
  <si>
    <t>DF0226050100004112</t>
  </si>
  <si>
    <t xml:space="preserve">01-May-2026
16:06:22</t>
  </si>
  <si>
    <t>DF0226050100004118</t>
  </si>
  <si>
    <t xml:space="preserve">01-May-2026
16:48:57</t>
  </si>
  <si>
    <t>DF0226050100004122</t>
  </si>
  <si>
    <t xml:space="preserve">01-May-2026
18:18:39</t>
  </si>
  <si>
    <t>INDOMIE GORENG + TELUR</t>
  </si>
  <si>
    <t>DF0226050100004126</t>
  </si>
  <si>
    <t xml:space="preserve">01-May-2026
19:36:20</t>
  </si>
  <si>
    <t>DF0226050100004134</t>
  </si>
  <si>
    <t xml:space="preserve">01-May-2026
21:27:03</t>
  </si>
  <si>
    <t>DF0226050200004144</t>
  </si>
  <si>
    <t xml:space="preserve">02-May-2026
08:48:10</t>
  </si>
  <si>
    <t>DF0226050200004145</t>
  </si>
  <si>
    <t xml:space="preserve">02-May-2026
08:51:44</t>
  </si>
  <si>
    <t>DF0226050200004147</t>
  </si>
  <si>
    <t xml:space="preserve">02-May-2026
09:02:06</t>
  </si>
  <si>
    <t>DF0226050200004149</t>
  </si>
  <si>
    <t xml:space="preserve">02-May-2026
09:09:17</t>
  </si>
  <si>
    <t>DF0226050200004150</t>
  </si>
  <si>
    <t xml:space="preserve">02-May-2026
09:21:06</t>
  </si>
  <si>
    <t>DF0226050200004153</t>
  </si>
  <si>
    <t xml:space="preserve">02-May-2026
09:51:52</t>
  </si>
  <si>
    <t>DF0226050200004154</t>
  </si>
  <si>
    <t xml:space="preserve">02-May-2026
09:58:59</t>
  </si>
  <si>
    <t>DF0226050200004155</t>
  </si>
  <si>
    <t xml:space="preserve">02-May-2026
10:01:21</t>
  </si>
  <si>
    <t>DF0226050200004156</t>
  </si>
  <si>
    <t xml:space="preserve">02-May-2026
10:02:21</t>
  </si>
  <si>
    <t>MATCHA - Hot</t>
  </si>
  <si>
    <t>DF0226050200004157</t>
  </si>
  <si>
    <t xml:space="preserve">02-May-2026
10:03:32</t>
  </si>
  <si>
    <t>DF0226050200004158</t>
  </si>
  <si>
    <t xml:space="preserve">02-May-2026
10:15:07</t>
  </si>
  <si>
    <t>DF0226050200004162</t>
  </si>
  <si>
    <t xml:space="preserve">02-May-2026
11:05:25</t>
  </si>
  <si>
    <t>DF0226050200004164</t>
  </si>
  <si>
    <t xml:space="preserve">02-May-2026
11:23:09</t>
  </si>
  <si>
    <t>DF0226050200004176</t>
  </si>
  <si>
    <t xml:space="preserve">02-May-2026
14:37:08</t>
  </si>
  <si>
    <t>DF0226050200004178</t>
  </si>
  <si>
    <t xml:space="preserve">02-May-2026
14:51:10</t>
  </si>
  <si>
    <t>DF0226050200004179</t>
  </si>
  <si>
    <t xml:space="preserve">02-May-2026
15:02:09</t>
  </si>
  <si>
    <t>DF0226050200004187</t>
  </si>
  <si>
    <t xml:space="preserve">02-May-2026
15:42:33</t>
  </si>
  <si>
    <t>DF0226050200004192</t>
  </si>
  <si>
    <t xml:space="preserve">02-May-2026
16:23:08</t>
  </si>
  <si>
    <t>DF0226050200004194</t>
  </si>
  <si>
    <t xml:space="preserve">02-May-2026
16:55:10</t>
  </si>
  <si>
    <t>DF0226050200004195</t>
  </si>
  <si>
    <t xml:space="preserve">02-May-2026
17:08:47</t>
  </si>
  <si>
    <t>DF0226050200004202</t>
  </si>
  <si>
    <t xml:space="preserve">02-May-2026
18:06:10</t>
  </si>
  <si>
    <t>ORANGE JUICE ( FRESH ORANGE)</t>
  </si>
  <si>
    <t>DF0226050200004205</t>
  </si>
  <si>
    <t xml:space="preserve">02-May-2026
18:45:52</t>
  </si>
  <si>
    <t>DF0226050200004207</t>
  </si>
  <si>
    <t xml:space="preserve">02-May-2026
19:00:27</t>
  </si>
  <si>
    <t>DF0226050200004208</t>
  </si>
  <si>
    <t xml:space="preserve">02-May-2026
19:02:15</t>
  </si>
  <si>
    <t>DF0226050200004210</t>
  </si>
  <si>
    <t xml:space="preserve">02-May-2026
19:16:12</t>
  </si>
  <si>
    <t>DF0226050200004214</t>
  </si>
  <si>
    <t xml:space="preserve">02-May-2026
19:43:07</t>
  </si>
  <si>
    <t>DF0226050200004215</t>
  </si>
  <si>
    <t xml:space="preserve">02-May-2026
19:44:56</t>
  </si>
  <si>
    <t>DF0226050200004217</t>
  </si>
  <si>
    <t xml:space="preserve">02-May-2026
19:52:12</t>
  </si>
  <si>
    <t>INDOMIE REBUS+ TELUR</t>
  </si>
  <si>
    <t>DF0226050200004222</t>
  </si>
  <si>
    <t xml:space="preserve">02-May-2026
20:41:03</t>
  </si>
  <si>
    <t>DF0226050300004235</t>
  </si>
  <si>
    <t xml:space="preserve">03-May-2026
08:42:15</t>
  </si>
  <si>
    <t>DF0226050300004236</t>
  </si>
  <si>
    <t xml:space="preserve">03-May-2026
08:47:18</t>
  </si>
  <si>
    <t>DF0226050300004238</t>
  </si>
  <si>
    <t xml:space="preserve">03-May-2026
09:16:52</t>
  </si>
  <si>
    <t>DF0226050300004239</t>
  </si>
  <si>
    <t xml:space="preserve">03-May-2026
09:19:54</t>
  </si>
  <si>
    <t>DF0226050300004242</t>
  </si>
  <si>
    <t xml:space="preserve">03-May-2026
09:41:07</t>
  </si>
  <si>
    <t>DF0226050300004243</t>
  </si>
  <si>
    <t xml:space="preserve">03-May-2026
09:57:38</t>
  </si>
  <si>
    <t>DF0226050300004244</t>
  </si>
  <si>
    <t xml:space="preserve">03-May-2026
10:04:01</t>
  </si>
  <si>
    <t>DF0226050300004246</t>
  </si>
  <si>
    <t xml:space="preserve">03-May-2026
10:18:12</t>
  </si>
  <si>
    <t>DF0226050300004248</t>
  </si>
  <si>
    <t xml:space="preserve">03-May-2026
10:53:45</t>
  </si>
  <si>
    <t>DF0226050300004249</t>
  </si>
  <si>
    <t xml:space="preserve">03-May-2026
10:55:31</t>
  </si>
  <si>
    <t>DF0226050300004251</t>
  </si>
  <si>
    <t xml:space="preserve">03-May-2026
10:56:54</t>
  </si>
  <si>
    <t>DF0226050300004252</t>
  </si>
  <si>
    <t xml:space="preserve">03-May-2026
11:15:42</t>
  </si>
  <si>
    <t>DF0226050300004257</t>
  </si>
  <si>
    <t xml:space="preserve">03-May-2026
12:27:40</t>
  </si>
  <si>
    <t>WHITE - Hot Cappucino</t>
  </si>
  <si>
    <t>DF0226050300004258</t>
  </si>
  <si>
    <t xml:space="preserve">03-May-2026
12:35:39</t>
  </si>
  <si>
    <t>DF0226050300004268</t>
  </si>
  <si>
    <t xml:space="preserve">03-May-2026
13:27:31</t>
  </si>
  <si>
    <t>DF0226050300004274</t>
  </si>
  <si>
    <t xml:space="preserve">03-May-2026
14:50:43</t>
  </si>
  <si>
    <t>DF0226050300004277</t>
  </si>
  <si>
    <t xml:space="preserve">03-May-2026
14:56:19</t>
  </si>
  <si>
    <t>DF0226050300004278</t>
  </si>
  <si>
    <t xml:space="preserve">03-May-2026
14:58:11</t>
  </si>
  <si>
    <t>DF0226050300004281</t>
  </si>
  <si>
    <t xml:space="preserve">03-May-2026
15:03:05</t>
  </si>
  <si>
    <t>DF0226050300004286</t>
  </si>
  <si>
    <t xml:space="preserve">03-May-2026
15:28:55</t>
  </si>
  <si>
    <t>DF0226050300004290</t>
  </si>
  <si>
    <t xml:space="preserve">03-May-2026
16:31:50</t>
  </si>
  <si>
    <t>DF0226050300004291</t>
  </si>
  <si>
    <t xml:space="preserve">03-May-2026
16:39:26</t>
  </si>
  <si>
    <t>DF0226050300004292</t>
  </si>
  <si>
    <t xml:space="preserve">03-May-2026
16:51:43</t>
  </si>
  <si>
    <t>DF0226050300004301</t>
  </si>
  <si>
    <t xml:space="preserve">03-May-2026
17:58:30</t>
  </si>
  <si>
    <t>DF0226050300004304</t>
  </si>
  <si>
    <t xml:space="preserve">03-May-2026
19:16:24</t>
  </si>
  <si>
    <t>DF0226050300004305</t>
  </si>
  <si>
    <t xml:space="preserve">03-May-2026
19:23:01</t>
  </si>
  <si>
    <t>DF0226050400004325</t>
  </si>
  <si>
    <t xml:space="preserve">04-May-2026
08:46:38</t>
  </si>
  <si>
    <t>DF0226050400004326</t>
  </si>
  <si>
    <t xml:space="preserve">04-May-2026
08:55:58</t>
  </si>
  <si>
    <t>DF0226050400004328</t>
  </si>
  <si>
    <t xml:space="preserve">04-May-2026
09:27:13</t>
  </si>
  <si>
    <t>DF0226050400004329</t>
  </si>
  <si>
    <t xml:space="preserve">04-May-2026
09:34:41</t>
  </si>
  <si>
    <t>DF0226050400004330</t>
  </si>
  <si>
    <t xml:space="preserve">04-May-2026
09:36:22</t>
  </si>
  <si>
    <t>DF0226050400004331</t>
  </si>
  <si>
    <t xml:space="preserve">04-May-2026
10:10:21</t>
  </si>
  <si>
    <t>DF0226050400004332</t>
  </si>
  <si>
    <t xml:space="preserve">04-May-2026
10:42:50</t>
  </si>
  <si>
    <t>DF0226050400004333</t>
  </si>
  <si>
    <t xml:space="preserve">04-May-2026
10:44:53</t>
  </si>
  <si>
    <t>DF0226050400004334</t>
  </si>
  <si>
    <t xml:space="preserve">04-May-2026
10:45:43</t>
  </si>
  <si>
    <t>DF0226050400004335</t>
  </si>
  <si>
    <t xml:space="preserve">04-May-2026
11:05:07</t>
  </si>
  <si>
    <t>DF0226050400004336</t>
  </si>
  <si>
    <t xml:space="preserve">04-May-2026
11:39:14</t>
  </si>
  <si>
    <t>DF0226050400004340</t>
  </si>
  <si>
    <t xml:space="preserve">04-May-2026
13:21:30</t>
  </si>
  <si>
    <t>DF0226050400004341</t>
  </si>
  <si>
    <t xml:space="preserve">04-May-2026
13:43:55</t>
  </si>
  <si>
    <t>DF0226050400004342</t>
  </si>
  <si>
    <t xml:space="preserve">04-May-2026
13:56:01</t>
  </si>
  <si>
    <t>DF0226050400004348</t>
  </si>
  <si>
    <t xml:space="preserve">04-May-2026
14:57:14</t>
  </si>
  <si>
    <t>DF0226050400004349</t>
  </si>
  <si>
    <t xml:space="preserve">04-May-2026
15:33:20</t>
  </si>
  <si>
    <t>INDOMIE REBUS FULL PROTEIN</t>
  </si>
  <si>
    <t>PANDAN COCONUT</t>
  </si>
  <si>
    <t>DF0226050400004350</t>
  </si>
  <si>
    <t xml:space="preserve">04-May-2026
15:39:47</t>
  </si>
  <si>
    <t>DF0226050400004356</t>
  </si>
  <si>
    <t xml:space="preserve">04-May-2026
17:33:39</t>
  </si>
  <si>
    <t>DF0226050500004376</t>
  </si>
  <si>
    <t xml:space="preserve">05-May-2026
08:20:53</t>
  </si>
  <si>
    <t>DF0226050500004378</t>
  </si>
  <si>
    <t xml:space="preserve">05-May-2026
08:32:18</t>
  </si>
  <si>
    <t>DF0226050500004379</t>
  </si>
  <si>
    <t xml:space="preserve">05-May-2026
08:50:09</t>
  </si>
  <si>
    <t>DF0226050500004381</t>
  </si>
  <si>
    <t xml:space="preserve">05-May-2026
09:10:58</t>
  </si>
  <si>
    <t>DF0226050500004386</t>
  </si>
  <si>
    <t xml:space="preserve">05-May-2026
09:46:45</t>
  </si>
  <si>
    <t>DF0226050500004388</t>
  </si>
  <si>
    <t xml:space="preserve">05-May-2026
10:30:43</t>
  </si>
  <si>
    <t>DF0226050500004390</t>
  </si>
  <si>
    <t xml:space="preserve">05-May-2026
11:01:01</t>
  </si>
  <si>
    <t>DF0226050500004391</t>
  </si>
  <si>
    <t xml:space="preserve">05-May-2026
11:16:37</t>
  </si>
  <si>
    <t>DF0226050500004393</t>
  </si>
  <si>
    <t xml:space="preserve">05-May-2026
11:22:03</t>
  </si>
  <si>
    <t>DF0226050500004394</t>
  </si>
  <si>
    <t xml:space="preserve">05-May-2026
11:23:22</t>
  </si>
  <si>
    <t>DF0226050500004395</t>
  </si>
  <si>
    <t xml:space="preserve">05-May-2026
11:45:50</t>
  </si>
  <si>
    <t>DF0226050500004398</t>
  </si>
  <si>
    <t xml:space="preserve">05-May-2026
12:39:54</t>
  </si>
  <si>
    <t>DF0226050500004399</t>
  </si>
  <si>
    <t xml:space="preserve">05-May-2026
12:49:18</t>
  </si>
  <si>
    <t>DF0226050500004405</t>
  </si>
  <si>
    <t xml:space="preserve">05-May-2026
14:56:46</t>
  </si>
  <si>
    <t>DF0226050500004406</t>
  </si>
  <si>
    <t xml:space="preserve">05-May-2026
15:05:28</t>
  </si>
  <si>
    <t>DF0226050500004407</t>
  </si>
  <si>
    <t xml:space="preserve">05-May-2026
15:08:52</t>
  </si>
  <si>
    <t>DF0226050500004409</t>
  </si>
  <si>
    <t xml:space="preserve">05-May-2026
15:24:36</t>
  </si>
  <si>
    <t>DF0226050500004410</t>
  </si>
  <si>
    <t xml:space="preserve">05-May-2026
15:29:29</t>
  </si>
  <si>
    <t>DF0226050500004411</t>
  </si>
  <si>
    <t xml:space="preserve">05-May-2026
15:37:39</t>
  </si>
  <si>
    <t>DF0226050500004412</t>
  </si>
  <si>
    <t xml:space="preserve">05-May-2026
16:11:45</t>
  </si>
  <si>
    <t>DF0226050500004413</t>
  </si>
  <si>
    <t xml:space="preserve">05-May-2026
16:12:56</t>
  </si>
  <si>
    <t>DF0226050500004417</t>
  </si>
  <si>
    <t xml:space="preserve">05-May-2026
16:48:34</t>
  </si>
  <si>
    <t>DF0226050500004419</t>
  </si>
  <si>
    <t xml:space="preserve">05-May-2026
17:01:26</t>
  </si>
  <si>
    <t>DF0226050500004422</t>
  </si>
  <si>
    <t xml:space="preserve">05-May-2026
19:15:16</t>
  </si>
  <si>
    <t>DF0226050500004423</t>
  </si>
  <si>
    <t xml:space="preserve">05-May-2026
19:31:51</t>
  </si>
  <si>
    <t>DF0226050500004426</t>
  </si>
  <si>
    <t xml:space="preserve">05-May-2026
19:46:33</t>
  </si>
  <si>
    <t>DF0226050500004431</t>
  </si>
  <si>
    <t xml:space="preserve">05-May-2026
20:42:22</t>
  </si>
  <si>
    <t>DF0226050600004448</t>
  </si>
  <si>
    <t xml:space="preserve">06-May-2026
08:44:14</t>
  </si>
  <si>
    <t>DF0226050600004454</t>
  </si>
  <si>
    <t xml:space="preserve">06-May-2026
09:40:29</t>
  </si>
  <si>
    <t>DF0226050600004455</t>
  </si>
  <si>
    <t xml:space="preserve">06-May-2026
09:42:14</t>
  </si>
  <si>
    <t>DF0226050600004456</t>
  </si>
  <si>
    <t xml:space="preserve">06-May-2026
10:01:41</t>
  </si>
  <si>
    <t>DF0226050600004458</t>
  </si>
  <si>
    <t xml:space="preserve">06-May-2026
10:18:49</t>
  </si>
  <si>
    <t>DF0226050600004464</t>
  </si>
  <si>
    <t xml:space="preserve">06-May-2026
12:01:00</t>
  </si>
  <si>
    <t>DF0226050600004465</t>
  </si>
  <si>
    <t xml:space="preserve">06-May-2026
12:09:23</t>
  </si>
  <si>
    <t>DF0226050600004466</t>
  </si>
  <si>
    <t xml:space="preserve">06-May-2026
12:12:32</t>
  </si>
  <si>
    <t>DF0226050600004468</t>
  </si>
  <si>
    <t xml:space="preserve">06-May-2026
12:55:55</t>
  </si>
  <si>
    <t>DF0226050600004469</t>
  </si>
  <si>
    <t xml:space="preserve">06-May-2026
13:42:04</t>
  </si>
  <si>
    <t>DF0226050600004472</t>
  </si>
  <si>
    <t xml:space="preserve">06-May-2026
14:29:49</t>
  </si>
  <si>
    <t>DF0226050600004474</t>
  </si>
  <si>
    <t xml:space="preserve">06-May-2026
16:16:31</t>
  </si>
  <si>
    <t>DF0226050600004475</t>
  </si>
  <si>
    <t xml:space="preserve">06-May-2026
17:12:00</t>
  </si>
  <si>
    <t>DF0226050600004477</t>
  </si>
  <si>
    <t xml:space="preserve">06-May-2026
17:25:30</t>
  </si>
  <si>
    <t>DF0226050600004478</t>
  </si>
  <si>
    <t xml:space="preserve">06-May-2026
17:28:15</t>
  </si>
  <si>
    <t>DF0226050600004479</t>
  </si>
  <si>
    <t xml:space="preserve">06-May-2026
17:36:00</t>
  </si>
  <si>
    <t>DF0226050600004487</t>
  </si>
  <si>
    <t xml:space="preserve">06-May-2026
19:00:16</t>
  </si>
  <si>
    <t>DF0226050600004488</t>
  </si>
  <si>
    <t xml:space="preserve">06-May-2026
19:03:23</t>
  </si>
  <si>
    <t>DF0226050600004491</t>
  </si>
  <si>
    <t xml:space="preserve">06-May-2026
19:41:18</t>
  </si>
  <si>
    <t>DF0226050600004500</t>
  </si>
  <si>
    <t xml:space="preserve">06-May-2026
21:00:33</t>
  </si>
  <si>
    <t>DF0226050700004509</t>
  </si>
  <si>
    <t xml:space="preserve">07-May-2026
00:12:39</t>
  </si>
  <si>
    <t>DF0226050700004510</t>
  </si>
  <si>
    <t xml:space="preserve">07-May-2026
08:19:02</t>
  </si>
  <si>
    <t>DF0226050700004511</t>
  </si>
  <si>
    <t xml:space="preserve">07-May-2026
08:33:31</t>
  </si>
  <si>
    <t>DF0226050700004512</t>
  </si>
  <si>
    <t xml:space="preserve">07-May-2026
08:45:38</t>
  </si>
  <si>
    <t>DF0226050700004513</t>
  </si>
  <si>
    <t xml:space="preserve">07-May-2026
08:57:51</t>
  </si>
  <si>
    <t>DF0226050700004515</t>
  </si>
  <si>
    <t xml:space="preserve">07-May-2026
11:08:10</t>
  </si>
  <si>
    <t>DF0226050700004520</t>
  </si>
  <si>
    <t xml:space="preserve">07-May-2026
12:00:42</t>
  </si>
  <si>
    <t>DF0226050700004522</t>
  </si>
  <si>
    <t xml:space="preserve">07-May-2026
12:27:54</t>
  </si>
  <si>
    <t>DF0226050700004524</t>
  </si>
  <si>
    <t xml:space="preserve">07-May-2026
12:49:05</t>
  </si>
  <si>
    <t>DF0226050700004525</t>
  </si>
  <si>
    <t xml:space="preserve">07-May-2026
13:18:43</t>
  </si>
  <si>
    <t>DF0226050700004526</t>
  </si>
  <si>
    <t xml:space="preserve">07-May-2026
13:26:17</t>
  </si>
  <si>
    <t>DF0226050700004528</t>
  </si>
  <si>
    <t xml:space="preserve">07-May-2026
13:40:54</t>
  </si>
  <si>
    <t>DF0226050700004529</t>
  </si>
  <si>
    <t xml:space="preserve">07-May-2026
13:46:00</t>
  </si>
  <si>
    <t>DF0226050700004531</t>
  </si>
  <si>
    <t xml:space="preserve">07-May-2026
13:58:11</t>
  </si>
  <si>
    <t>DF0226050700004534</t>
  </si>
  <si>
    <t xml:space="preserve">07-May-2026
15:04:26</t>
  </si>
  <si>
    <t>DF0226050700004535</t>
  </si>
  <si>
    <t xml:space="preserve">07-May-2026
15:08:32</t>
  </si>
  <si>
    <t>DF0226050700004536</t>
  </si>
  <si>
    <t xml:space="preserve">07-May-2026
15:22:42</t>
  </si>
  <si>
    <t>DF0226050700004542</t>
  </si>
  <si>
    <t xml:space="preserve">07-May-2026
18:31:24</t>
  </si>
  <si>
    <t>DF0226050700004547</t>
  </si>
  <si>
    <t xml:space="preserve">07-May-2026
19:57:46</t>
  </si>
  <si>
    <t>DF0226050700004551</t>
  </si>
  <si>
    <t xml:space="preserve">07-May-2026
22:12:59</t>
  </si>
  <si>
    <t>DF0226050800004561</t>
  </si>
  <si>
    <t xml:space="preserve">08-May-2026
09:05:44</t>
  </si>
  <si>
    <t>DF0226050800004562</t>
  </si>
  <si>
    <t xml:space="preserve">08-May-2026
09:10:34</t>
  </si>
  <si>
    <t>DF0226050800004563</t>
  </si>
  <si>
    <t xml:space="preserve">08-May-2026
09:13:08</t>
  </si>
  <si>
    <t>DF0226050800004564</t>
  </si>
  <si>
    <t xml:space="preserve">08-May-2026
09:36:08</t>
  </si>
  <si>
    <t>DF0226050800004567</t>
  </si>
  <si>
    <t xml:space="preserve">08-May-2026
10:34:11</t>
  </si>
  <si>
    <t>DF0226050800004568</t>
  </si>
  <si>
    <t xml:space="preserve">08-May-2026
11:28:45</t>
  </si>
  <si>
    <t>DF0226050800004571</t>
  </si>
  <si>
    <t xml:space="preserve">08-May-2026
12:31:12</t>
  </si>
  <si>
    <t>DF0226050800004572</t>
  </si>
  <si>
    <t xml:space="preserve">08-May-2026
12:37:07</t>
  </si>
  <si>
    <t>DF0226050800004573</t>
  </si>
  <si>
    <t xml:space="preserve">08-May-2026
12:39:35</t>
  </si>
  <si>
    <t>DF0226050800004574</t>
  </si>
  <si>
    <t xml:space="preserve">08-May-2026
12:40:12</t>
  </si>
  <si>
    <t>DF0226050800004578</t>
  </si>
  <si>
    <t xml:space="preserve">08-May-2026
13:15:42</t>
  </si>
  <si>
    <t>DF0226050800004579</t>
  </si>
  <si>
    <t xml:space="preserve">08-May-2026
13:18:26</t>
  </si>
  <si>
    <t>DF0226050800004581</t>
  </si>
  <si>
    <t xml:space="preserve">08-May-2026
13:30:34</t>
  </si>
  <si>
    <t>DF0226050800004584</t>
  </si>
  <si>
    <t xml:space="preserve">08-May-2026
14:06:13</t>
  </si>
  <si>
    <t>DF0226050800004586</t>
  </si>
  <si>
    <t xml:space="preserve">08-May-2026
14:45:09</t>
  </si>
  <si>
    <t>DF0226050800004589</t>
  </si>
  <si>
    <t xml:space="preserve">08-May-2026
15:45:23</t>
  </si>
  <si>
    <t>DF0226050800004590</t>
  </si>
  <si>
    <t xml:space="preserve">08-May-2026
16:01:10</t>
  </si>
  <si>
    <t>DF0226050800004592</t>
  </si>
  <si>
    <t xml:space="preserve">08-May-2026
16:37:44</t>
  </si>
  <si>
    <t>DF0226050800004593</t>
  </si>
  <si>
    <t xml:space="preserve">08-May-2026
16:53:47</t>
  </si>
  <si>
    <t>DF0226050800004594</t>
  </si>
  <si>
    <t xml:space="preserve">08-May-2026
17:04:27</t>
  </si>
  <si>
    <t>DF0226050800004597</t>
  </si>
  <si>
    <t xml:space="preserve">08-May-2026
17:20:11</t>
  </si>
  <si>
    <t>DF0226050800004598</t>
  </si>
  <si>
    <t xml:space="preserve">08-May-2026
17:28:48</t>
  </si>
  <si>
    <t>DF0226050800004599</t>
  </si>
  <si>
    <t xml:space="preserve">08-May-2026
17:33:17</t>
  </si>
  <si>
    <t>CHOCOLATE - Hot</t>
  </si>
  <si>
    <t>DF0226050800004605</t>
  </si>
  <si>
    <t xml:space="preserve">08-May-2026
19:28:06</t>
  </si>
  <si>
    <t>DF0226050800004606</t>
  </si>
  <si>
    <t xml:space="preserve">08-May-2026
19:49:17</t>
  </si>
  <si>
    <t>DF0226050800004607</t>
  </si>
  <si>
    <t xml:space="preserve">08-May-2026
19:56:51</t>
  </si>
  <si>
    <t>DF0226050800004613</t>
  </si>
  <si>
    <t xml:space="preserve">08-May-2026
21:00:29</t>
  </si>
  <si>
    <t>DF0226050800004617</t>
  </si>
  <si>
    <t xml:space="preserve">08-May-2026
21:47:55</t>
  </si>
  <si>
    <t>DF0226050900004628</t>
  </si>
  <si>
    <t xml:space="preserve">09-May-2026
08:52:00</t>
  </si>
  <si>
    <t>DF0226050900004629</t>
  </si>
  <si>
    <t xml:space="preserve">09-May-2026
08:52:44</t>
  </si>
  <si>
    <t>DF0226050900004630</t>
  </si>
  <si>
    <t xml:space="preserve">09-May-2026
08:54:52</t>
  </si>
  <si>
    <t>DF0226050900004631</t>
  </si>
  <si>
    <t xml:space="preserve">09-May-2026
09:00:37</t>
  </si>
  <si>
    <t>DF0226050900004640</t>
  </si>
  <si>
    <t xml:space="preserve">09-May-2026
09:37:31</t>
  </si>
  <si>
    <t>DF0226050900004641</t>
  </si>
  <si>
    <t xml:space="preserve">09-May-2026
10:02:13</t>
  </si>
  <si>
    <t>DF0226050900004642</t>
  </si>
  <si>
    <t xml:space="preserve">09-May-2026
10:57:22</t>
  </si>
  <si>
    <t>DF0226050900004645</t>
  </si>
  <si>
    <t xml:space="preserve">09-May-2026
11:38:15</t>
  </si>
  <si>
    <t>DF0226050900004646</t>
  </si>
  <si>
    <t xml:space="preserve">09-May-2026
11:48:39</t>
  </si>
  <si>
    <t>DF0226050900004648</t>
  </si>
  <si>
    <t xml:space="preserve">09-May-2026
12:03:07</t>
  </si>
  <si>
    <t>DF0226050900004650</t>
  </si>
  <si>
    <t xml:space="preserve">09-May-2026
12:35:17</t>
  </si>
  <si>
    <t>DF0226050900004653</t>
  </si>
  <si>
    <t xml:space="preserve">09-May-2026
12:53:44</t>
  </si>
  <si>
    <t>DF0226050900004655</t>
  </si>
  <si>
    <t xml:space="preserve">09-May-2026
13:01:25</t>
  </si>
  <si>
    <t>DF0226050900004657</t>
  </si>
  <si>
    <t xml:space="preserve">09-May-2026
13:05:36</t>
  </si>
  <si>
    <t>DF0226050900004659</t>
  </si>
  <si>
    <t xml:space="preserve">09-May-2026
13:07:06</t>
  </si>
  <si>
    <t>DF0226050900004665</t>
  </si>
  <si>
    <t xml:space="preserve">09-May-2026
13:46:49</t>
  </si>
  <si>
    <t>DF0226050900004666</t>
  </si>
  <si>
    <t xml:space="preserve">09-May-2026
13:53:32</t>
  </si>
  <si>
    <t>DF0226050900004668</t>
  </si>
  <si>
    <t xml:space="preserve">09-May-2026
13:56:13</t>
  </si>
  <si>
    <t>DF0226050900004669</t>
  </si>
  <si>
    <t xml:space="preserve">09-May-2026
13:59:11</t>
  </si>
  <si>
    <t>DF0226050900004670</t>
  </si>
  <si>
    <t xml:space="preserve">09-May-2026
14:00:28</t>
  </si>
  <si>
    <t>DF0226050900004671</t>
  </si>
  <si>
    <t xml:space="preserve">09-May-2026
14:07:58</t>
  </si>
  <si>
    <t>DF0226050900004673</t>
  </si>
  <si>
    <t xml:space="preserve">09-May-2026
14:27:50</t>
  </si>
  <si>
    <t>DF0226050900004674</t>
  </si>
  <si>
    <t xml:space="preserve">09-May-2026
14:38:09</t>
  </si>
  <si>
    <t>DF0226050900004675</t>
  </si>
  <si>
    <t xml:space="preserve">09-May-2026
14:46:49</t>
  </si>
  <si>
    <t>DF0226050900004680</t>
  </si>
  <si>
    <t xml:space="preserve">09-May-2026
14:59:31</t>
  </si>
  <si>
    <t>DF0226050900004681</t>
  </si>
  <si>
    <t xml:space="preserve">09-May-2026
15:02:47</t>
  </si>
  <si>
    <t>DF0226050900004684</t>
  </si>
  <si>
    <t xml:space="preserve">09-May-2026
15:27:12</t>
  </si>
  <si>
    <t>DF0226050900004690</t>
  </si>
  <si>
    <t xml:space="preserve">09-May-2026
15:50:41</t>
  </si>
  <si>
    <t>DF0226050900004691</t>
  </si>
  <si>
    <t xml:space="preserve">09-May-2026
15:51:35</t>
  </si>
  <si>
    <t>DF0226050900004694</t>
  </si>
  <si>
    <t xml:space="preserve">09-May-2026
16:16:25</t>
  </si>
  <si>
    <t>DF0226050900004696</t>
  </si>
  <si>
    <t xml:space="preserve">09-May-2026
16:25:32</t>
  </si>
  <si>
    <t>DF0226050900004697</t>
  </si>
  <si>
    <t xml:space="preserve">09-May-2026
16:27:15</t>
  </si>
  <si>
    <t>DF0226050900004699</t>
  </si>
  <si>
    <t xml:space="preserve">09-May-2026
16:37:52</t>
  </si>
  <si>
    <t>DF0226050900004700</t>
  </si>
  <si>
    <t xml:space="preserve">09-May-2026
16:43:59</t>
  </si>
  <si>
    <t>DF0226050900004701</t>
  </si>
  <si>
    <t xml:space="preserve">09-May-2026
16:47:49</t>
  </si>
  <si>
    <t>DF0226050900004702</t>
  </si>
  <si>
    <t xml:space="preserve">09-May-2026
16:52:40</t>
  </si>
  <si>
    <t>DF0226050900004706</t>
  </si>
  <si>
    <t xml:space="preserve">09-May-2026
17:30:14</t>
  </si>
  <si>
    <t>DF0226050900004707</t>
  </si>
  <si>
    <t xml:space="preserve">09-May-2026
17:33:30</t>
  </si>
  <si>
    <t>DF0226050900004708</t>
  </si>
  <si>
    <t xml:space="preserve">09-May-2026
17:43:23</t>
  </si>
  <si>
    <t>DF0226050900004710</t>
  </si>
  <si>
    <t xml:space="preserve">09-May-2026
18:15:30</t>
  </si>
  <si>
    <t>DF0226050900004716</t>
  </si>
  <si>
    <t xml:space="preserve">09-May-2026
19:14:46</t>
  </si>
  <si>
    <t>DF0226050900004717</t>
  </si>
  <si>
    <t xml:space="preserve">09-May-2026
19:56:12</t>
  </si>
  <si>
    <t>DF0226050100004062</t>
  </si>
  <si>
    <t xml:space="preserve">01-May-2026
06:57:24</t>
  </si>
  <si>
    <t>SEWA RAKET - RAKET PREMIUM</t>
  </si>
  <si>
    <t>DF0226050100004063</t>
  </si>
  <si>
    <t xml:space="preserve">01-May-2026
07:00:11</t>
  </si>
  <si>
    <t>SEWA RAKET - RAKET STANDAR</t>
  </si>
  <si>
    <t>DF0226050100004064</t>
  </si>
  <si>
    <t xml:space="preserve">01-May-2026
07:04:59</t>
  </si>
  <si>
    <t>DF0226050100004065</t>
  </si>
  <si>
    <t xml:space="preserve">01-May-2026
07:47:37</t>
  </si>
  <si>
    <t>DF0226050100004068</t>
  </si>
  <si>
    <t xml:space="preserve">01-May-2026
08:11:42</t>
  </si>
  <si>
    <t>DF0226050100004069</t>
  </si>
  <si>
    <t xml:space="preserve">01-May-2026
08:20:09</t>
  </si>
  <si>
    <t>DF0226050100004073</t>
  </si>
  <si>
    <t xml:space="preserve">01-May-2026
08:59:09</t>
  </si>
  <si>
    <t>DF0226050100004077</t>
  </si>
  <si>
    <t xml:space="preserve">01-May-2026
09:42:58</t>
  </si>
  <si>
    <t>DF0226050100004080</t>
  </si>
  <si>
    <t xml:space="preserve">01-May-2026
10:01:49</t>
  </si>
  <si>
    <t>DF0226050100004092</t>
  </si>
  <si>
    <t xml:space="preserve">01-May-2026
12:46:05</t>
  </si>
  <si>
    <t>DF0226050100004093</t>
  </si>
  <si>
    <t xml:space="preserve">01-May-2026
12:57:20</t>
  </si>
  <si>
    <t>DF0226050100004103</t>
  </si>
  <si>
    <t xml:space="preserve">01-May-2026
13:52:32</t>
  </si>
  <si>
    <t>DF0226050100004113</t>
  </si>
  <si>
    <t xml:space="preserve">01-May-2026
16:09:00</t>
  </si>
  <si>
    <t>DF0226050100004116</t>
  </si>
  <si>
    <t xml:space="preserve">01-May-2026
16:33:29</t>
  </si>
  <si>
    <t>DF0226050100004117</t>
  </si>
  <si>
    <t xml:space="preserve">01-May-2026
16:46:31</t>
  </si>
  <si>
    <t>DF0226050200004136</t>
  </si>
  <si>
    <t xml:space="preserve">02-May-2026
06:57:57</t>
  </si>
  <si>
    <t>DF0226050200004138</t>
  </si>
  <si>
    <t xml:space="preserve">02-May-2026
07:16:43</t>
  </si>
  <si>
    <t>DF0226050200004139</t>
  </si>
  <si>
    <t xml:space="preserve">02-May-2026
07:20:14</t>
  </si>
  <si>
    <t>DF0226050200004141</t>
  </si>
  <si>
    <t xml:space="preserve">02-May-2026
07:58:44</t>
  </si>
  <si>
    <t>DF0226050200004143</t>
  </si>
  <si>
    <t xml:space="preserve">02-May-2026
08:45:41</t>
  </si>
  <si>
    <t>DF0226050200004148</t>
  </si>
  <si>
    <t xml:space="preserve">02-May-2026
09:03:41</t>
  </si>
  <si>
    <t>DF0226050200004163</t>
  </si>
  <si>
    <t xml:space="preserve">02-May-2026
11:08:36</t>
  </si>
  <si>
    <t>DF0226050200004169</t>
  </si>
  <si>
    <t xml:space="preserve">02-May-2026
12:50:35</t>
  </si>
  <si>
    <t>DF0226050200004171</t>
  </si>
  <si>
    <t xml:space="preserve">02-May-2026
13:12:14</t>
  </si>
  <si>
    <t>DF0226050200004172</t>
  </si>
  <si>
    <t xml:space="preserve">02-May-2026
13:20:02</t>
  </si>
  <si>
    <t>DF0226050200004173</t>
  </si>
  <si>
    <t xml:space="preserve">02-May-2026
13:40:46</t>
  </si>
  <si>
    <t>DF0226050200004175</t>
  </si>
  <si>
    <t xml:space="preserve">02-May-2026
13:56:47</t>
  </si>
  <si>
    <t>DF0226050200004180</t>
  </si>
  <si>
    <t xml:space="preserve">02-May-2026
15:09:22</t>
  </si>
  <si>
    <t>DF0226050200004181</t>
  </si>
  <si>
    <t xml:space="preserve">02-May-2026
15:10:29</t>
  </si>
  <si>
    <t>DF0226050200004185</t>
  </si>
  <si>
    <t xml:space="preserve">02-May-2026
15:29:49</t>
  </si>
  <si>
    <t>DF0226050200004189</t>
  </si>
  <si>
    <t xml:space="preserve">02-May-2026
15:59:46</t>
  </si>
  <si>
    <t>DF0226050200004191</t>
  </si>
  <si>
    <t xml:space="preserve">02-May-2026
16:18:23</t>
  </si>
  <si>
    <t>DF0226050200004201</t>
  </si>
  <si>
    <t xml:space="preserve">02-May-2026
17:58:58</t>
  </si>
  <si>
    <t>DF0226050200004203</t>
  </si>
  <si>
    <t xml:space="preserve">02-May-2026
18:15:12</t>
  </si>
  <si>
    <t>DF0226050200004204</t>
  </si>
  <si>
    <t xml:space="preserve">02-May-2026
18:31:17</t>
  </si>
  <si>
    <t>DF0226050300004226</t>
  </si>
  <si>
    <t xml:space="preserve">03-May-2026
06:43:22</t>
  </si>
  <si>
    <t>DF0226050300004227</t>
  </si>
  <si>
    <t xml:space="preserve">03-May-2026
06:55:06</t>
  </si>
  <si>
    <t>DF0226050300004228</t>
  </si>
  <si>
    <t xml:space="preserve">03-May-2026
06:56:49</t>
  </si>
  <si>
    <t>DF0226050300004229</t>
  </si>
  <si>
    <t xml:space="preserve">03-May-2026
07:00:50</t>
  </si>
  <si>
    <t>DF0226050300004230</t>
  </si>
  <si>
    <t xml:space="preserve">03-May-2026
07:20:29</t>
  </si>
  <si>
    <t>DF0226050300004231</t>
  </si>
  <si>
    <t xml:space="preserve">03-May-2026
08:01:46</t>
  </si>
  <si>
    <t>DF0226050300004232</t>
  </si>
  <si>
    <t xml:space="preserve">03-May-2026
08:06:10</t>
  </si>
  <si>
    <t>DF0226050300004233</t>
  </si>
  <si>
    <t xml:space="preserve">03-May-2026
08:33:01</t>
  </si>
  <si>
    <t>DF0226050300004234</t>
  </si>
  <si>
    <t xml:space="preserve">03-May-2026
08:40:23</t>
  </si>
  <si>
    <t>DF0226050300004237</t>
  </si>
  <si>
    <t xml:space="preserve">03-May-2026
09:00:01</t>
  </si>
  <si>
    <t>DF0226050300004253</t>
  </si>
  <si>
    <t xml:space="preserve">03-May-2026
11:53:03</t>
  </si>
  <si>
    <t>DF0226050300004254</t>
  </si>
  <si>
    <t xml:space="preserve">03-May-2026
11:58:12</t>
  </si>
  <si>
    <t>DF0226050300004255</t>
  </si>
  <si>
    <t xml:space="preserve">03-May-2026
12:13:07</t>
  </si>
  <si>
    <t>DF0226050300004256</t>
  </si>
  <si>
    <t xml:space="preserve">03-May-2026
12:16:47</t>
  </si>
  <si>
    <t>DF0226050300004270</t>
  </si>
  <si>
    <t xml:space="preserve">03-May-2026
14:46:07</t>
  </si>
  <si>
    <t>DF0226050300004271</t>
  </si>
  <si>
    <t xml:space="preserve">03-May-2026
14:47:07</t>
  </si>
  <si>
    <t>DF0226050300004279</t>
  </si>
  <si>
    <t xml:space="preserve">03-May-2026
14:59:37</t>
  </si>
  <si>
    <t>DF0226050300004282</t>
  </si>
  <si>
    <t xml:space="preserve">03-May-2026
15:09:17</t>
  </si>
  <si>
    <t>DF0226050300004293</t>
  </si>
  <si>
    <t xml:space="preserve">03-May-2026
17:01:03</t>
  </si>
  <si>
    <t>DF0226050300004294</t>
  </si>
  <si>
    <t xml:space="preserve">03-May-2026
17:05:59</t>
  </si>
  <si>
    <t>DF0226050300004300</t>
  </si>
  <si>
    <t xml:space="preserve">03-May-2026
17:44:33</t>
  </si>
  <si>
    <t>DF0226050300004302</t>
  </si>
  <si>
    <t xml:space="preserve">03-May-2026
19:00:19</t>
  </si>
  <si>
    <t>DF0226050400004339</t>
  </si>
  <si>
    <t xml:space="preserve">04-May-2026
12:17:16</t>
  </si>
  <si>
    <t>DF0226050400004343</t>
  </si>
  <si>
    <t xml:space="preserve">04-May-2026
14:00:10</t>
  </si>
  <si>
    <t>DF0226050400004344</t>
  </si>
  <si>
    <t xml:space="preserve">04-May-2026
14:01:04</t>
  </si>
  <si>
    <t>DF0226050400004345</t>
  </si>
  <si>
    <t xml:space="preserve">04-May-2026
14:03:08</t>
  </si>
  <si>
    <t>DF0226050500004373</t>
  </si>
  <si>
    <t xml:space="preserve">05-May-2026
07:13:31</t>
  </si>
  <si>
    <t>DF0226050500004374</t>
  </si>
  <si>
    <t xml:space="preserve">05-May-2026
07:54:26</t>
  </si>
  <si>
    <t>DF0226050500004375</t>
  </si>
  <si>
    <t xml:space="preserve">05-May-2026
08:19:17</t>
  </si>
  <si>
    <t>DF0226050500004383</t>
  </si>
  <si>
    <t xml:space="preserve">05-May-2026
09:28:20</t>
  </si>
  <si>
    <t>DF0226050500004385</t>
  </si>
  <si>
    <t xml:space="preserve">05-May-2026
09:41:17</t>
  </si>
  <si>
    <t>DF0226050500004400</t>
  </si>
  <si>
    <t xml:space="preserve">05-May-2026
12:59:16</t>
  </si>
  <si>
    <t>DF0226050500004418</t>
  </si>
  <si>
    <t xml:space="preserve">05-May-2026
16:59:38</t>
  </si>
  <si>
    <t>DF0226050500004421</t>
  </si>
  <si>
    <t xml:space="preserve">05-May-2026
19:10:38</t>
  </si>
  <si>
    <t>DF0226050500004425</t>
  </si>
  <si>
    <t xml:space="preserve">05-May-2026
19:45:00</t>
  </si>
  <si>
    <t>DF0226050500004427</t>
  </si>
  <si>
    <t xml:space="preserve">05-May-2026
19:48:53</t>
  </si>
  <si>
    <t>DF0226050600004440</t>
  </si>
  <si>
    <t xml:space="preserve">06-May-2026
07:32:51</t>
  </si>
  <si>
    <t>DF0226050600004441</t>
  </si>
  <si>
    <t xml:space="preserve">06-May-2026
07:49:51</t>
  </si>
  <si>
    <t>DF0226050600004443</t>
  </si>
  <si>
    <t xml:space="preserve">06-May-2026
07:52:43</t>
  </si>
  <si>
    <t>DF0226050600004445</t>
  </si>
  <si>
    <t xml:space="preserve">06-May-2026
08:04:38</t>
  </si>
  <si>
    <t>DF0226050600004446</t>
  </si>
  <si>
    <t xml:space="preserve">06-May-2026
08:21:42</t>
  </si>
  <si>
    <t>DF0226050600004450</t>
  </si>
  <si>
    <t xml:space="preserve">06-May-2026
08:59:50</t>
  </si>
  <si>
    <t>DF0226050600004451</t>
  </si>
  <si>
    <t xml:space="preserve">06-May-2026
09:02:27</t>
  </si>
  <si>
    <t>DF0226050600004453</t>
  </si>
  <si>
    <t xml:space="preserve">06-May-2026
09:14:57</t>
  </si>
  <si>
    <t>DF0226050600004462</t>
  </si>
  <si>
    <t xml:space="preserve">06-May-2026
11:42:04</t>
  </si>
  <si>
    <t>DF0226050600004470</t>
  </si>
  <si>
    <t xml:space="preserve">06-May-2026
13:59:29</t>
  </si>
  <si>
    <t>DF0226050600004471</t>
  </si>
  <si>
    <t xml:space="preserve">06-May-2026
14:10:34</t>
  </si>
  <si>
    <t>DF0226050600004473</t>
  </si>
  <si>
    <t xml:space="preserve">06-May-2026
14:46:10</t>
  </si>
  <si>
    <t>DF0226050600004481</t>
  </si>
  <si>
    <t xml:space="preserve">06-May-2026
17:38:20</t>
  </si>
  <si>
    <t>DF0226050600004482</t>
  </si>
  <si>
    <t xml:space="preserve">06-May-2026
17:44:44</t>
  </si>
  <si>
    <t>DF0226050600004484</t>
  </si>
  <si>
    <t xml:space="preserve">06-May-2026
18:00:28</t>
  </si>
  <si>
    <t>DF0226050600004486</t>
  </si>
  <si>
    <t xml:space="preserve">06-May-2026
18:06:01</t>
  </si>
  <si>
    <t>DF0226050600004492</t>
  </si>
  <si>
    <t xml:space="preserve">06-May-2026
19:45:31</t>
  </si>
  <si>
    <t>DF0226050600004494</t>
  </si>
  <si>
    <t xml:space="preserve">06-May-2026
19:58:34</t>
  </si>
  <si>
    <t>DF0226050600004495</t>
  </si>
  <si>
    <t xml:space="preserve">06-May-2026
20:08:53</t>
  </si>
  <si>
    <t>DF0226050600004496</t>
  </si>
  <si>
    <t xml:space="preserve">06-May-2026
20:11:52</t>
  </si>
  <si>
    <t>DF0226050600004497</t>
  </si>
  <si>
    <t xml:space="preserve">06-May-2026
20:31:35</t>
  </si>
  <si>
    <t>DF0226050600004501</t>
  </si>
  <si>
    <t xml:space="preserve">06-May-2026
21:03:19</t>
  </si>
  <si>
    <t>DF0226050600004505</t>
  </si>
  <si>
    <t xml:space="preserve">06-May-2026
22:12:47</t>
  </si>
  <si>
    <t>DF0226050700004523</t>
  </si>
  <si>
    <t xml:space="preserve">07-May-2026
12:43:07</t>
  </si>
  <si>
    <t>DF0226050700004545</t>
  </si>
  <si>
    <t xml:space="preserve">07-May-2026
19:41:27</t>
  </si>
  <si>
    <t>DF0226050800004555</t>
  </si>
  <si>
    <t xml:space="preserve">08-May-2026
07:37:46</t>
  </si>
  <si>
    <t>DF0226050800004557</t>
  </si>
  <si>
    <t xml:space="preserve">08-May-2026
07:57:26</t>
  </si>
  <si>
    <t>DF0226050800004558</t>
  </si>
  <si>
    <t xml:space="preserve">08-May-2026
08:04:51</t>
  </si>
  <si>
    <t>DF0226050800004560</t>
  </si>
  <si>
    <t xml:space="preserve">08-May-2026
08:12:54</t>
  </si>
  <si>
    <t>DF0226050800004575</t>
  </si>
  <si>
    <t xml:space="preserve">08-May-2026
12:50:28</t>
  </si>
  <si>
    <t>DF0226050800004582</t>
  </si>
  <si>
    <t xml:space="preserve">08-May-2026
13:57:07</t>
  </si>
  <si>
    <t>DF0226050800004587</t>
  </si>
  <si>
    <t xml:space="preserve">08-May-2026
15:28:20</t>
  </si>
  <si>
    <t>DF0226050800004588</t>
  </si>
  <si>
    <t xml:space="preserve">08-May-2026
15:38:14</t>
  </si>
  <si>
    <t>DF0226050800004596</t>
  </si>
  <si>
    <t xml:space="preserve">08-May-2026
17:17:28</t>
  </si>
  <si>
    <t>DF0226050800004600</t>
  </si>
  <si>
    <t xml:space="preserve">08-May-2026
18:34:18</t>
  </si>
  <si>
    <t>DF0226050800004609</t>
  </si>
  <si>
    <t xml:space="preserve">08-May-2026
20:47:48</t>
  </si>
  <si>
    <t>DF0226050800004620</t>
  </si>
  <si>
    <t xml:space="preserve">08-May-2026
22:23:32</t>
  </si>
  <si>
    <t>DF0226050900004627</t>
  </si>
  <si>
    <t xml:space="preserve">09-May-2026
08:49:12</t>
  </si>
  <si>
    <t>DF0226050900004633</t>
  </si>
  <si>
    <t xml:space="preserve">09-May-2026
09:03:14</t>
  </si>
  <si>
    <t>DF0226050900004634</t>
  </si>
  <si>
    <t xml:space="preserve">09-May-2026
09:05:58</t>
  </si>
  <si>
    <t>DF0226050900004635</t>
  </si>
  <si>
    <t xml:space="preserve">09-May-2026
09:11:20</t>
  </si>
  <si>
    <t>DF0226050900004637</t>
  </si>
  <si>
    <t xml:space="preserve">09-May-2026
09:16:17</t>
  </si>
  <si>
    <t>DF0226050900004652</t>
  </si>
  <si>
    <t xml:space="preserve">09-May-2026
12:52:16</t>
  </si>
  <si>
    <t>DF0226050900004654</t>
  </si>
  <si>
    <t xml:space="preserve">09-May-2026
12:56:41</t>
  </si>
  <si>
    <t>DF0226050900004656</t>
  </si>
  <si>
    <t xml:space="preserve">09-May-2026
13:02:36</t>
  </si>
  <si>
    <t>DF0226050900004661</t>
  </si>
  <si>
    <t xml:space="preserve">09-May-2026
13:13:20</t>
  </si>
  <si>
    <t>DF0226050900004662</t>
  </si>
  <si>
    <t xml:space="preserve">09-May-2026
13:16:13</t>
  </si>
  <si>
    <t>DF0226050900004663</t>
  </si>
  <si>
    <t xml:space="preserve">09-May-2026
13:16:47</t>
  </si>
  <si>
    <t>DF0226050900004664</t>
  </si>
  <si>
    <t xml:space="preserve">09-May-2026
13:22:07</t>
  </si>
  <si>
    <t>DF0226050900004678</t>
  </si>
  <si>
    <t xml:space="preserve">09-May-2026
14:53:51</t>
  </si>
  <si>
    <t>DF0226050900004679</t>
  </si>
  <si>
    <t xml:space="preserve">09-May-2026
14:54:54</t>
  </si>
  <si>
    <t>DF0226050900004715</t>
  </si>
  <si>
    <t xml:space="preserve">09-May-2026
19:03:24</t>
  </si>
  <si>
    <t>DF0226050900004718</t>
  </si>
  <si>
    <t xml:space="preserve">09-May-2026
20:14:16</t>
  </si>
  <si>
    <t>DF0226050100004066</t>
  </si>
  <si>
    <t xml:space="preserve">01-May-2026
07:53:48</t>
  </si>
  <si>
    <t>NESTLE PURE LIFE 1500ML</t>
  </si>
  <si>
    <t>DF0226050100004071</t>
  </si>
  <si>
    <t xml:space="preserve">01-May-2026
08:42:18</t>
  </si>
  <si>
    <t>POCARI SWEAT PET 500 ML</t>
  </si>
  <si>
    <t>DF0226050100004082</t>
  </si>
  <si>
    <t xml:space="preserve">01-May-2026
10:15:31</t>
  </si>
  <si>
    <t>DF0226050100004084</t>
  </si>
  <si>
    <t xml:space="preserve">01-May-2026
11:07:41</t>
  </si>
  <si>
    <t>DF0226050100004085</t>
  </si>
  <si>
    <t xml:space="preserve">01-May-2026
11:07:50</t>
  </si>
  <si>
    <t>DF0226050100004087</t>
  </si>
  <si>
    <t xml:space="preserve">01-May-2026
11:25:12</t>
  </si>
  <si>
    <t>DF0226050100004090</t>
  </si>
  <si>
    <t xml:space="preserve">01-May-2026
11:50:49</t>
  </si>
  <si>
    <t>NESTLE PURE LIFE 600ML</t>
  </si>
  <si>
    <t>DF0226050100004095</t>
  </si>
  <si>
    <t xml:space="preserve">01-May-2026
13:13:16</t>
  </si>
  <si>
    <t>DF0226050100004096</t>
  </si>
  <si>
    <t xml:space="preserve">01-May-2026
13:14:28</t>
  </si>
  <si>
    <t>DF0226050100004097</t>
  </si>
  <si>
    <t xml:space="preserve">01-May-2026
13:15:24</t>
  </si>
  <si>
    <t>DF0226050100004101</t>
  </si>
  <si>
    <t xml:space="preserve">01-May-2026
13:38:27</t>
  </si>
  <si>
    <t>DF0226050100004104</t>
  </si>
  <si>
    <t xml:space="preserve">01-May-2026
13:55:03</t>
  </si>
  <si>
    <t>DF0226050100004110</t>
  </si>
  <si>
    <t xml:space="preserve">01-May-2026
15:22:06</t>
  </si>
  <si>
    <t>DF0226050100004111</t>
  </si>
  <si>
    <t xml:space="preserve">01-May-2026
15:22:38</t>
  </si>
  <si>
    <t>POCARI ION WATER 500ML</t>
  </si>
  <si>
    <t>DF0226050100004120</t>
  </si>
  <si>
    <t xml:space="preserve">01-May-2026
17:33:44</t>
  </si>
  <si>
    <t>DF0226050100004121</t>
  </si>
  <si>
    <t xml:space="preserve">01-May-2026
18:11:24</t>
  </si>
  <si>
    <t>POCARI SWEAT PET 900ML</t>
  </si>
  <si>
    <t>DF0226050100004124</t>
  </si>
  <si>
    <t xml:space="preserve">01-May-2026
19:12:11</t>
  </si>
  <si>
    <t>DF0226050100004125</t>
  </si>
  <si>
    <t xml:space="preserve">01-May-2026
19:35:27</t>
  </si>
  <si>
    <t>DF0226050100004127</t>
  </si>
  <si>
    <t xml:space="preserve">01-May-2026
20:06:30</t>
  </si>
  <si>
    <t>DF0226050100004130</t>
  </si>
  <si>
    <t xml:space="preserve">01-May-2026
20:24:24</t>
  </si>
  <si>
    <t>DF0226050100004131</t>
  </si>
  <si>
    <t xml:space="preserve">01-May-2026
20:25:00</t>
  </si>
  <si>
    <t>DF0226050100004133</t>
  </si>
  <si>
    <t xml:space="preserve">01-May-2026
20:56:03</t>
  </si>
  <si>
    <t>DF0226050100004135</t>
  </si>
  <si>
    <t xml:space="preserve">01-May-2026
21:31:17</t>
  </si>
  <si>
    <t>DF0226050200004137</t>
  </si>
  <si>
    <t xml:space="preserve">02-May-2026
07:02:00</t>
  </si>
  <si>
    <t>DF0226050200004140</t>
  </si>
  <si>
    <t xml:space="preserve">02-May-2026
07:42:40</t>
  </si>
  <si>
    <t>DF0226050200004146</t>
  </si>
  <si>
    <t xml:space="preserve">02-May-2026
08:56:19</t>
  </si>
  <si>
    <t>DF0226050200004151</t>
  </si>
  <si>
    <t xml:space="preserve">02-May-2026
09:22:30</t>
  </si>
  <si>
    <t>DF0226050200004152</t>
  </si>
  <si>
    <t xml:space="preserve">02-May-2026
09:42:52</t>
  </si>
  <si>
    <t>DF0226050200004159</t>
  </si>
  <si>
    <t xml:space="preserve">02-May-2026
10:25:53</t>
  </si>
  <si>
    <t>DF0226050200004160</t>
  </si>
  <si>
    <t xml:space="preserve">02-May-2026
10:44:43</t>
  </si>
  <si>
    <t>DF0226050200004161</t>
  </si>
  <si>
    <t xml:space="preserve">02-May-2026
10:56:21</t>
  </si>
  <si>
    <t>DF0226050200004166</t>
  </si>
  <si>
    <t xml:space="preserve">02-May-2026
12:30:21</t>
  </si>
  <si>
    <t>DF0226050200004167</t>
  </si>
  <si>
    <t xml:space="preserve">02-May-2026
12:32:29</t>
  </si>
  <si>
    <t>DF0226050200004177</t>
  </si>
  <si>
    <t xml:space="preserve">02-May-2026
14:50:30</t>
  </si>
  <si>
    <t>DF0226050200004182</t>
  </si>
  <si>
    <t xml:space="preserve">02-May-2026
15:13:39</t>
  </si>
  <si>
    <t>DF0226050200004183</t>
  </si>
  <si>
    <t xml:space="preserve">02-May-2026
15:19:19</t>
  </si>
  <si>
    <t>DF0226050200004184</t>
  </si>
  <si>
    <t xml:space="preserve">02-May-2026
15:20:05</t>
  </si>
  <si>
    <t>DF0226050200004186</t>
  </si>
  <si>
    <t xml:space="preserve">02-May-2026
15:34:46</t>
  </si>
  <si>
    <t>DF0226050200004188</t>
  </si>
  <si>
    <t xml:space="preserve">02-May-2026
15:52:21</t>
  </si>
  <si>
    <t>DF0226050200004190</t>
  </si>
  <si>
    <t xml:space="preserve">02-May-2026
16:06:58</t>
  </si>
  <si>
    <t>DF0226050200004193</t>
  </si>
  <si>
    <t xml:space="preserve">02-May-2026
16:26:25</t>
  </si>
  <si>
    <t>DF0226050200004196</t>
  </si>
  <si>
    <t xml:space="preserve">02-May-2026
17:12:54</t>
  </si>
  <si>
    <t>DF0226050200004197</t>
  </si>
  <si>
    <t xml:space="preserve">02-May-2026
17:13:33</t>
  </si>
  <si>
    <t>DF0226050200004199</t>
  </si>
  <si>
    <t xml:space="preserve">02-May-2026
17:42:46</t>
  </si>
  <si>
    <t>DF0226050200004200</t>
  </si>
  <si>
    <t xml:space="preserve">02-May-2026
17:51:43</t>
  </si>
  <si>
    <t>DF0226050200004206</t>
  </si>
  <si>
    <t xml:space="preserve">02-May-2026
18:48:14</t>
  </si>
  <si>
    <t>DF0226050200004209</t>
  </si>
  <si>
    <t xml:space="preserve">02-May-2026
19:03:40</t>
  </si>
  <si>
    <t>DF0226050200004211</t>
  </si>
  <si>
    <t xml:space="preserve">02-May-2026
19:17:35</t>
  </si>
  <si>
    <t>DF0226050200004212</t>
  </si>
  <si>
    <t xml:space="preserve">02-May-2026
19:32:41</t>
  </si>
  <si>
    <t>DF0226050200004213</t>
  </si>
  <si>
    <t xml:space="preserve">02-May-2026
19:32:53</t>
  </si>
  <si>
    <t>DF0226050200004218</t>
  </si>
  <si>
    <t xml:space="preserve">02-May-2026
20:03:44</t>
  </si>
  <si>
    <t>DF0226050200004220</t>
  </si>
  <si>
    <t xml:space="preserve">02-May-2026
20:36:31</t>
  </si>
  <si>
    <t>DF0226050200004221</t>
  </si>
  <si>
    <t xml:space="preserve">02-May-2026
20:39:16</t>
  </si>
  <si>
    <t>DF0226050200004223</t>
  </si>
  <si>
    <t xml:space="preserve">02-May-2026
20:54:44</t>
  </si>
  <si>
    <t>DF0226050200004224</t>
  </si>
  <si>
    <t xml:space="preserve">02-May-2026
21:10:02</t>
  </si>
  <si>
    <t>DF0226050300004240</t>
  </si>
  <si>
    <t xml:space="preserve">03-May-2026
09:23:33</t>
  </si>
  <si>
    <t>DF0226050300004241</t>
  </si>
  <si>
    <t xml:space="preserve">03-May-2026
09:33:57</t>
  </si>
  <si>
    <t>DF0226050300004245</t>
  </si>
  <si>
    <t xml:space="preserve">03-May-2026
10:06:04</t>
  </si>
  <si>
    <t>DF0226050300004247</t>
  </si>
  <si>
    <t xml:space="preserve">03-May-2026
10:42:26</t>
  </si>
  <si>
    <t>DF0226050300004250</t>
  </si>
  <si>
    <t xml:space="preserve">03-May-2026
10:55:54</t>
  </si>
  <si>
    <t>DF0226050300004259</t>
  </si>
  <si>
    <t xml:space="preserve">03-May-2026
12:42:44</t>
  </si>
  <si>
    <t>DF0226050300004260</t>
  </si>
  <si>
    <t xml:space="preserve">03-May-2026
12:43:08</t>
  </si>
  <si>
    <t>DF0226050300004261</t>
  </si>
  <si>
    <t xml:space="preserve">03-May-2026
12:48:24</t>
  </si>
  <si>
    <t>DF0226050300004262</t>
  </si>
  <si>
    <t xml:space="preserve">03-May-2026
12:57:34</t>
  </si>
  <si>
    <t>DF0226050300004263</t>
  </si>
  <si>
    <t xml:space="preserve">03-May-2026
13:02:55</t>
  </si>
  <si>
    <t>DF0226050300004264</t>
  </si>
  <si>
    <t xml:space="preserve">03-May-2026
13:07:42</t>
  </si>
  <si>
    <t>DF0226050300004265</t>
  </si>
  <si>
    <t xml:space="preserve">03-May-2026
13:15:32</t>
  </si>
  <si>
    <t>DF0226050300004266</t>
  </si>
  <si>
    <t xml:space="preserve">03-May-2026
13:22:59</t>
  </si>
  <si>
    <t>DF0226050300004267</t>
  </si>
  <si>
    <t xml:space="preserve">03-May-2026
13:24:22</t>
  </si>
  <si>
    <t>DF0226050300004269</t>
  </si>
  <si>
    <t xml:space="preserve">03-May-2026
13:38:05</t>
  </si>
  <si>
    <t>DF0226050300004272</t>
  </si>
  <si>
    <t xml:space="preserve">03-May-2026
14:47:41</t>
  </si>
  <si>
    <t>DF0226050300004273</t>
  </si>
  <si>
    <t xml:space="preserve">03-May-2026
14:49:41</t>
  </si>
  <si>
    <t>DF0226050300004276</t>
  </si>
  <si>
    <t xml:space="preserve">03-May-2026
14:54:27</t>
  </si>
  <si>
    <t>DF0226050300004280</t>
  </si>
  <si>
    <t xml:space="preserve">03-May-2026
15:01:17</t>
  </si>
  <si>
    <t>DF0226050300004284</t>
  </si>
  <si>
    <t xml:space="preserve">03-May-2026
15:17:58</t>
  </si>
  <si>
    <t>DF0226050300004285</t>
  </si>
  <si>
    <t xml:space="preserve">03-May-2026
15:20:51</t>
  </si>
  <si>
    <t>DF0226050300004287</t>
  </si>
  <si>
    <t xml:space="preserve">03-May-2026
16:18:56</t>
  </si>
  <si>
    <t>DF0226050300004288</t>
  </si>
  <si>
    <t xml:space="preserve">03-May-2026
16:19:15</t>
  </si>
  <si>
    <t>DF0226050300004295</t>
  </si>
  <si>
    <t xml:space="preserve">03-May-2026
17:09:44</t>
  </si>
  <si>
    <t>DF0226050300004296</t>
  </si>
  <si>
    <t xml:space="preserve">03-May-2026
17:11:46</t>
  </si>
  <si>
    <t>DF0226050300004298</t>
  </si>
  <si>
    <t xml:space="preserve">03-May-2026
17:40:40</t>
  </si>
  <si>
    <t>DF0226050300004299</t>
  </si>
  <si>
    <t xml:space="preserve">03-May-2026
17:44:16</t>
  </si>
  <si>
    <t>DF0226050300004306</t>
  </si>
  <si>
    <t xml:space="preserve">03-May-2026
19:31:45</t>
  </si>
  <si>
    <t>DF0226050300004307</t>
  </si>
  <si>
    <t xml:space="preserve">03-May-2026
19:34:18</t>
  </si>
  <si>
    <t>DF0226050300004308</t>
  </si>
  <si>
    <t xml:space="preserve">03-May-2026
19:51:35</t>
  </si>
  <si>
    <t>DF0226050300004310</t>
  </si>
  <si>
    <t xml:space="preserve">03-May-2026
21:10:30</t>
  </si>
  <si>
    <t>DF0226050300004311</t>
  </si>
  <si>
    <t xml:space="preserve">03-May-2026
21:24:46</t>
  </si>
  <si>
    <t>DF0226050300004312</t>
  </si>
  <si>
    <t xml:space="preserve">03-May-2026
21:30:14</t>
  </si>
  <si>
    <t>DF0226050300004313</t>
  </si>
  <si>
    <t xml:space="preserve">03-May-2026
21:33:17</t>
  </si>
  <si>
    <t>DF0226050300004314</t>
  </si>
  <si>
    <t xml:space="preserve">03-May-2026
21:45:33</t>
  </si>
  <si>
    <t>DF0226050300004315</t>
  </si>
  <si>
    <t xml:space="preserve">03-May-2026
22:08:20</t>
  </si>
  <si>
    <t>DF0226050300004316</t>
  </si>
  <si>
    <t xml:space="preserve">03-May-2026
22:08:29</t>
  </si>
  <si>
    <t>DF0226050300004317</t>
  </si>
  <si>
    <t xml:space="preserve">03-May-2026
22:08:38</t>
  </si>
  <si>
    <t>DF0226050300004320</t>
  </si>
  <si>
    <t xml:space="preserve">03-May-2026
22:50:40</t>
  </si>
  <si>
    <t>DF0226050300004321</t>
  </si>
  <si>
    <t xml:space="preserve">03-May-2026
22:55:44</t>
  </si>
  <si>
    <t>DF0226050300004322</t>
  </si>
  <si>
    <t xml:space="preserve">03-May-2026
23:22:24</t>
  </si>
  <si>
    <t>DF0226050300004323</t>
  </si>
  <si>
    <t xml:space="preserve">03-May-2026
23:28:38</t>
  </si>
  <si>
    <t>DF0226050400004324</t>
  </si>
  <si>
    <t xml:space="preserve">04-May-2026
08:42:25</t>
  </si>
  <si>
    <t>DF0226050400004327</t>
  </si>
  <si>
    <t xml:space="preserve">04-May-2026
09:08:40</t>
  </si>
  <si>
    <t>DF0226050400004337</t>
  </si>
  <si>
    <t xml:space="preserve">04-May-2026
11:40:11</t>
  </si>
  <si>
    <t>DF0226050400004346</t>
  </si>
  <si>
    <t xml:space="preserve">04-May-2026
14:06:15</t>
  </si>
  <si>
    <t>DF0226050400004347</t>
  </si>
  <si>
    <t xml:space="preserve">04-May-2026
14:17:56</t>
  </si>
  <si>
    <t>DF0226050400004351</t>
  </si>
  <si>
    <t xml:space="preserve">04-May-2026
15:53:31</t>
  </si>
  <si>
    <t>DF0226050400004352</t>
  </si>
  <si>
    <t xml:space="preserve">04-May-2026
15:56:03</t>
  </si>
  <si>
    <t>DF0226050400004353</t>
  </si>
  <si>
    <t xml:space="preserve">04-May-2026
16:15:05</t>
  </si>
  <si>
    <t>DF0226050400004357</t>
  </si>
  <si>
    <t xml:space="preserve">04-May-2026
17:34:09</t>
  </si>
  <si>
    <t>DF0226050400004358</t>
  </si>
  <si>
    <t xml:space="preserve">04-May-2026
18:17:08</t>
  </si>
  <si>
    <t>DF0226050400004359</t>
  </si>
  <si>
    <t xml:space="preserve">04-May-2026
18:46:08</t>
  </si>
  <si>
    <t>DF0226050400004361</t>
  </si>
  <si>
    <t xml:space="preserve">04-May-2026
19:41:59</t>
  </si>
  <si>
    <t>DF0226050400004362</t>
  </si>
  <si>
    <t xml:space="preserve">04-May-2026
20:10:45</t>
  </si>
  <si>
    <t>DF0226050400004364</t>
  </si>
  <si>
    <t xml:space="preserve">04-May-2026
20:20:18</t>
  </si>
  <si>
    <t>DF0226050400004366</t>
  </si>
  <si>
    <t xml:space="preserve">04-May-2026
20:45:39</t>
  </si>
  <si>
    <t>DF0226050400004369</t>
  </si>
  <si>
    <t xml:space="preserve">04-May-2026
22:19:43</t>
  </si>
  <si>
    <t>DF0226050400004370</t>
  </si>
  <si>
    <t xml:space="preserve">04-May-2026
22:29:23</t>
  </si>
  <si>
    <t>DF0226050400004371</t>
  </si>
  <si>
    <t xml:space="preserve">04-May-2026
22:39:33</t>
  </si>
  <si>
    <t>DF0226050400004372</t>
  </si>
  <si>
    <t xml:space="preserve">04-May-2026
23:11:47</t>
  </si>
  <si>
    <t>DF0226050500004380</t>
  </si>
  <si>
    <t xml:space="preserve">05-May-2026
08:59:56</t>
  </si>
  <si>
    <t>DF0226050500004382</t>
  </si>
  <si>
    <t xml:space="preserve">05-May-2026
09:13:34</t>
  </si>
  <si>
    <t>DF0226050500004384</t>
  </si>
  <si>
    <t xml:space="preserve">05-May-2026
09:35:54</t>
  </si>
  <si>
    <t>DF0226050500004389</t>
  </si>
  <si>
    <t xml:space="preserve">05-May-2026
11:00:46</t>
  </si>
  <si>
    <t>DF0226050500004396</t>
  </si>
  <si>
    <t xml:space="preserve">05-May-2026
12:05:50</t>
  </si>
  <si>
    <t>DF0226050500004397</t>
  </si>
  <si>
    <t xml:space="preserve">05-May-2026
12:29:42</t>
  </si>
  <si>
    <t>DF0226050500004401</t>
  </si>
  <si>
    <t xml:space="preserve">05-May-2026
13:24:41</t>
  </si>
  <si>
    <t>DF0226050500004403</t>
  </si>
  <si>
    <t xml:space="preserve">05-May-2026
13:27:03</t>
  </si>
  <si>
    <t>DF0226050500004404</t>
  </si>
  <si>
    <t xml:space="preserve">05-May-2026
14:38:47</t>
  </si>
  <si>
    <t>DF0226050500004408</t>
  </si>
  <si>
    <t xml:space="preserve">05-May-2026
15:20:34</t>
  </si>
  <si>
    <t>DF0226050500004416</t>
  </si>
  <si>
    <t xml:space="preserve">05-May-2026
16:43:58</t>
  </si>
  <si>
    <t>DF0226050500004420</t>
  </si>
  <si>
    <t xml:space="preserve">05-May-2026
18:23:01</t>
  </si>
  <si>
    <t>DF0226050500004424</t>
  </si>
  <si>
    <t xml:space="preserve">05-May-2026
19:35:22</t>
  </si>
  <si>
    <t>DF0226050500004428</t>
  </si>
  <si>
    <t xml:space="preserve">05-May-2026
19:50:44</t>
  </si>
  <si>
    <t>DF0226050500004429</t>
  </si>
  <si>
    <t xml:space="preserve">05-May-2026
20:05:08</t>
  </si>
  <si>
    <t>DF0226050500004432</t>
  </si>
  <si>
    <t xml:space="preserve">05-May-2026
21:05:15</t>
  </si>
  <si>
    <t>DF0226050500004433</t>
  </si>
  <si>
    <t xml:space="preserve">05-May-2026
21:13:58</t>
  </si>
  <si>
    <t>DF0226050500004437</t>
  </si>
  <si>
    <t xml:space="preserve">05-May-2026
21:23:56</t>
  </si>
  <si>
    <t>DF0226050500004438</t>
  </si>
  <si>
    <t xml:space="preserve">05-May-2026
21:54:58</t>
  </si>
  <si>
    <t>DF0226050500004439</t>
  </si>
  <si>
    <t xml:space="preserve">05-May-2026
22:11:13</t>
  </si>
  <si>
    <t>DF0226050600004444</t>
  </si>
  <si>
    <t xml:space="preserve">06-May-2026
07:58:35</t>
  </si>
  <si>
    <t>DF0226050600004449</t>
  </si>
  <si>
    <t xml:space="preserve">06-May-2026
08:58:52</t>
  </si>
  <si>
    <t>DF0226050600004452</t>
  </si>
  <si>
    <t xml:space="preserve">06-May-2026
09:02:48</t>
  </si>
  <si>
    <t>DF0226050600004457</t>
  </si>
  <si>
    <t xml:space="preserve">06-May-2026
10:08:36</t>
  </si>
  <si>
    <t>DF0226050600004460</t>
  </si>
  <si>
    <t xml:space="preserve">06-May-2026
11:25:41</t>
  </si>
  <si>
    <t>DF0226050600004461</t>
  </si>
  <si>
    <t xml:space="preserve">06-May-2026
11:38:32</t>
  </si>
  <si>
    <t>DF0226050600004467</t>
  </si>
  <si>
    <t xml:space="preserve">06-May-2026
12:15:27</t>
  </si>
  <si>
    <t>DF0226050600004480</t>
  </si>
  <si>
    <t xml:space="preserve">06-May-2026
17:37:11</t>
  </si>
  <si>
    <t>DF0226050600004483</t>
  </si>
  <si>
    <t xml:space="preserve">06-May-2026
17:48:50</t>
  </si>
  <si>
    <t>DF0226050600004485</t>
  </si>
  <si>
    <t xml:space="preserve">06-May-2026
18:04:04</t>
  </si>
  <si>
    <t>DF0226050600004490</t>
  </si>
  <si>
    <t xml:space="preserve">06-May-2026
19:22:51</t>
  </si>
  <si>
    <t>DF0226050600004493</t>
  </si>
  <si>
    <t xml:space="preserve">06-May-2026
19:53:43</t>
  </si>
  <si>
    <t>DF0226050600004503</t>
  </si>
  <si>
    <t xml:space="preserve">06-May-2026
21:46:30</t>
  </si>
  <si>
    <t>DF0226050600004504</t>
  </si>
  <si>
    <t xml:space="preserve">06-May-2026
21:46:56</t>
  </si>
  <si>
    <t>DF0226050600004508</t>
  </si>
  <si>
    <t xml:space="preserve">06-May-2026
23:27:10</t>
  </si>
  <si>
    <t>DF0226050700004514</t>
  </si>
  <si>
    <t xml:space="preserve">07-May-2026
10:59:35</t>
  </si>
  <si>
    <t>DF0226050700004521</t>
  </si>
  <si>
    <t xml:space="preserve">07-May-2026
12:22:07</t>
  </si>
  <si>
    <t>DF0226050700004527</t>
  </si>
  <si>
    <t xml:space="preserve">07-May-2026
13:40:09</t>
  </si>
  <si>
    <t>DF0226050700004532</t>
  </si>
  <si>
    <t xml:space="preserve">07-May-2026
14:13:40</t>
  </si>
  <si>
    <t>DF0226050700004533</t>
  </si>
  <si>
    <t xml:space="preserve">07-May-2026
15:01:16</t>
  </si>
  <si>
    <t>DF0226050700004537</t>
  </si>
  <si>
    <t xml:space="preserve">07-May-2026
16:02:43</t>
  </si>
  <si>
    <t>DF0226050700004538</t>
  </si>
  <si>
    <t xml:space="preserve">07-May-2026
16:28:28</t>
  </si>
  <si>
    <t>DF0226050700004539</t>
  </si>
  <si>
    <t xml:space="preserve">07-May-2026
16:28:52</t>
  </si>
  <si>
    <t>DF0226050700004540</t>
  </si>
  <si>
    <t xml:space="preserve">07-May-2026
17:30:26</t>
  </si>
  <si>
    <t>DF0226050700004541</t>
  </si>
  <si>
    <t xml:space="preserve">07-May-2026
17:33:39</t>
  </si>
  <si>
    <t>DF0226050700004543</t>
  </si>
  <si>
    <t xml:space="preserve">07-May-2026
18:37:33</t>
  </si>
  <si>
    <t>DF0226050700004544</t>
  </si>
  <si>
    <t xml:space="preserve">07-May-2026
18:55:28</t>
  </si>
  <si>
    <t>DF0226050700004548</t>
  </si>
  <si>
    <t xml:space="preserve">07-May-2026
20:38:29</t>
  </si>
  <si>
    <t>DF0226050700004550</t>
  </si>
  <si>
    <t xml:space="preserve">07-May-2026
21:55:06</t>
  </si>
  <si>
    <t>DF0226050700004552</t>
  </si>
  <si>
    <t xml:space="preserve">07-May-2026
22:28:00</t>
  </si>
  <si>
    <t>DF0226050700004553</t>
  </si>
  <si>
    <t xml:space="preserve">07-May-2026
22:48:41</t>
  </si>
  <si>
    <t>DF0226050800004556</t>
  </si>
  <si>
    <t xml:space="preserve">08-May-2026
07:53:08</t>
  </si>
  <si>
    <t>DF0226050800004565</t>
  </si>
  <si>
    <t xml:space="preserve">08-May-2026
09:46:06</t>
  </si>
  <si>
    <t>DF0226050800004569</t>
  </si>
  <si>
    <t xml:space="preserve">08-May-2026
11:59:44</t>
  </si>
  <si>
    <t>DF0226050800004570</t>
  </si>
  <si>
    <t xml:space="preserve">08-May-2026
12:27:27</t>
  </si>
  <si>
    <t>DF0226050800004576</t>
  </si>
  <si>
    <t xml:space="preserve">08-May-2026
12:59:27</t>
  </si>
  <si>
    <t>DF0226050800004585</t>
  </si>
  <si>
    <t xml:space="preserve">08-May-2026
14:28:40</t>
  </si>
  <si>
    <t>DF0226050800004591</t>
  </si>
  <si>
    <t xml:space="preserve">08-May-2026
16:16:36</t>
  </si>
  <si>
    <t>DF0226050800004603</t>
  </si>
  <si>
    <t xml:space="preserve">08-May-2026
19:20:57</t>
  </si>
  <si>
    <t>DF0226050800004610</t>
  </si>
  <si>
    <t xml:space="preserve">08-May-2026
20:50:15</t>
  </si>
  <si>
    <t>DF0226050800004611</t>
  </si>
  <si>
    <t xml:space="preserve">08-May-2026
20:50:50</t>
  </si>
  <si>
    <t>DF0226050800004612</t>
  </si>
  <si>
    <t xml:space="preserve">08-May-2026
20:50:59</t>
  </si>
  <si>
    <t>DF0226050800004614</t>
  </si>
  <si>
    <t xml:space="preserve">08-May-2026
21:03:43</t>
  </si>
  <si>
    <t>DF0226050800004615</t>
  </si>
  <si>
    <t xml:space="preserve">08-May-2026
21:44:37</t>
  </si>
  <si>
    <t>DF0226050800004616</t>
  </si>
  <si>
    <t xml:space="preserve">08-May-2026
21:47:27</t>
  </si>
  <si>
    <t>DF0226050800004618</t>
  </si>
  <si>
    <t xml:space="preserve">08-May-2026
21:48:57</t>
  </si>
  <si>
    <t>DF0226050800004619</t>
  </si>
  <si>
    <t xml:space="preserve">08-May-2026
21:52:23</t>
  </si>
  <si>
    <t>DF0226050800004621</t>
  </si>
  <si>
    <t xml:space="preserve">08-May-2026
22:47:22</t>
  </si>
  <si>
    <t>DF0226050800004623</t>
  </si>
  <si>
    <t xml:space="preserve">08-May-2026
22:57:52</t>
  </si>
  <si>
    <t>DF0226050900004632</t>
  </si>
  <si>
    <t xml:space="preserve">09-May-2026
09:01:28</t>
  </si>
  <si>
    <t>DF0226050900004636</t>
  </si>
  <si>
    <t xml:space="preserve">09-May-2026
09:12:27</t>
  </si>
  <si>
    <t>DF0226050900004638</t>
  </si>
  <si>
    <t xml:space="preserve">09-May-2026
09:26:37</t>
  </si>
  <si>
    <t>DF0226050900004639</t>
  </si>
  <si>
    <t xml:space="preserve">09-May-2026
09:27:43</t>
  </si>
  <si>
    <t>DF0226050900004647</t>
  </si>
  <si>
    <t xml:space="preserve">09-May-2026
11:59:26</t>
  </si>
  <si>
    <t>DF0226050900004649</t>
  </si>
  <si>
    <t xml:space="preserve">09-May-2026
12:27:40</t>
  </si>
  <si>
    <t>DF0226050900004651</t>
  </si>
  <si>
    <t xml:space="preserve">09-May-2026
12:38:20</t>
  </si>
  <si>
    <t>DF0226050900004660</t>
  </si>
  <si>
    <t xml:space="preserve">09-May-2026
13:08:52</t>
  </si>
  <si>
    <t>DF0226050900004667</t>
  </si>
  <si>
    <t xml:space="preserve">09-May-2026
13:54:55</t>
  </si>
  <si>
    <t>DF0226050900004672</t>
  </si>
  <si>
    <t xml:space="preserve">09-May-2026
14:20:50</t>
  </si>
  <si>
    <t>DF0226050900004676</t>
  </si>
  <si>
    <t xml:space="preserve">09-May-2026
14:47:38</t>
  </si>
  <si>
    <t>DF0226050900004683</t>
  </si>
  <si>
    <t xml:space="preserve">09-May-2026
15:12:41</t>
  </si>
  <si>
    <t>DF0226050900004685</t>
  </si>
  <si>
    <t xml:space="preserve">09-May-2026
15:27:53</t>
  </si>
  <si>
    <t>DF0226050900004686</t>
  </si>
  <si>
    <t xml:space="preserve">09-May-2026
15:35:08</t>
  </si>
  <si>
    <t>DF0226050900004687</t>
  </si>
  <si>
    <t xml:space="preserve">09-May-2026
15:38:31</t>
  </si>
  <si>
    <t>DF0226050900004688</t>
  </si>
  <si>
    <t xml:space="preserve">09-May-2026
15:43:10</t>
  </si>
  <si>
    <t>DF0226050900004689</t>
  </si>
  <si>
    <t xml:space="preserve">09-May-2026
15:44:10</t>
  </si>
  <si>
    <t>DF0226050900004692</t>
  </si>
  <si>
    <t xml:space="preserve">09-May-2026
15:53:15</t>
  </si>
  <si>
    <t>DF0226050900004693</t>
  </si>
  <si>
    <t xml:space="preserve">09-May-2026
16:07:41</t>
  </si>
  <si>
    <t>DF0226050900004698</t>
  </si>
  <si>
    <t xml:space="preserve">09-May-2026
16:36:30</t>
  </si>
  <si>
    <t>DF0226050900004703</t>
  </si>
  <si>
    <t xml:space="preserve">09-May-2026
16:56:18</t>
  </si>
  <si>
    <t>DF0226050900004704</t>
  </si>
  <si>
    <t xml:space="preserve">09-May-2026
17:02:43</t>
  </si>
  <si>
    <t>DF0226050900004705</t>
  </si>
  <si>
    <t xml:space="preserve">09-May-2026
17:28:06</t>
  </si>
  <si>
    <t>DF0226050900004709</t>
  </si>
  <si>
    <t xml:space="preserve">09-May-2026
17:49:42</t>
  </si>
  <si>
    <t>DF0226050900004712</t>
  </si>
  <si>
    <t xml:space="preserve">09-May-2026
18:22:40</t>
  </si>
  <si>
    <t>DF0226050900004713</t>
  </si>
  <si>
    <t xml:space="preserve">09-May-2026
18:30:05</t>
  </si>
  <si>
    <t>DF0226050900004714</t>
  </si>
  <si>
    <t xml:space="preserve">09-May-2026
18:40:45</t>
  </si>
  <si>
    <t>DF0226050900004719</t>
  </si>
  <si>
    <t xml:space="preserve">09-May-2026
20:52:16</t>
  </si>
  <si>
    <t>DF0226050900004720</t>
  </si>
  <si>
    <t xml:space="preserve">09-May-2026
20:52:44</t>
  </si>
  <si>
    <t>DF0226050900004721</t>
  </si>
  <si>
    <t xml:space="preserve">09-May-2026
21:37:42</t>
  </si>
  <si>
    <t>DF0226050900004722</t>
  </si>
  <si>
    <t xml:space="preserve">09-May-2026
22:06:29</t>
  </si>
  <si>
    <t>DF0226050900004723</t>
  </si>
  <si>
    <t xml:space="preserve">09-May-2026
23:01:45</t>
  </si>
  <si>
    <t>DF0226050900004724</t>
  </si>
  <si>
    <t xml:space="preserve">09-May-2026
23:30:33</t>
  </si>
  <si>
    <t>BOLA AMA PINK ISI 2</t>
  </si>
  <si>
    <t>DF0226050100004067</t>
  </si>
  <si>
    <t xml:space="preserve">01-May-2026
08:07:42</t>
  </si>
  <si>
    <t>BOLA PADEL HEAD PRO S+ ISI 3</t>
  </si>
  <si>
    <t>BOLA PADEL ODEA</t>
  </si>
  <si>
    <t>DF0226050100004114</t>
  </si>
  <si>
    <t xml:space="preserve">01-May-2026
16:10:14</t>
  </si>
  <si>
    <t>DF0226050100004119</t>
  </si>
  <si>
    <t xml:space="preserve">01-May-2026
17:03:38</t>
  </si>
  <si>
    <t>DF0226050200004174</t>
  </si>
  <si>
    <t xml:space="preserve">02-May-2026
13:47:10</t>
  </si>
  <si>
    <t>DF0226050300004303</t>
  </si>
  <si>
    <t xml:space="preserve">03-May-2026
19:04:01</t>
  </si>
  <si>
    <t>BOLA ADIDAS SPEED RX ISI 3</t>
  </si>
  <si>
    <t>DF0226050400004365</t>
  </si>
  <si>
    <t xml:space="preserve">04-May-2026
20:41:58</t>
  </si>
  <si>
    <t>DF0226050500004377</t>
  </si>
  <si>
    <t xml:space="preserve">05-May-2026
08:25:41</t>
  </si>
  <si>
    <t>DF0226050500004415</t>
  </si>
  <si>
    <t xml:space="preserve">05-May-2026
16:22:54</t>
  </si>
  <si>
    <t>DF0226050600004463</t>
  </si>
  <si>
    <t xml:space="preserve">06-May-2026
11:44:59</t>
  </si>
  <si>
    <t>DF0226050600004506</t>
  </si>
  <si>
    <t xml:space="preserve">06-May-2026
22:19:26</t>
  </si>
  <si>
    <t>DF0226050800004559</t>
  </si>
  <si>
    <t xml:space="preserve">08-May-2026
08:05:53</t>
  </si>
  <si>
    <t>DF0226050800004602</t>
  </si>
  <si>
    <t xml:space="preserve">08-May-2026
19:02:09</t>
  </si>
  <si>
    <t>DF0226050900004658</t>
  </si>
  <si>
    <t xml:space="preserve">09-May-2026
13:06:21</t>
  </si>
  <si>
    <t>DF0226050100004106</t>
  </si>
  <si>
    <t xml:space="preserve">01-May-2026
14:12:42</t>
  </si>
  <si>
    <t>PICKLEBALL COURT FEE - -</t>
  </si>
  <si>
    <t>DF0226050300004283</t>
  </si>
  <si>
    <t xml:space="preserve">03-May-2026
15:13:22</t>
  </si>
  <si>
    <t>DF0226050300004319</t>
  </si>
  <si>
    <t xml:space="preserve">03-May-2026
22:49:47</t>
  </si>
  <si>
    <t>DF0226050400004367</t>
  </si>
  <si>
    <t xml:space="preserve">04-May-2026
21:44:40</t>
  </si>
  <si>
    <t>DF0226050700004517</t>
  </si>
  <si>
    <t xml:space="preserve">07-May-2026
11:29:59</t>
  </si>
  <si>
    <t>DF0226050700004519</t>
  </si>
  <si>
    <t xml:space="preserve">07-May-2026
11:48:32</t>
  </si>
  <si>
    <t>OVERGRIPS WILSON</t>
  </si>
  <si>
    <t>DF0226050100004088</t>
  </si>
  <si>
    <t xml:space="preserve">01-May-2026
11:28:02</t>
  </si>
  <si>
    <t>DF0226050100004132</t>
  </si>
  <si>
    <t xml:space="preserve">01-May-2026
20:25:59</t>
  </si>
  <si>
    <t>DF0226050300004275</t>
  </si>
  <si>
    <t xml:space="preserve">03-May-2026
14:51:59</t>
  </si>
  <si>
    <t>DF0226050300004289</t>
  </si>
  <si>
    <t xml:space="preserve">03-May-2026
16:19:34</t>
  </si>
  <si>
    <t>GRIP LI-NING</t>
  </si>
  <si>
    <t>DF0226050400004363</t>
  </si>
  <si>
    <t xml:space="preserve">04-May-2026
20:11:29</t>
  </si>
  <si>
    <t>GRIP YONEX AC102</t>
  </si>
  <si>
    <t>DF0226050400004368</t>
  </si>
  <si>
    <t xml:space="preserve">04-May-2026
22:12:40</t>
  </si>
  <si>
    <t>DF0226050800004583</t>
  </si>
  <si>
    <t xml:space="preserve">08-May-2026
14:03:02</t>
  </si>
  <si>
    <t>DF0226050900004625</t>
  </si>
  <si>
    <t xml:space="preserve">09-May-2026
08:22:11</t>
  </si>
  <si>
    <t>DF0226050900004677</t>
  </si>
  <si>
    <t xml:space="preserve">09-May-2026
14:50:14</t>
  </si>
  <si>
    <t>DF0226050900004682</t>
  </si>
  <si>
    <t xml:space="preserve">09-May-2026
15:03:48</t>
  </si>
  <si>
    <t>DF0226050900004711</t>
  </si>
  <si>
    <t xml:space="preserve">09-May-2026
18:19:37</t>
  </si>
  <si>
    <t>SEWA KERANJANG+BOLA - 1 Jam,</t>
  </si>
  <si>
    <t>SEWA KERANJANG+BOLA - 2 jam</t>
  </si>
  <si>
    <t>DF0226050400004338</t>
  </si>
  <si>
    <t xml:space="preserve">04-May-2026
11:47:21</t>
  </si>
  <si>
    <t>DF0226050600004442</t>
  </si>
  <si>
    <t xml:space="preserve">06-May-2026
07:52:00</t>
  </si>
  <si>
    <t>DF0226050800004566</t>
  </si>
  <si>
    <t xml:space="preserve">08-May-2026
09:53:20</t>
  </si>
  <si>
    <t>SOY JOY MULTI VARIANT</t>
  </si>
  <si>
    <t>DF0226050100004115</t>
  </si>
  <si>
    <t xml:space="preserve">01-May-2026
16:31:02</t>
  </si>
  <si>
    <t>PERMEN HACKER</t>
  </si>
  <si>
    <t>DF0226050500004392</t>
  </si>
  <si>
    <t xml:space="preserve">05-May-2026
11:17:27</t>
  </si>
  <si>
    <t>DF0226050800004601</t>
  </si>
  <si>
    <t xml:space="preserve">08-May-2026
18:54:34</t>
  </si>
  <si>
    <t>DF0226050900004626</t>
  </si>
  <si>
    <t xml:space="preserve">09-May-2026
08:36:01</t>
  </si>
  <si>
    <t>DF0226050100004074</t>
  </si>
  <si>
    <t xml:space="preserve">01-May-2026
09:07:37</t>
  </si>
  <si>
    <t>YONEX LADIES SKORT #SKL-P061-2846-SOLID-S</t>
  </si>
  <si>
    <t>YONEX  WOMEN CAP SILICON</t>
  </si>
  <si>
    <t>DF0226050200004168</t>
  </si>
  <si>
    <t xml:space="preserve">02-May-2026
12:39:11</t>
  </si>
  <si>
    <t>YONEX MEN SOCKS SSM-1855ID-MP6-SR</t>
  </si>
  <si>
    <t>YONEX LADIES SOCKS # SSL-2860R-S</t>
  </si>
  <si>
    <t>DF0226050400004360</t>
  </si>
  <si>
    <t xml:space="preserve">04-May-2026
18:53:19</t>
  </si>
  <si>
    <t>HAIRWASH</t>
  </si>
  <si>
    <t>DF0226050800004595</t>
  </si>
  <si>
    <t xml:space="preserve">08-May-2026
17:14:34</t>
  </si>
  <si>
    <t>MANICURE</t>
  </si>
  <si>
    <t>DF0226050800004604</t>
  </si>
  <si>
    <t xml:space="preserve">08-May-2026
19:26:39</t>
  </si>
  <si>
    <t>DF0226050100004105</t>
  </si>
  <si>
    <t xml:space="preserve">01-May-2026
14:06:08</t>
  </si>
  <si>
    <t>YONEX MENS SHORTS # SM-P061-3085-RW2-S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</si>
</sst>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3" x14ac:knownFonts="1">
    <font>
      <color theme="1"/>
      <family val="2"/>
      <scheme val="minor"/>
      <sz val="11"/>
      <name val="Calibri"/>
    </font>
    <font>
      <color rgb="FF000000"/>
      <sz val="10"/>
      <name val="Aptos Narrow"/>
    </font>
    <font>
      <b/>
      <color rgb="FF000000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9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</v>
      </c>
      <c r="B3" s="4" t="s">
        <v>18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21</v>
      </c>
      <c r="H3" s="5">
        <v>2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17</v>
      </c>
      <c r="B4" s="4" t="s">
        <v>18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22</v>
      </c>
      <c r="H4" s="5">
        <v>1</v>
      </c>
      <c r="I4" s="3" t="s">
        <v>19</v>
      </c>
      <c r="J4" s="6">
        <v>300000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300000</v>
      </c>
    </row>
    <row r="5" spans="1:16" x14ac:dyDescent="0.25">
      <c r="A5" s="3" t="s">
        <v>23</v>
      </c>
      <c r="B5" s="4" t="s">
        <v>24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26</v>
      </c>
      <c r="H5" s="5">
        <v>1</v>
      </c>
      <c r="I5" s="3" t="s">
        <v>19</v>
      </c>
      <c r="J5" s="6">
        <v>200000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200000</v>
      </c>
    </row>
    <row r="6" spans="1:16" x14ac:dyDescent="0.25">
      <c r="A6" s="3" t="s">
        <v>23</v>
      </c>
      <c r="B6" s="4" t="s">
        <v>24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27</v>
      </c>
      <c r="H6" s="5">
        <v>1</v>
      </c>
      <c r="I6" s="3" t="s">
        <v>19</v>
      </c>
      <c r="J6" s="6">
        <v>10000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10000</v>
      </c>
    </row>
    <row r="7" spans="1:16" x14ac:dyDescent="0.25">
      <c r="A7" s="3" t="s">
        <v>23</v>
      </c>
      <c r="B7" s="4" t="s">
        <v>24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22</v>
      </c>
      <c r="H7" s="5">
        <v>2</v>
      </c>
      <c r="I7" s="3" t="s">
        <v>19</v>
      </c>
      <c r="J7" s="6">
        <v>600000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600000</v>
      </c>
    </row>
    <row r="8" spans="1:16" x14ac:dyDescent="0.25">
      <c r="A8" s="3" t="s">
        <v>28</v>
      </c>
      <c r="B8" s="4" t="s">
        <v>29</v>
      </c>
      <c r="C8" s="3" t="s">
        <v>19</v>
      </c>
      <c r="D8" s="3" t="s">
        <v>19</v>
      </c>
      <c r="E8" s="3" t="s">
        <v>25</v>
      </c>
      <c r="F8" s="3" t="s">
        <v>19</v>
      </c>
      <c r="G8" s="3" t="s">
        <v>27</v>
      </c>
      <c r="H8" s="5">
        <v>2</v>
      </c>
      <c r="I8" s="3" t="s">
        <v>19</v>
      </c>
      <c r="J8" s="6">
        <v>20000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20000</v>
      </c>
    </row>
    <row r="9" spans="1:16" x14ac:dyDescent="0.25">
      <c r="A9" s="3" t="s">
        <v>28</v>
      </c>
      <c r="B9" s="4" t="s">
        <v>29</v>
      </c>
      <c r="C9" s="3" t="s">
        <v>19</v>
      </c>
      <c r="D9" s="3" t="s">
        <v>19</v>
      </c>
      <c r="E9" s="3" t="s">
        <v>25</v>
      </c>
      <c r="F9" s="3" t="s">
        <v>19</v>
      </c>
      <c r="G9" s="3" t="s">
        <v>26</v>
      </c>
      <c r="H9" s="5">
        <v>1</v>
      </c>
      <c r="I9" s="3" t="s">
        <v>19</v>
      </c>
      <c r="J9" s="6">
        <v>200000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200000</v>
      </c>
    </row>
    <row r="10" spans="1:16" x14ac:dyDescent="0.25">
      <c r="A10" s="3" t="s">
        <v>28</v>
      </c>
      <c r="B10" s="4" t="s">
        <v>29</v>
      </c>
      <c r="C10" s="3" t="s">
        <v>19</v>
      </c>
      <c r="D10" s="3" t="s">
        <v>19</v>
      </c>
      <c r="E10" s="3" t="s">
        <v>25</v>
      </c>
      <c r="F10" s="3" t="s">
        <v>19</v>
      </c>
      <c r="G10" s="3" t="s">
        <v>30</v>
      </c>
      <c r="H10" s="5">
        <v>1</v>
      </c>
      <c r="I10" s="3" t="s">
        <v>19</v>
      </c>
      <c r="J10" s="6">
        <v>320000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320000</v>
      </c>
    </row>
    <row r="11" spans="1:16" x14ac:dyDescent="0.25">
      <c r="A11" s="3" t="s">
        <v>31</v>
      </c>
      <c r="B11" s="4" t="s">
        <v>32</v>
      </c>
      <c r="C11" s="3" t="s">
        <v>19</v>
      </c>
      <c r="D11" s="3" t="s">
        <v>19</v>
      </c>
      <c r="E11" s="3" t="s">
        <v>25</v>
      </c>
      <c r="F11" s="3" t="s">
        <v>19</v>
      </c>
      <c r="G11" s="3" t="s">
        <v>33</v>
      </c>
      <c r="H11" s="5">
        <v>4</v>
      </c>
      <c r="I11" s="3" t="s">
        <v>19</v>
      </c>
      <c r="J11" s="6">
        <v>600000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600000</v>
      </c>
    </row>
    <row r="12" ht="18" customHeight="1" spans="1:16" x14ac:dyDescent="0.25">
      <c r="A12" s="7" t="s">
        <v>34</v>
      </c>
      <c r="B12" s="7"/>
      <c r="C12" s="7"/>
      <c r="D12" s="7"/>
      <c r="E12" s="7"/>
      <c r="F12" s="7"/>
      <c r="G12" s="7"/>
      <c r="H12" s="8">
        <f>SUM(H3:H11)</f>
        <v>15</v>
      </c>
      <c r="I12" s="7"/>
      <c r="J12" s="9">
        <f>SUM(J3:J11)</f>
        <v>2300000</v>
      </c>
      <c r="K12" s="9">
        <f>SUM(K3:K11)</f>
        <v>0</v>
      </c>
      <c r="L12" s="9">
        <f>SUM(L3:L11)</f>
        <v>0</v>
      </c>
      <c r="M12" s="9">
        <f>SUM(M3:M11)</f>
        <v>0</v>
      </c>
      <c r="N12" s="7"/>
      <c r="O12" s="9">
        <f>SUM(O3:O11)</f>
        <v>0</v>
      </c>
      <c r="P12" s="9">
        <f>SUM(P3:P11)</f>
        <v>2300000</v>
      </c>
    </row>
    <row r="16" ht="15.75" customHeight="1" spans="1:16" x14ac:dyDescent="0.25">
      <c r="A16" s="1" t="s">
        <v>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39.4" customHeight="1" spans="1:16" x14ac:dyDescent="0.25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N17" s="2" t="s">
        <v>14</v>
      </c>
      <c r="O17" s="2" t="s">
        <v>15</v>
      </c>
      <c r="P17" s="2" t="s">
        <v>16</v>
      </c>
    </row>
    <row r="18" spans="1:16" x14ac:dyDescent="0.25">
      <c r="A18" s="3" t="s">
        <v>36</v>
      </c>
      <c r="B18" s="4" t="s">
        <v>37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33</v>
      </c>
      <c r="H18" s="5">
        <v>1</v>
      </c>
      <c r="I18" s="3" t="s">
        <v>19</v>
      </c>
      <c r="J18" s="6">
        <v>150000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150000</v>
      </c>
    </row>
    <row r="19" spans="1:16" x14ac:dyDescent="0.25">
      <c r="A19" s="3" t="s">
        <v>36</v>
      </c>
      <c r="B19" s="4" t="s">
        <v>37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26</v>
      </c>
      <c r="H19" s="5">
        <v>1</v>
      </c>
      <c r="I19" s="3" t="s">
        <v>19</v>
      </c>
      <c r="J19" s="6">
        <v>200000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200000</v>
      </c>
    </row>
    <row r="20" spans="1:16" x14ac:dyDescent="0.25">
      <c r="A20" s="3" t="s">
        <v>38</v>
      </c>
      <c r="B20" s="4" t="s">
        <v>39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33</v>
      </c>
      <c r="H20" s="5">
        <v>1</v>
      </c>
      <c r="I20" s="3" t="s">
        <v>19</v>
      </c>
      <c r="J20" s="6">
        <v>150000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150000</v>
      </c>
    </row>
    <row r="21" spans="1:16" x14ac:dyDescent="0.25">
      <c r="A21" s="3" t="s">
        <v>40</v>
      </c>
      <c r="B21" s="4" t="s">
        <v>41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33</v>
      </c>
      <c r="H21" s="5">
        <v>1</v>
      </c>
      <c r="I21" s="3" t="s">
        <v>19</v>
      </c>
      <c r="J21" s="6">
        <v>150000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150000</v>
      </c>
    </row>
    <row r="22" spans="1:16" x14ac:dyDescent="0.25">
      <c r="A22" s="3" t="s">
        <v>42</v>
      </c>
      <c r="B22" s="4" t="s">
        <v>43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26</v>
      </c>
      <c r="H22" s="5">
        <v>1</v>
      </c>
      <c r="I22" s="3" t="s">
        <v>19</v>
      </c>
      <c r="J22" s="6">
        <v>200000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200000</v>
      </c>
    </row>
    <row r="23" spans="1:16" x14ac:dyDescent="0.25">
      <c r="A23" s="3" t="s">
        <v>42</v>
      </c>
      <c r="B23" s="4" t="s">
        <v>43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44</v>
      </c>
      <c r="H23" s="5">
        <v>1</v>
      </c>
      <c r="I23" s="3" t="s">
        <v>19</v>
      </c>
      <c r="J23" s="6">
        <v>350000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350000</v>
      </c>
    </row>
    <row r="24" spans="1:16" x14ac:dyDescent="0.25">
      <c r="A24" s="3" t="s">
        <v>45</v>
      </c>
      <c r="B24" s="4" t="s">
        <v>46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47</v>
      </c>
      <c r="H24" s="5">
        <v>1</v>
      </c>
      <c r="I24" s="3" t="s">
        <v>19</v>
      </c>
      <c r="J24" s="6">
        <v>250000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250000</v>
      </c>
    </row>
    <row r="25" spans="1:16" x14ac:dyDescent="0.25">
      <c r="A25" s="3" t="s">
        <v>45</v>
      </c>
      <c r="B25" s="4" t="s">
        <v>46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21</v>
      </c>
      <c r="H25" s="5">
        <v>1</v>
      </c>
      <c r="I25" s="3" t="s">
        <v>19</v>
      </c>
      <c r="J25" s="6">
        <v>25000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25000</v>
      </c>
    </row>
    <row r="26" spans="1:16" x14ac:dyDescent="0.25">
      <c r="A26" s="3" t="s">
        <v>48</v>
      </c>
      <c r="B26" s="4" t="s">
        <v>49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33</v>
      </c>
      <c r="H26" s="5">
        <v>1</v>
      </c>
      <c r="I26" s="3" t="s">
        <v>19</v>
      </c>
      <c r="J26" s="6">
        <v>150000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150000</v>
      </c>
    </row>
    <row r="27" spans="1:16" x14ac:dyDescent="0.25">
      <c r="A27" s="3" t="s">
        <v>50</v>
      </c>
      <c r="B27" s="4" t="s">
        <v>51</v>
      </c>
      <c r="C27" s="3" t="s">
        <v>19</v>
      </c>
      <c r="D27" s="3" t="s">
        <v>19</v>
      </c>
      <c r="E27" s="3" t="s">
        <v>52</v>
      </c>
      <c r="F27" s="3" t="s">
        <v>19</v>
      </c>
      <c r="G27" s="3" t="s">
        <v>33</v>
      </c>
      <c r="H27" s="5">
        <v>2</v>
      </c>
      <c r="I27" s="3" t="s">
        <v>19</v>
      </c>
      <c r="J27" s="6">
        <v>300000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300000</v>
      </c>
    </row>
    <row r="28" ht="18" customHeight="1" spans="1:16" x14ac:dyDescent="0.25">
      <c r="A28" s="7" t="s">
        <v>34</v>
      </c>
      <c r="B28" s="7"/>
      <c r="C28" s="7"/>
      <c r="D28" s="7"/>
      <c r="E28" s="7"/>
      <c r="F28" s="7"/>
      <c r="G28" s="7"/>
      <c r="H28" s="8">
        <f>SUM(H18:H27)</f>
        <v>11</v>
      </c>
      <c r="I28" s="7"/>
      <c r="J28" s="9">
        <f>SUM(J18:J27)</f>
        <v>1925000</v>
      </c>
      <c r="K28" s="9">
        <f>SUM(K18:K27)</f>
        <v>0</v>
      </c>
      <c r="L28" s="9">
        <f>SUM(L18:L27)</f>
        <v>0</v>
      </c>
      <c r="M28" s="9">
        <f>SUM(M18:M27)</f>
        <v>0</v>
      </c>
      <c r="N28" s="7"/>
      <c r="O28" s="9">
        <f>SUM(O18:O27)</f>
        <v>0</v>
      </c>
      <c r="P28" s="9">
        <f>SUM(P18:P27)</f>
        <v>1925000</v>
      </c>
    </row>
    <row r="32" ht="15.75" customHeight="1" spans="1:16" x14ac:dyDescent="0.25">
      <c r="A32" s="1" t="s">
        <v>53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39.4" customHeight="1" spans="1:16" x14ac:dyDescent="0.2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  <c r="N33" s="2" t="s">
        <v>14</v>
      </c>
      <c r="O33" s="2" t="s">
        <v>15</v>
      </c>
      <c r="P33" s="2" t="s">
        <v>16</v>
      </c>
    </row>
    <row r="34" spans="1:16" x14ac:dyDescent="0.25">
      <c r="A34" s="3" t="s">
        <v>54</v>
      </c>
      <c r="B34" s="4" t="s">
        <v>55</v>
      </c>
      <c r="C34" s="3" t="s">
        <v>19</v>
      </c>
      <c r="D34" s="3" t="s">
        <v>19</v>
      </c>
      <c r="E34" s="3" t="s">
        <v>25</v>
      </c>
      <c r="F34" s="3" t="s">
        <v>19</v>
      </c>
      <c r="G34" s="3" t="s">
        <v>33</v>
      </c>
      <c r="H34" s="5">
        <v>2</v>
      </c>
      <c r="I34" s="3" t="s">
        <v>19</v>
      </c>
      <c r="J34" s="6">
        <v>300000</v>
      </c>
      <c r="K34" s="6">
        <v>0</v>
      </c>
      <c r="L34" s="6">
        <v>0</v>
      </c>
      <c r="M34" s="6">
        <v>0</v>
      </c>
      <c r="N34" s="3" t="s">
        <v>19</v>
      </c>
      <c r="O34" s="6">
        <v>0</v>
      </c>
      <c r="P34" s="6">
        <f>J34-L34</f>
        <v>300000</v>
      </c>
    </row>
    <row r="35" spans="1:16" x14ac:dyDescent="0.25">
      <c r="A35" s="3" t="s">
        <v>56</v>
      </c>
      <c r="B35" s="4" t="s">
        <v>57</v>
      </c>
      <c r="C35" s="3" t="s">
        <v>19</v>
      </c>
      <c r="D35" s="3" t="s">
        <v>19</v>
      </c>
      <c r="E35" s="3" t="s">
        <v>25</v>
      </c>
      <c r="F35" s="3" t="s">
        <v>19</v>
      </c>
      <c r="G35" s="3" t="s">
        <v>33</v>
      </c>
      <c r="H35" s="5">
        <v>1</v>
      </c>
      <c r="I35" s="3" t="s">
        <v>19</v>
      </c>
      <c r="J35" s="6">
        <v>150000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150000</v>
      </c>
    </row>
    <row r="36" spans="1:16" x14ac:dyDescent="0.25">
      <c r="A36" s="3" t="s">
        <v>58</v>
      </c>
      <c r="B36" s="4" t="s">
        <v>59</v>
      </c>
      <c r="C36" s="3" t="s">
        <v>19</v>
      </c>
      <c r="D36" s="3" t="s">
        <v>19</v>
      </c>
      <c r="E36" s="3" t="s">
        <v>52</v>
      </c>
      <c r="F36" s="3" t="s">
        <v>19</v>
      </c>
      <c r="G36" s="3" t="s">
        <v>26</v>
      </c>
      <c r="H36" s="5">
        <v>2</v>
      </c>
      <c r="I36" s="3" t="s">
        <v>19</v>
      </c>
      <c r="J36" s="6">
        <v>400000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400000</v>
      </c>
    </row>
    <row r="37" spans="1:16" x14ac:dyDescent="0.25">
      <c r="A37" s="3" t="s">
        <v>58</v>
      </c>
      <c r="B37" s="4" t="s">
        <v>59</v>
      </c>
      <c r="C37" s="3" t="s">
        <v>19</v>
      </c>
      <c r="D37" s="3" t="s">
        <v>19</v>
      </c>
      <c r="E37" s="3" t="s">
        <v>52</v>
      </c>
      <c r="F37" s="3" t="s">
        <v>19</v>
      </c>
      <c r="G37" s="3" t="s">
        <v>33</v>
      </c>
      <c r="H37" s="5">
        <v>2</v>
      </c>
      <c r="I37" s="3" t="s">
        <v>19</v>
      </c>
      <c r="J37" s="6">
        <v>300000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300000</v>
      </c>
    </row>
    <row r="38" ht="18" customHeight="1" spans="1:16" x14ac:dyDescent="0.25">
      <c r="A38" s="7" t="s">
        <v>34</v>
      </c>
      <c r="B38" s="7"/>
      <c r="C38" s="7"/>
      <c r="D38" s="7"/>
      <c r="E38" s="7"/>
      <c r="F38" s="7"/>
      <c r="G38" s="7"/>
      <c r="H38" s="8">
        <f>SUM(H34:H37)</f>
        <v>7</v>
      </c>
      <c r="I38" s="7"/>
      <c r="J38" s="9">
        <f>SUM(J34:J37)</f>
        <v>1150000</v>
      </c>
      <c r="K38" s="9">
        <f>SUM(K34:K37)</f>
        <v>0</v>
      </c>
      <c r="L38" s="9">
        <f>SUM(L34:L37)</f>
        <v>0</v>
      </c>
      <c r="M38" s="9">
        <f>SUM(M34:M37)</f>
        <v>0</v>
      </c>
      <c r="N38" s="7"/>
      <c r="O38" s="9">
        <f>SUM(O34:O37)</f>
        <v>0</v>
      </c>
      <c r="P38" s="9">
        <f>SUM(P34:P37)</f>
        <v>1150000</v>
      </c>
    </row>
    <row r="42" ht="15.75" customHeight="1" spans="1:16" x14ac:dyDescent="0.25">
      <c r="A42" s="1" t="s">
        <v>60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39.4" customHeight="1" spans="1:16" x14ac:dyDescent="0.25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  <c r="N43" s="2" t="s">
        <v>14</v>
      </c>
      <c r="O43" s="2" t="s">
        <v>15</v>
      </c>
      <c r="P43" s="2" t="s">
        <v>16</v>
      </c>
    </row>
    <row r="44" spans="1:16" x14ac:dyDescent="0.25">
      <c r="A44" s="3" t="s">
        <v>61</v>
      </c>
      <c r="B44" s="4" t="s">
        <v>62</v>
      </c>
      <c r="C44" s="3" t="s">
        <v>19</v>
      </c>
      <c r="D44" s="3" t="s">
        <v>19</v>
      </c>
      <c r="E44" s="3" t="s">
        <v>52</v>
      </c>
      <c r="F44" s="3" t="s">
        <v>19</v>
      </c>
      <c r="G44" s="3" t="s">
        <v>33</v>
      </c>
      <c r="H44" s="5">
        <v>1</v>
      </c>
      <c r="I44" s="3" t="s">
        <v>19</v>
      </c>
      <c r="J44" s="6">
        <v>150000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150000</v>
      </c>
    </row>
    <row r="45" spans="1:16" x14ac:dyDescent="0.25">
      <c r="A45" s="3" t="s">
        <v>63</v>
      </c>
      <c r="B45" s="4" t="s">
        <v>64</v>
      </c>
      <c r="C45" s="3" t="s">
        <v>19</v>
      </c>
      <c r="D45" s="3" t="s">
        <v>19</v>
      </c>
      <c r="E45" s="3" t="s">
        <v>52</v>
      </c>
      <c r="F45" s="3" t="s">
        <v>19</v>
      </c>
      <c r="G45" s="3" t="s">
        <v>33</v>
      </c>
      <c r="H45" s="5">
        <v>1</v>
      </c>
      <c r="I45" s="3" t="s">
        <v>19</v>
      </c>
      <c r="J45" s="6">
        <v>150000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150000</v>
      </c>
    </row>
    <row r="46" ht="18" customHeight="1" spans="1:16" x14ac:dyDescent="0.25">
      <c r="A46" s="7" t="s">
        <v>34</v>
      </c>
      <c r="B46" s="7"/>
      <c r="C46" s="7"/>
      <c r="D46" s="7"/>
      <c r="E46" s="7"/>
      <c r="F46" s="7"/>
      <c r="G46" s="7"/>
      <c r="H46" s="8">
        <f>SUM(H44:H45)</f>
        <v>2</v>
      </c>
      <c r="I46" s="7"/>
      <c r="J46" s="9">
        <f>SUM(J44:J45)</f>
        <v>300000</v>
      </c>
      <c r="K46" s="9">
        <f>SUM(K44:K45)</f>
        <v>0</v>
      </c>
      <c r="L46" s="9">
        <f>SUM(L44:L45)</f>
        <v>0</v>
      </c>
      <c r="M46" s="9">
        <f>SUM(M44:M45)</f>
        <v>0</v>
      </c>
      <c r="N46" s="7"/>
      <c r="O46" s="9">
        <f>SUM(O44:O45)</f>
        <v>0</v>
      </c>
      <c r="P46" s="9">
        <f>SUM(P44:P45)</f>
        <v>300000</v>
      </c>
    </row>
    <row r="50" ht="15.75" customHeight="1" spans="1:16" x14ac:dyDescent="0.25">
      <c r="A50" s="1" t="s">
        <v>65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39.4" customHeight="1" spans="1:16" x14ac:dyDescent="0.25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2" t="s">
        <v>14</v>
      </c>
      <c r="O51" s="2" t="s">
        <v>15</v>
      </c>
      <c r="P51" s="2" t="s">
        <v>16</v>
      </c>
    </row>
    <row r="52" spans="1:16" x14ac:dyDescent="0.25">
      <c r="A52" s="3" t="s">
        <v>66</v>
      </c>
      <c r="B52" s="4" t="s">
        <v>67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22</v>
      </c>
      <c r="H52" s="5">
        <v>1</v>
      </c>
      <c r="I52" s="3" t="s">
        <v>19</v>
      </c>
      <c r="J52" s="6">
        <v>300000</v>
      </c>
      <c r="K52" s="6">
        <v>0</v>
      </c>
      <c r="L52" s="6">
        <v>0</v>
      </c>
      <c r="M52" s="6">
        <v>0</v>
      </c>
      <c r="N52" s="3" t="s">
        <v>19</v>
      </c>
      <c r="O52" s="6">
        <v>0</v>
      </c>
      <c r="P52" s="6">
        <f>J52-L52</f>
        <v>300000</v>
      </c>
    </row>
    <row r="53" spans="1:16" x14ac:dyDescent="0.25">
      <c r="A53" s="3" t="s">
        <v>68</v>
      </c>
      <c r="B53" s="4" t="s">
        <v>69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33</v>
      </c>
      <c r="H53" s="5">
        <v>1</v>
      </c>
      <c r="I53" s="3" t="s">
        <v>19</v>
      </c>
      <c r="J53" s="6">
        <v>150000</v>
      </c>
      <c r="K53" s="6">
        <v>0</v>
      </c>
      <c r="L53" s="6">
        <v>0</v>
      </c>
      <c r="M53" s="6">
        <v>0</v>
      </c>
      <c r="N53" s="3" t="s">
        <v>19</v>
      </c>
      <c r="O53" s="6">
        <v>0</v>
      </c>
      <c r="P53" s="6">
        <f>J53-L53</f>
        <v>150000</v>
      </c>
    </row>
    <row r="54" spans="1:16" x14ac:dyDescent="0.25">
      <c r="A54" s="3" t="s">
        <v>70</v>
      </c>
      <c r="B54" s="4" t="s">
        <v>71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33</v>
      </c>
      <c r="H54" s="5">
        <v>2</v>
      </c>
      <c r="I54" s="3" t="s">
        <v>19</v>
      </c>
      <c r="J54" s="6">
        <v>300000</v>
      </c>
      <c r="K54" s="6">
        <v>0</v>
      </c>
      <c r="L54" s="6">
        <v>0</v>
      </c>
      <c r="M54" s="6">
        <v>0</v>
      </c>
      <c r="N54" s="3" t="s">
        <v>19</v>
      </c>
      <c r="O54" s="6">
        <v>0</v>
      </c>
      <c r="P54" s="6">
        <f>J54-L54</f>
        <v>300000</v>
      </c>
    </row>
    <row r="55" spans="1:16" x14ac:dyDescent="0.25">
      <c r="A55" s="3" t="s">
        <v>72</v>
      </c>
      <c r="B55" s="4" t="s">
        <v>73</v>
      </c>
      <c r="C55" s="3" t="s">
        <v>19</v>
      </c>
      <c r="D55" s="3" t="s">
        <v>19</v>
      </c>
      <c r="E55" s="3" t="s">
        <v>52</v>
      </c>
      <c r="F55" s="3" t="s">
        <v>19</v>
      </c>
      <c r="G55" s="3" t="s">
        <v>22</v>
      </c>
      <c r="H55" s="5">
        <v>1</v>
      </c>
      <c r="I55" s="3" t="s">
        <v>19</v>
      </c>
      <c r="J55" s="6">
        <v>300000</v>
      </c>
      <c r="K55" s="6">
        <v>0</v>
      </c>
      <c r="L55" s="6">
        <v>0</v>
      </c>
      <c r="M55" s="6">
        <v>0</v>
      </c>
      <c r="N55" s="3" t="s">
        <v>19</v>
      </c>
      <c r="O55" s="6">
        <v>0</v>
      </c>
      <c r="P55" s="6">
        <f>J55-L55</f>
        <v>300000</v>
      </c>
    </row>
    <row r="56" spans="1:16" x14ac:dyDescent="0.25">
      <c r="A56" s="3" t="s">
        <v>74</v>
      </c>
      <c r="B56" s="4" t="s">
        <v>75</v>
      </c>
      <c r="C56" s="3" t="s">
        <v>19</v>
      </c>
      <c r="D56" s="3" t="s">
        <v>19</v>
      </c>
      <c r="E56" s="3" t="s">
        <v>52</v>
      </c>
      <c r="F56" s="3" t="s">
        <v>19</v>
      </c>
      <c r="G56" s="3" t="s">
        <v>33</v>
      </c>
      <c r="H56" s="5">
        <v>1</v>
      </c>
      <c r="I56" s="3" t="s">
        <v>19</v>
      </c>
      <c r="J56" s="6">
        <v>150000</v>
      </c>
      <c r="K56" s="6">
        <v>0</v>
      </c>
      <c r="L56" s="6">
        <v>0</v>
      </c>
      <c r="M56" s="6">
        <v>0</v>
      </c>
      <c r="N56" s="3" t="s">
        <v>19</v>
      </c>
      <c r="O56" s="6">
        <v>0</v>
      </c>
      <c r="P56" s="6">
        <f>J56-L56</f>
        <v>150000</v>
      </c>
    </row>
    <row r="57" spans="1:16" x14ac:dyDescent="0.25">
      <c r="A57" s="3" t="s">
        <v>76</v>
      </c>
      <c r="B57" s="4" t="s">
        <v>77</v>
      </c>
      <c r="C57" s="3" t="s">
        <v>19</v>
      </c>
      <c r="D57" s="3" t="s">
        <v>19</v>
      </c>
      <c r="E57" s="3" t="s">
        <v>52</v>
      </c>
      <c r="F57" s="3" t="s">
        <v>19</v>
      </c>
      <c r="G57" s="3" t="s">
        <v>21</v>
      </c>
      <c r="H57" s="5">
        <v>2</v>
      </c>
      <c r="I57" s="3" t="s">
        <v>19</v>
      </c>
      <c r="J57" s="6">
        <v>50000</v>
      </c>
      <c r="K57" s="6">
        <v>0</v>
      </c>
      <c r="L57" s="6">
        <v>0</v>
      </c>
      <c r="M57" s="6">
        <v>0</v>
      </c>
      <c r="N57" s="3" t="s">
        <v>19</v>
      </c>
      <c r="O57" s="6">
        <v>0</v>
      </c>
      <c r="P57" s="6">
        <f>J57-L57</f>
        <v>50000</v>
      </c>
    </row>
    <row r="58" spans="1:16" x14ac:dyDescent="0.25">
      <c r="A58" s="3" t="s">
        <v>78</v>
      </c>
      <c r="B58" s="4" t="s">
        <v>79</v>
      </c>
      <c r="C58" s="3" t="s">
        <v>19</v>
      </c>
      <c r="D58" s="3" t="s">
        <v>19</v>
      </c>
      <c r="E58" s="3" t="s">
        <v>52</v>
      </c>
      <c r="F58" s="3" t="s">
        <v>19</v>
      </c>
      <c r="G58" s="3" t="s">
        <v>47</v>
      </c>
      <c r="H58" s="5">
        <v>1</v>
      </c>
      <c r="I58" s="3" t="s">
        <v>19</v>
      </c>
      <c r="J58" s="6">
        <v>250000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250000</v>
      </c>
    </row>
    <row r="59" spans="1:16" x14ac:dyDescent="0.25">
      <c r="A59" s="3" t="s">
        <v>78</v>
      </c>
      <c r="B59" s="4" t="s">
        <v>79</v>
      </c>
      <c r="C59" s="3" t="s">
        <v>19</v>
      </c>
      <c r="D59" s="3" t="s">
        <v>19</v>
      </c>
      <c r="E59" s="3" t="s">
        <v>52</v>
      </c>
      <c r="F59" s="3" t="s">
        <v>19</v>
      </c>
      <c r="G59" s="3" t="s">
        <v>21</v>
      </c>
      <c r="H59" s="5">
        <v>1</v>
      </c>
      <c r="I59" s="3" t="s">
        <v>19</v>
      </c>
      <c r="J59" s="6">
        <v>25000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25000</v>
      </c>
    </row>
    <row r="60" ht="18" customHeight="1" spans="1:16" x14ac:dyDescent="0.25">
      <c r="A60" s="7" t="s">
        <v>34</v>
      </c>
      <c r="B60" s="7"/>
      <c r="C60" s="7"/>
      <c r="D60" s="7"/>
      <c r="E60" s="7"/>
      <c r="F60" s="7"/>
      <c r="G60" s="7"/>
      <c r="H60" s="8">
        <f>SUM(H52:H59)</f>
        <v>10</v>
      </c>
      <c r="I60" s="7"/>
      <c r="J60" s="9">
        <f>SUM(J52:J59)</f>
        <v>1525000</v>
      </c>
      <c r="K60" s="9">
        <f>SUM(K52:K59)</f>
        <v>0</v>
      </c>
      <c r="L60" s="9">
        <f>SUM(L52:L59)</f>
        <v>0</v>
      </c>
      <c r="M60" s="9">
        <f>SUM(M52:M59)</f>
        <v>0</v>
      </c>
      <c r="N60" s="7"/>
      <c r="O60" s="9">
        <f>SUM(O52:O59)</f>
        <v>0</v>
      </c>
      <c r="P60" s="9">
        <f>SUM(P52:P59)</f>
        <v>1525000</v>
      </c>
    </row>
    <row r="64" ht="15.75" customHeight="1" spans="1:16" x14ac:dyDescent="0.25">
      <c r="A64" s="1" t="s">
        <v>80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39.4" customHeight="1" spans="1:16" x14ac:dyDescent="0.25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  <c r="G65" s="2" t="s">
        <v>7</v>
      </c>
      <c r="H65" s="2" t="s">
        <v>8</v>
      </c>
      <c r="I65" s="2" t="s">
        <v>9</v>
      </c>
      <c r="J65" s="2" t="s">
        <v>10</v>
      </c>
      <c r="K65" s="2" t="s">
        <v>11</v>
      </c>
      <c r="L65" s="2" t="s">
        <v>12</v>
      </c>
      <c r="M65" s="2" t="s">
        <v>13</v>
      </c>
      <c r="N65" s="2" t="s">
        <v>14</v>
      </c>
      <c r="O65" s="2" t="s">
        <v>15</v>
      </c>
      <c r="P65" s="2" t="s">
        <v>16</v>
      </c>
    </row>
    <row r="66" spans="1:16" x14ac:dyDescent="0.25">
      <c r="A66" s="3" t="s">
        <v>81</v>
      </c>
      <c r="B66" s="4" t="s">
        <v>82</v>
      </c>
      <c r="C66" s="3" t="s">
        <v>19</v>
      </c>
      <c r="D66" s="3" t="s">
        <v>19</v>
      </c>
      <c r="E66" s="3" t="s">
        <v>20</v>
      </c>
      <c r="F66" s="3" t="s">
        <v>19</v>
      </c>
      <c r="G66" s="3" t="s">
        <v>83</v>
      </c>
      <c r="H66" s="5">
        <v>1</v>
      </c>
      <c r="I66" s="3" t="s">
        <v>19</v>
      </c>
      <c r="J66" s="6">
        <v>275000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275000</v>
      </c>
    </row>
    <row r="67" spans="1:16" x14ac:dyDescent="0.25">
      <c r="A67" s="3" t="s">
        <v>84</v>
      </c>
      <c r="B67" s="4" t="s">
        <v>85</v>
      </c>
      <c r="C67" s="3" t="s">
        <v>19</v>
      </c>
      <c r="D67" s="3" t="s">
        <v>19</v>
      </c>
      <c r="E67" s="3" t="s">
        <v>20</v>
      </c>
      <c r="F67" s="3" t="s">
        <v>19</v>
      </c>
      <c r="G67" s="3" t="s">
        <v>86</v>
      </c>
      <c r="H67" s="5">
        <v>1</v>
      </c>
      <c r="I67" s="3" t="s">
        <v>19</v>
      </c>
      <c r="J67" s="6">
        <v>150000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150000</v>
      </c>
    </row>
    <row r="68" spans="1:16" x14ac:dyDescent="0.25">
      <c r="A68" s="3" t="s">
        <v>87</v>
      </c>
      <c r="B68" s="4" t="s">
        <v>88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86</v>
      </c>
      <c r="H68" s="5">
        <v>1</v>
      </c>
      <c r="I68" s="3" t="s">
        <v>19</v>
      </c>
      <c r="J68" s="6">
        <v>150000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150000</v>
      </c>
    </row>
    <row r="69" spans="1:16" x14ac:dyDescent="0.25">
      <c r="A69" s="3" t="s">
        <v>87</v>
      </c>
      <c r="B69" s="4" t="s">
        <v>88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83</v>
      </c>
      <c r="H69" s="5">
        <v>1</v>
      </c>
      <c r="I69" s="3" t="s">
        <v>19</v>
      </c>
      <c r="J69" s="6">
        <v>200000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200000</v>
      </c>
    </row>
    <row r="70" spans="1:16" x14ac:dyDescent="0.25">
      <c r="A70" s="3" t="s">
        <v>89</v>
      </c>
      <c r="B70" s="4" t="s">
        <v>90</v>
      </c>
      <c r="C70" s="3" t="s">
        <v>19</v>
      </c>
      <c r="D70" s="3" t="s">
        <v>19</v>
      </c>
      <c r="E70" s="3" t="s">
        <v>52</v>
      </c>
      <c r="F70" s="3" t="s">
        <v>19</v>
      </c>
      <c r="G70" s="3" t="s">
        <v>86</v>
      </c>
      <c r="H70" s="5">
        <v>2</v>
      </c>
      <c r="I70" s="3" t="s">
        <v>19</v>
      </c>
      <c r="J70" s="6">
        <v>300000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300000</v>
      </c>
    </row>
    <row r="71" spans="1:16" x14ac:dyDescent="0.25">
      <c r="A71" s="3" t="s">
        <v>91</v>
      </c>
      <c r="B71" s="4" t="s">
        <v>92</v>
      </c>
      <c r="C71" s="3" t="s">
        <v>19</v>
      </c>
      <c r="D71" s="3" t="s">
        <v>19</v>
      </c>
      <c r="E71" s="3" t="s">
        <v>52</v>
      </c>
      <c r="F71" s="3" t="s">
        <v>19</v>
      </c>
      <c r="G71" s="3" t="s">
        <v>83</v>
      </c>
      <c r="H71" s="5">
        <v>2</v>
      </c>
      <c r="I71" s="3" t="s">
        <v>19</v>
      </c>
      <c r="J71" s="6">
        <v>400000</v>
      </c>
      <c r="K71" s="6">
        <v>0</v>
      </c>
      <c r="L71" s="6">
        <v>0</v>
      </c>
      <c r="M71" s="6">
        <v>0</v>
      </c>
      <c r="N71" s="3" t="s">
        <v>19</v>
      </c>
      <c r="O71" s="6">
        <v>0</v>
      </c>
      <c r="P71" s="6">
        <f>J71-L71</f>
        <v>400000</v>
      </c>
    </row>
    <row r="72" spans="1:16" x14ac:dyDescent="0.25">
      <c r="A72" s="3" t="s">
        <v>91</v>
      </c>
      <c r="B72" s="4" t="s">
        <v>92</v>
      </c>
      <c r="C72" s="3" t="s">
        <v>19</v>
      </c>
      <c r="D72" s="3" t="s">
        <v>19</v>
      </c>
      <c r="E72" s="3" t="s">
        <v>52</v>
      </c>
      <c r="F72" s="3" t="s">
        <v>19</v>
      </c>
      <c r="G72" s="3" t="s">
        <v>86</v>
      </c>
      <c r="H72" s="5">
        <v>1</v>
      </c>
      <c r="I72" s="3" t="s">
        <v>19</v>
      </c>
      <c r="J72" s="6">
        <v>150000</v>
      </c>
      <c r="K72" s="6">
        <v>0</v>
      </c>
      <c r="L72" s="6">
        <v>0</v>
      </c>
      <c r="M72" s="6">
        <v>0</v>
      </c>
      <c r="N72" s="3" t="s">
        <v>19</v>
      </c>
      <c r="O72" s="6">
        <v>0</v>
      </c>
      <c r="P72" s="6">
        <f>J72-L72</f>
        <v>150000</v>
      </c>
    </row>
    <row r="73" spans="1:16" x14ac:dyDescent="0.25">
      <c r="A73" s="3" t="s">
        <v>93</v>
      </c>
      <c r="B73" s="4" t="s">
        <v>94</v>
      </c>
      <c r="C73" s="3" t="s">
        <v>19</v>
      </c>
      <c r="D73" s="3" t="s">
        <v>19</v>
      </c>
      <c r="E73" s="3" t="s">
        <v>52</v>
      </c>
      <c r="F73" s="3" t="s">
        <v>19</v>
      </c>
      <c r="G73" s="3" t="s">
        <v>86</v>
      </c>
      <c r="H73" s="5">
        <v>5</v>
      </c>
      <c r="I73" s="3" t="s">
        <v>19</v>
      </c>
      <c r="J73" s="6">
        <v>750000</v>
      </c>
      <c r="K73" s="6">
        <v>0</v>
      </c>
      <c r="L73" s="6">
        <v>0</v>
      </c>
      <c r="M73" s="6">
        <v>0</v>
      </c>
      <c r="N73" s="3" t="s">
        <v>19</v>
      </c>
      <c r="O73" s="6">
        <v>0</v>
      </c>
      <c r="P73" s="6">
        <f>J73-L73</f>
        <v>750000</v>
      </c>
    </row>
    <row r="74" spans="1:16" x14ac:dyDescent="0.25">
      <c r="A74" s="3" t="s">
        <v>93</v>
      </c>
      <c r="B74" s="4" t="s">
        <v>94</v>
      </c>
      <c r="C74" s="3" t="s">
        <v>19</v>
      </c>
      <c r="D74" s="3" t="s">
        <v>19</v>
      </c>
      <c r="E74" s="3" t="s">
        <v>52</v>
      </c>
      <c r="F74" s="3" t="s">
        <v>19</v>
      </c>
      <c r="G74" s="3" t="s">
        <v>83</v>
      </c>
      <c r="H74" s="5">
        <v>1</v>
      </c>
      <c r="I74" s="3" t="s">
        <v>19</v>
      </c>
      <c r="J74" s="6">
        <v>200000</v>
      </c>
      <c r="K74" s="6">
        <v>0</v>
      </c>
      <c r="L74" s="6">
        <v>0</v>
      </c>
      <c r="M74" s="6">
        <v>0</v>
      </c>
      <c r="N74" s="3" t="s">
        <v>19</v>
      </c>
      <c r="O74" s="6">
        <v>0</v>
      </c>
      <c r="P74" s="6">
        <f>J74-L74</f>
        <v>200000</v>
      </c>
    </row>
    <row r="75" spans="1:16" x14ac:dyDescent="0.25">
      <c r="A75" s="3" t="s">
        <v>95</v>
      </c>
      <c r="B75" s="4" t="s">
        <v>96</v>
      </c>
      <c r="C75" s="3" t="s">
        <v>19</v>
      </c>
      <c r="D75" s="3" t="s">
        <v>19</v>
      </c>
      <c r="E75" s="3" t="s">
        <v>52</v>
      </c>
      <c r="F75" s="3" t="s">
        <v>19</v>
      </c>
      <c r="G75" s="3" t="s">
        <v>83</v>
      </c>
      <c r="H75" s="5">
        <v>1</v>
      </c>
      <c r="I75" s="3" t="s">
        <v>19</v>
      </c>
      <c r="J75" s="6">
        <v>275000</v>
      </c>
      <c r="K75" s="6">
        <v>0</v>
      </c>
      <c r="L75" s="6">
        <v>0</v>
      </c>
      <c r="M75" s="6">
        <v>0</v>
      </c>
      <c r="N75" s="3" t="s">
        <v>19</v>
      </c>
      <c r="O75" s="6">
        <v>0</v>
      </c>
      <c r="P75" s="6">
        <f>J75-L75</f>
        <v>275000</v>
      </c>
    </row>
    <row r="76" spans="1:16" x14ac:dyDescent="0.25">
      <c r="A76" s="3" t="s">
        <v>97</v>
      </c>
      <c r="B76" s="4" t="s">
        <v>98</v>
      </c>
      <c r="C76" s="3" t="s">
        <v>19</v>
      </c>
      <c r="D76" s="3" t="s">
        <v>19</v>
      </c>
      <c r="E76" s="3" t="s">
        <v>52</v>
      </c>
      <c r="F76" s="3" t="s">
        <v>19</v>
      </c>
      <c r="G76" s="3" t="s">
        <v>86</v>
      </c>
      <c r="H76" s="5">
        <v>2</v>
      </c>
      <c r="I76" s="3" t="s">
        <v>19</v>
      </c>
      <c r="J76" s="6">
        <v>300000</v>
      </c>
      <c r="K76" s="6">
        <v>0</v>
      </c>
      <c r="L76" s="6">
        <v>0</v>
      </c>
      <c r="M76" s="6">
        <v>0</v>
      </c>
      <c r="N76" s="3" t="s">
        <v>19</v>
      </c>
      <c r="O76" s="6">
        <v>0</v>
      </c>
      <c r="P76" s="6">
        <f>J76-L76</f>
        <v>300000</v>
      </c>
    </row>
    <row r="77" ht="18" customHeight="1" spans="1:16" x14ac:dyDescent="0.25">
      <c r="A77" s="7" t="s">
        <v>34</v>
      </c>
      <c r="B77" s="7"/>
      <c r="C77" s="7"/>
      <c r="D77" s="7"/>
      <c r="E77" s="7"/>
      <c r="F77" s="7"/>
      <c r="G77" s="7"/>
      <c r="H77" s="8">
        <f>SUM(H66:H76)</f>
        <v>18</v>
      </c>
      <c r="I77" s="7"/>
      <c r="J77" s="9">
        <f>SUM(J66:J76)</f>
        <v>3150000</v>
      </c>
      <c r="K77" s="9">
        <f>SUM(K66:K76)</f>
        <v>0</v>
      </c>
      <c r="L77" s="9">
        <f>SUM(L66:L76)</f>
        <v>0</v>
      </c>
      <c r="M77" s="9">
        <f>SUM(M66:M76)</f>
        <v>0</v>
      </c>
      <c r="N77" s="7"/>
      <c r="O77" s="9">
        <f>SUM(O66:O76)</f>
        <v>0</v>
      </c>
      <c r="P77" s="9">
        <f>SUM(P66:P76)</f>
        <v>3150000</v>
      </c>
    </row>
    <row r="81" ht="15.75" customHeight="1" spans="1:16" x14ac:dyDescent="0.25">
      <c r="A81" s="1" t="s">
        <v>99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39.4" customHeight="1" spans="1:16" x14ac:dyDescent="0.25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2" t="s">
        <v>7</v>
      </c>
      <c r="H82" s="2" t="s">
        <v>8</v>
      </c>
      <c r="I82" s="2" t="s">
        <v>9</v>
      </c>
      <c r="J82" s="2" t="s">
        <v>10</v>
      </c>
      <c r="K82" s="2" t="s">
        <v>11</v>
      </c>
      <c r="L82" s="2" t="s">
        <v>12</v>
      </c>
      <c r="M82" s="2" t="s">
        <v>13</v>
      </c>
      <c r="N82" s="2" t="s">
        <v>14</v>
      </c>
      <c r="O82" s="2" t="s">
        <v>15</v>
      </c>
      <c r="P82" s="2" t="s">
        <v>16</v>
      </c>
    </row>
    <row r="83" spans="1:16" x14ac:dyDescent="0.25">
      <c r="A83" s="3" t="s">
        <v>100</v>
      </c>
      <c r="B83" s="4" t="s">
        <v>101</v>
      </c>
      <c r="C83" s="3" t="s">
        <v>19</v>
      </c>
      <c r="D83" s="3" t="s">
        <v>19</v>
      </c>
      <c r="E83" s="3" t="s">
        <v>20</v>
      </c>
      <c r="F83" s="3" t="s">
        <v>19</v>
      </c>
      <c r="G83" s="3" t="s">
        <v>86</v>
      </c>
      <c r="H83" s="5">
        <v>2</v>
      </c>
      <c r="I83" s="3" t="s">
        <v>19</v>
      </c>
      <c r="J83" s="6">
        <v>300000</v>
      </c>
      <c r="K83" s="6">
        <v>0</v>
      </c>
      <c r="L83" s="6">
        <v>0</v>
      </c>
      <c r="M83" s="6">
        <v>0</v>
      </c>
      <c r="N83" s="3" t="s">
        <v>19</v>
      </c>
      <c r="O83" s="6">
        <v>0</v>
      </c>
      <c r="P83" s="6">
        <f>J83-L83</f>
        <v>300000</v>
      </c>
    </row>
    <row r="84" spans="1:16" x14ac:dyDescent="0.25">
      <c r="A84" s="3" t="s">
        <v>102</v>
      </c>
      <c r="B84" s="4" t="s">
        <v>103</v>
      </c>
      <c r="C84" s="3" t="s">
        <v>19</v>
      </c>
      <c r="D84" s="3" t="s">
        <v>19</v>
      </c>
      <c r="E84" s="3" t="s">
        <v>20</v>
      </c>
      <c r="F84" s="3" t="s">
        <v>19</v>
      </c>
      <c r="G84" s="3" t="s">
        <v>86</v>
      </c>
      <c r="H84" s="5">
        <v>1</v>
      </c>
      <c r="I84" s="3" t="s">
        <v>19</v>
      </c>
      <c r="J84" s="6">
        <v>150000</v>
      </c>
      <c r="K84" s="6">
        <v>0</v>
      </c>
      <c r="L84" s="6">
        <v>0</v>
      </c>
      <c r="M84" s="6">
        <v>0</v>
      </c>
      <c r="N84" s="3" t="s">
        <v>19</v>
      </c>
      <c r="O84" s="6">
        <v>0</v>
      </c>
      <c r="P84" s="6">
        <f>J84-L84</f>
        <v>150000</v>
      </c>
    </row>
    <row r="85" spans="1:16" x14ac:dyDescent="0.25">
      <c r="A85" s="3" t="s">
        <v>104</v>
      </c>
      <c r="B85" s="4" t="s">
        <v>105</v>
      </c>
      <c r="C85" s="3" t="s">
        <v>19</v>
      </c>
      <c r="D85" s="3" t="s">
        <v>19</v>
      </c>
      <c r="E85" s="3" t="s">
        <v>20</v>
      </c>
      <c r="F85" s="3" t="s">
        <v>19</v>
      </c>
      <c r="G85" s="3" t="s">
        <v>86</v>
      </c>
      <c r="H85" s="5">
        <v>1</v>
      </c>
      <c r="I85" s="3" t="s">
        <v>19</v>
      </c>
      <c r="J85" s="6">
        <v>150000</v>
      </c>
      <c r="K85" s="6">
        <v>0</v>
      </c>
      <c r="L85" s="6">
        <v>0</v>
      </c>
      <c r="M85" s="6">
        <v>0</v>
      </c>
      <c r="N85" s="3" t="s">
        <v>19</v>
      </c>
      <c r="O85" s="6">
        <v>0</v>
      </c>
      <c r="P85" s="6">
        <f>J85-L85</f>
        <v>150000</v>
      </c>
    </row>
    <row r="86" spans="1:16" x14ac:dyDescent="0.25">
      <c r="A86" s="3" t="s">
        <v>106</v>
      </c>
      <c r="B86" s="4" t="s">
        <v>107</v>
      </c>
      <c r="C86" s="3" t="s">
        <v>19</v>
      </c>
      <c r="D86" s="3" t="s">
        <v>19</v>
      </c>
      <c r="E86" s="3" t="s">
        <v>52</v>
      </c>
      <c r="F86" s="3" t="s">
        <v>19</v>
      </c>
      <c r="G86" s="3" t="s">
        <v>83</v>
      </c>
      <c r="H86" s="5">
        <v>2</v>
      </c>
      <c r="I86" s="3" t="s">
        <v>19</v>
      </c>
      <c r="J86" s="6">
        <v>550000</v>
      </c>
      <c r="K86" s="6">
        <v>0</v>
      </c>
      <c r="L86" s="6">
        <v>0</v>
      </c>
      <c r="M86" s="6">
        <v>0</v>
      </c>
      <c r="N86" s="3" t="s">
        <v>19</v>
      </c>
      <c r="O86" s="6">
        <v>0</v>
      </c>
      <c r="P86" s="6">
        <f>J86-L86</f>
        <v>550000</v>
      </c>
    </row>
    <row r="87" spans="1:16" x14ac:dyDescent="0.25">
      <c r="A87" s="3" t="s">
        <v>108</v>
      </c>
      <c r="B87" s="4" t="s">
        <v>109</v>
      </c>
      <c r="C87" s="3" t="s">
        <v>19</v>
      </c>
      <c r="D87" s="3" t="s">
        <v>19</v>
      </c>
      <c r="E87" s="3" t="s">
        <v>52</v>
      </c>
      <c r="F87" s="3" t="s">
        <v>19</v>
      </c>
      <c r="G87" s="3" t="s">
        <v>86</v>
      </c>
      <c r="H87" s="5">
        <v>2</v>
      </c>
      <c r="I87" s="3" t="s">
        <v>19</v>
      </c>
      <c r="J87" s="6">
        <v>300000</v>
      </c>
      <c r="K87" s="6">
        <v>0</v>
      </c>
      <c r="L87" s="6">
        <v>0</v>
      </c>
      <c r="M87" s="6">
        <v>0</v>
      </c>
      <c r="N87" s="3" t="s">
        <v>19</v>
      </c>
      <c r="O87" s="6">
        <v>0</v>
      </c>
      <c r="P87" s="6">
        <f>J87-L87</f>
        <v>300000</v>
      </c>
    </row>
    <row r="88" spans="1:16" x14ac:dyDescent="0.25">
      <c r="A88" s="3" t="s">
        <v>110</v>
      </c>
      <c r="B88" s="4" t="s">
        <v>111</v>
      </c>
      <c r="C88" s="3" t="s">
        <v>19</v>
      </c>
      <c r="D88" s="3" t="s">
        <v>19</v>
      </c>
      <c r="E88" s="3" t="s">
        <v>52</v>
      </c>
      <c r="F88" s="3" t="s">
        <v>19</v>
      </c>
      <c r="G88" s="3" t="s">
        <v>86</v>
      </c>
      <c r="H88" s="5">
        <v>2</v>
      </c>
      <c r="I88" s="3" t="s">
        <v>19</v>
      </c>
      <c r="J88" s="6">
        <v>300000</v>
      </c>
      <c r="K88" s="6">
        <v>0</v>
      </c>
      <c r="L88" s="6">
        <v>0</v>
      </c>
      <c r="M88" s="6">
        <v>0</v>
      </c>
      <c r="N88" s="3" t="s">
        <v>19</v>
      </c>
      <c r="O88" s="6">
        <v>0</v>
      </c>
      <c r="P88" s="6">
        <f>J88-L88</f>
        <v>300000</v>
      </c>
    </row>
    <row r="89" ht="18" customHeight="1" spans="1:16" x14ac:dyDescent="0.25">
      <c r="A89" s="7" t="s">
        <v>34</v>
      </c>
      <c r="B89" s="7"/>
      <c r="C89" s="7"/>
      <c r="D89" s="7"/>
      <c r="E89" s="7"/>
      <c r="F89" s="7"/>
      <c r="G89" s="7"/>
      <c r="H89" s="8">
        <f>SUM(H83:H88)</f>
        <v>10</v>
      </c>
      <c r="I89" s="7"/>
      <c r="J89" s="9">
        <f>SUM(J83:J88)</f>
        <v>1750000</v>
      </c>
      <c r="K89" s="9">
        <f>SUM(K83:K88)</f>
        <v>0</v>
      </c>
      <c r="L89" s="9">
        <f>SUM(L83:L88)</f>
        <v>0</v>
      </c>
      <c r="M89" s="9">
        <f>SUM(M83:M88)</f>
        <v>0</v>
      </c>
      <c r="N89" s="7"/>
      <c r="O89" s="9">
        <f>SUM(O83:O88)</f>
        <v>0</v>
      </c>
      <c r="P89" s="9">
        <f>SUM(P83:P88)</f>
        <v>1750000</v>
      </c>
    </row>
    <row r="93" ht="15.75" customHeight="1" spans="1:16" x14ac:dyDescent="0.25">
      <c r="A93" s="1" t="s">
        <v>112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39.4" customHeight="1" spans="1:16" x14ac:dyDescent="0.25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  <c r="K94" s="2" t="s">
        <v>11</v>
      </c>
      <c r="L94" s="2" t="s">
        <v>12</v>
      </c>
      <c r="M94" s="2" t="s">
        <v>13</v>
      </c>
      <c r="N94" s="2" t="s">
        <v>14</v>
      </c>
      <c r="O94" s="2" t="s">
        <v>15</v>
      </c>
      <c r="P94" s="2" t="s">
        <v>16</v>
      </c>
    </row>
    <row r="95" spans="1:16" x14ac:dyDescent="0.25">
      <c r="A95" s="3" t="s">
        <v>113</v>
      </c>
      <c r="B95" s="4" t="s">
        <v>114</v>
      </c>
      <c r="C95" s="3" t="s">
        <v>19</v>
      </c>
      <c r="D95" s="3" t="s">
        <v>19</v>
      </c>
      <c r="E95" s="3" t="s">
        <v>20</v>
      </c>
      <c r="F95" s="3" t="s">
        <v>19</v>
      </c>
      <c r="G95" s="3" t="s">
        <v>86</v>
      </c>
      <c r="H95" s="5">
        <v>1</v>
      </c>
      <c r="I95" s="3" t="s">
        <v>19</v>
      </c>
      <c r="J95" s="6">
        <v>150000</v>
      </c>
      <c r="K95" s="6">
        <v>0</v>
      </c>
      <c r="L95" s="6">
        <v>0</v>
      </c>
      <c r="M95" s="6">
        <v>0</v>
      </c>
      <c r="N95" s="3" t="s">
        <v>19</v>
      </c>
      <c r="O95" s="6">
        <v>0</v>
      </c>
      <c r="P95" s="6">
        <f>J95-L95</f>
        <v>150000</v>
      </c>
    </row>
    <row r="96" spans="1:16" x14ac:dyDescent="0.25">
      <c r="A96" s="3" t="s">
        <v>115</v>
      </c>
      <c r="B96" s="4" t="s">
        <v>116</v>
      </c>
      <c r="C96" s="3" t="s">
        <v>19</v>
      </c>
      <c r="D96" s="3" t="s">
        <v>19</v>
      </c>
      <c r="E96" s="3" t="s">
        <v>20</v>
      </c>
      <c r="F96" s="3" t="s">
        <v>19</v>
      </c>
      <c r="G96" s="3" t="s">
        <v>83</v>
      </c>
      <c r="H96" s="5">
        <v>2</v>
      </c>
      <c r="I96" s="3" t="s">
        <v>19</v>
      </c>
      <c r="J96" s="6">
        <v>550000</v>
      </c>
      <c r="K96" s="6">
        <v>0</v>
      </c>
      <c r="L96" s="6">
        <v>0</v>
      </c>
      <c r="M96" s="6">
        <v>0</v>
      </c>
      <c r="N96" s="3" t="s">
        <v>19</v>
      </c>
      <c r="O96" s="6">
        <v>0</v>
      </c>
      <c r="P96" s="6">
        <f>J96-L96</f>
        <v>550000</v>
      </c>
    </row>
    <row r="97" spans="1:16" x14ac:dyDescent="0.25">
      <c r="A97" s="3" t="s">
        <v>117</v>
      </c>
      <c r="B97" s="4" t="s">
        <v>118</v>
      </c>
      <c r="C97" s="3" t="s">
        <v>19</v>
      </c>
      <c r="D97" s="3" t="s">
        <v>19</v>
      </c>
      <c r="E97" s="3" t="s">
        <v>25</v>
      </c>
      <c r="F97" s="3" t="s">
        <v>19</v>
      </c>
      <c r="G97" s="3" t="s">
        <v>86</v>
      </c>
      <c r="H97" s="5">
        <v>4</v>
      </c>
      <c r="I97" s="3" t="s">
        <v>19</v>
      </c>
      <c r="J97" s="6">
        <v>600000</v>
      </c>
      <c r="K97" s="6">
        <v>0</v>
      </c>
      <c r="L97" s="6">
        <v>0</v>
      </c>
      <c r="M97" s="6">
        <v>0</v>
      </c>
      <c r="N97" s="3" t="s">
        <v>19</v>
      </c>
      <c r="O97" s="6">
        <v>0</v>
      </c>
      <c r="P97" s="6">
        <f>J97-L97</f>
        <v>600000</v>
      </c>
    </row>
    <row r="98" spans="1:16" x14ac:dyDescent="0.25">
      <c r="A98" s="3" t="s">
        <v>119</v>
      </c>
      <c r="B98" s="4" t="s">
        <v>120</v>
      </c>
      <c r="C98" s="3" t="s">
        <v>19</v>
      </c>
      <c r="D98" s="3" t="s">
        <v>19</v>
      </c>
      <c r="E98" s="3" t="s">
        <v>52</v>
      </c>
      <c r="F98" s="3" t="s">
        <v>19</v>
      </c>
      <c r="G98" s="3" t="s">
        <v>121</v>
      </c>
      <c r="H98" s="5">
        <v>1</v>
      </c>
      <c r="I98" s="3" t="s">
        <v>19</v>
      </c>
      <c r="J98" s="6">
        <v>250000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250000</v>
      </c>
    </row>
    <row r="99" spans="1:16" x14ac:dyDescent="0.25">
      <c r="A99" s="3" t="s">
        <v>122</v>
      </c>
      <c r="B99" s="4" t="s">
        <v>123</v>
      </c>
      <c r="C99" s="3" t="s">
        <v>19</v>
      </c>
      <c r="D99" s="3" t="s">
        <v>19</v>
      </c>
      <c r="E99" s="3" t="s">
        <v>52</v>
      </c>
      <c r="F99" s="3" t="s">
        <v>19</v>
      </c>
      <c r="G99" s="3" t="s">
        <v>86</v>
      </c>
      <c r="H99" s="5">
        <v>1</v>
      </c>
      <c r="I99" s="3" t="s">
        <v>19</v>
      </c>
      <c r="J99" s="6">
        <v>150000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150000</v>
      </c>
    </row>
    <row r="100" ht="18" customHeight="1" spans="1:16" x14ac:dyDescent="0.25">
      <c r="A100" s="7" t="s">
        <v>34</v>
      </c>
      <c r="B100" s="7"/>
      <c r="C100" s="7"/>
      <c r="D100" s="7"/>
      <c r="E100" s="7"/>
      <c r="F100" s="7"/>
      <c r="G100" s="7"/>
      <c r="H100" s="8">
        <f>SUM(H95:H99)</f>
        <v>9</v>
      </c>
      <c r="I100" s="7"/>
      <c r="J100" s="9">
        <f>SUM(J95:J99)</f>
        <v>1700000</v>
      </c>
      <c r="K100" s="9">
        <f>SUM(K95:K99)</f>
        <v>0</v>
      </c>
      <c r="L100" s="9">
        <f>SUM(L95:L99)</f>
        <v>0</v>
      </c>
      <c r="M100" s="9">
        <f>SUM(M95:M99)</f>
        <v>0</v>
      </c>
      <c r="N100" s="7"/>
      <c r="O100" s="9">
        <f>SUM(O95:O99)</f>
        <v>0</v>
      </c>
      <c r="P100" s="9">
        <f>SUM(P95:P99)</f>
        <v>1700000</v>
      </c>
    </row>
    <row r="104" ht="15.75" customHeight="1" spans="1:16" x14ac:dyDescent="0.25">
      <c r="A104" s="1" t="s">
        <v>124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39.4" customHeight="1" spans="1:16" x14ac:dyDescent="0.25">
      <c r="A105" s="2" t="s">
        <v>1</v>
      </c>
      <c r="B105" s="2" t="s">
        <v>2</v>
      </c>
      <c r="C105" s="2" t="s">
        <v>3</v>
      </c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13</v>
      </c>
      <c r="N105" s="2" t="s">
        <v>14</v>
      </c>
      <c r="O105" s="2" t="s">
        <v>15</v>
      </c>
      <c r="P105" s="2" t="s">
        <v>16</v>
      </c>
    </row>
    <row r="106" spans="1:16" x14ac:dyDescent="0.25">
      <c r="A106" s="3" t="s">
        <v>125</v>
      </c>
      <c r="B106" s="4" t="s">
        <v>126</v>
      </c>
      <c r="C106" s="3" t="s">
        <v>19</v>
      </c>
      <c r="D106" s="3" t="s">
        <v>19</v>
      </c>
      <c r="E106" s="3" t="s">
        <v>20</v>
      </c>
      <c r="F106" s="3" t="s">
        <v>19</v>
      </c>
      <c r="G106" s="3" t="s">
        <v>83</v>
      </c>
      <c r="H106" s="5">
        <v>1</v>
      </c>
      <c r="I106" s="3" t="s">
        <v>19</v>
      </c>
      <c r="J106" s="6">
        <v>275000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275000</v>
      </c>
    </row>
    <row r="107" spans="1:16" x14ac:dyDescent="0.25">
      <c r="A107" s="3" t="s">
        <v>127</v>
      </c>
      <c r="B107" s="4" t="s">
        <v>128</v>
      </c>
      <c r="C107" s="3" t="s">
        <v>19</v>
      </c>
      <c r="D107" s="3" t="s">
        <v>19</v>
      </c>
      <c r="E107" s="3" t="s">
        <v>20</v>
      </c>
      <c r="F107" s="3" t="s">
        <v>19</v>
      </c>
      <c r="G107" s="3" t="s">
        <v>83</v>
      </c>
      <c r="H107" s="5">
        <v>1</v>
      </c>
      <c r="I107" s="3" t="s">
        <v>19</v>
      </c>
      <c r="J107" s="6">
        <v>247500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247500</v>
      </c>
    </row>
    <row r="108" spans="1:16" x14ac:dyDescent="0.25">
      <c r="A108" s="3" t="s">
        <v>129</v>
      </c>
      <c r="B108" s="4" t="s">
        <v>130</v>
      </c>
      <c r="C108" s="3" t="s">
        <v>19</v>
      </c>
      <c r="D108" s="3" t="s">
        <v>19</v>
      </c>
      <c r="E108" s="3" t="s">
        <v>20</v>
      </c>
      <c r="F108" s="3" t="s">
        <v>19</v>
      </c>
      <c r="G108" s="3" t="s">
        <v>86</v>
      </c>
      <c r="H108" s="5">
        <v>1</v>
      </c>
      <c r="I108" s="3" t="s">
        <v>19</v>
      </c>
      <c r="J108" s="6">
        <v>150000</v>
      </c>
      <c r="K108" s="6">
        <v>0</v>
      </c>
      <c r="L108" s="6">
        <v>0</v>
      </c>
      <c r="M108" s="6">
        <v>0</v>
      </c>
      <c r="N108" s="3" t="s">
        <v>19</v>
      </c>
      <c r="O108" s="6">
        <v>0</v>
      </c>
      <c r="P108" s="6">
        <f>J108-L108</f>
        <v>150000</v>
      </c>
    </row>
    <row r="109" ht="18" customHeight="1" spans="1:16" x14ac:dyDescent="0.25">
      <c r="A109" s="7" t="s">
        <v>34</v>
      </c>
      <c r="B109" s="7"/>
      <c r="C109" s="7"/>
      <c r="D109" s="7"/>
      <c r="E109" s="7"/>
      <c r="F109" s="7"/>
      <c r="G109" s="7"/>
      <c r="H109" s="8">
        <f>SUM(H106:H108)</f>
        <v>3</v>
      </c>
      <c r="I109" s="7"/>
      <c r="J109" s="9">
        <f>SUM(J106:J108)</f>
        <v>672500</v>
      </c>
      <c r="K109" s="9">
        <f>SUM(K106:K108)</f>
        <v>0</v>
      </c>
      <c r="L109" s="9">
        <f>SUM(L106:L108)</f>
        <v>0</v>
      </c>
      <c r="M109" s="9">
        <f>SUM(M106:M108)</f>
        <v>0</v>
      </c>
      <c r="N109" s="7"/>
      <c r="O109" s="9">
        <f>SUM(O106:O108)</f>
        <v>0</v>
      </c>
      <c r="P109" s="9">
        <f>SUM(P106:P108)</f>
        <v>672500</v>
      </c>
    </row>
  </sheetData>
  <mergeCells count="18">
    <mergeCell ref="A1:P1"/>
    <mergeCell ref="A12:G12"/>
    <mergeCell ref="A16:P16"/>
    <mergeCell ref="A28:G28"/>
    <mergeCell ref="A32:P32"/>
    <mergeCell ref="A38:G38"/>
    <mergeCell ref="A42:P42"/>
    <mergeCell ref="A46:G46"/>
    <mergeCell ref="A50:P50"/>
    <mergeCell ref="A60:G60"/>
    <mergeCell ref="A64:P64"/>
    <mergeCell ref="A77:G77"/>
    <mergeCell ref="A81:P81"/>
    <mergeCell ref="A89:G89"/>
    <mergeCell ref="A93:P93"/>
    <mergeCell ref="A100:G100"/>
    <mergeCell ref="A104:P104"/>
    <mergeCell ref="A109:G109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8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131</v>
      </c>
      <c r="B3" s="4" t="s">
        <v>132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133</v>
      </c>
      <c r="H3" s="5">
        <v>1</v>
      </c>
      <c r="I3" s="3" t="s">
        <v>19</v>
      </c>
      <c r="J3" s="6">
        <v>25000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25000</v>
      </c>
    </row>
    <row r="4" spans="1:16" x14ac:dyDescent="0.25">
      <c r="A4" s="3" t="s">
        <v>134</v>
      </c>
      <c r="B4" s="4" t="s">
        <v>135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136</v>
      </c>
      <c r="H4" s="5">
        <v>1</v>
      </c>
      <c r="I4" s="3" t="s">
        <v>19</v>
      </c>
      <c r="J4" s="6">
        <v>25000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25000</v>
      </c>
    </row>
    <row r="5" spans="1:16" x14ac:dyDescent="0.25">
      <c r="A5" s="3" t="s">
        <v>137</v>
      </c>
      <c r="B5" s="4" t="s">
        <v>138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139</v>
      </c>
      <c r="H5" s="5">
        <v>1</v>
      </c>
      <c r="I5" s="3" t="s">
        <v>19</v>
      </c>
      <c r="J5" s="6">
        <v>30000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30000</v>
      </c>
    </row>
    <row r="6" spans="1:16" x14ac:dyDescent="0.25">
      <c r="A6" s="3" t="s">
        <v>137</v>
      </c>
      <c r="B6" s="4" t="s">
        <v>138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140</v>
      </c>
      <c r="H6" s="5">
        <v>1</v>
      </c>
      <c r="I6" s="3" t="s">
        <v>19</v>
      </c>
      <c r="J6" s="6">
        <v>28000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28000</v>
      </c>
    </row>
    <row r="7" spans="1:16" x14ac:dyDescent="0.25">
      <c r="A7" s="3" t="s">
        <v>141</v>
      </c>
      <c r="B7" s="4" t="s">
        <v>142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143</v>
      </c>
      <c r="H7" s="5">
        <v>1</v>
      </c>
      <c r="I7" s="3" t="s">
        <v>19</v>
      </c>
      <c r="J7" s="6">
        <v>30000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30000</v>
      </c>
    </row>
    <row r="8" spans="1:16" x14ac:dyDescent="0.25">
      <c r="A8" s="3" t="s">
        <v>141</v>
      </c>
      <c r="B8" s="4" t="s">
        <v>142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139</v>
      </c>
      <c r="H8" s="5">
        <v>1</v>
      </c>
      <c r="I8" s="3" t="s">
        <v>19</v>
      </c>
      <c r="J8" s="6">
        <v>30000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30000</v>
      </c>
    </row>
    <row r="9" spans="1:16" x14ac:dyDescent="0.25">
      <c r="A9" s="3" t="s">
        <v>144</v>
      </c>
      <c r="B9" s="4" t="s">
        <v>145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140</v>
      </c>
      <c r="H9" s="5">
        <v>1</v>
      </c>
      <c r="I9" s="3" t="s">
        <v>19</v>
      </c>
      <c r="J9" s="6">
        <v>28000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28000</v>
      </c>
    </row>
    <row r="10" spans="1:16" x14ac:dyDescent="0.25">
      <c r="A10" s="3" t="s">
        <v>146</v>
      </c>
      <c r="B10" s="4" t="s">
        <v>147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139</v>
      </c>
      <c r="H10" s="5">
        <v>1</v>
      </c>
      <c r="I10" s="3" t="s">
        <v>19</v>
      </c>
      <c r="J10" s="6">
        <v>30000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30000</v>
      </c>
    </row>
    <row r="11" spans="1:16" x14ac:dyDescent="0.25">
      <c r="A11" s="3" t="s">
        <v>148</v>
      </c>
      <c r="B11" s="4" t="s">
        <v>149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150</v>
      </c>
      <c r="H11" s="5">
        <v>1</v>
      </c>
      <c r="I11" s="3" t="s">
        <v>19</v>
      </c>
      <c r="J11" s="6">
        <v>25000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25000</v>
      </c>
    </row>
    <row r="12" spans="1:16" x14ac:dyDescent="0.25">
      <c r="A12" s="3" t="s">
        <v>151</v>
      </c>
      <c r="B12" s="4" t="s">
        <v>152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153</v>
      </c>
      <c r="H12" s="5">
        <v>1</v>
      </c>
      <c r="I12" s="3" t="s">
        <v>19</v>
      </c>
      <c r="J12" s="6">
        <v>35000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35000</v>
      </c>
    </row>
    <row r="13" spans="1:16" x14ac:dyDescent="0.25">
      <c r="A13" s="3" t="s">
        <v>154</v>
      </c>
      <c r="B13" s="4" t="s">
        <v>155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140</v>
      </c>
      <c r="H13" s="5">
        <v>1</v>
      </c>
      <c r="I13" s="3" t="s">
        <v>19</v>
      </c>
      <c r="J13" s="6">
        <v>28000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28000</v>
      </c>
    </row>
    <row r="14" spans="1:16" x14ac:dyDescent="0.25">
      <c r="A14" s="3" t="s">
        <v>156</v>
      </c>
      <c r="B14" s="4" t="s">
        <v>157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153</v>
      </c>
      <c r="H14" s="5">
        <v>1</v>
      </c>
      <c r="I14" s="3" t="s">
        <v>19</v>
      </c>
      <c r="J14" s="6">
        <v>35000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35000</v>
      </c>
    </row>
    <row r="15" spans="1:16" x14ac:dyDescent="0.25">
      <c r="A15" s="3" t="s">
        <v>158</v>
      </c>
      <c r="B15" s="4" t="s">
        <v>159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160</v>
      </c>
      <c r="H15" s="5">
        <v>1</v>
      </c>
      <c r="I15" s="3" t="s">
        <v>19</v>
      </c>
      <c r="J15" s="6">
        <v>17000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17000</v>
      </c>
    </row>
    <row r="16" spans="1:16" x14ac:dyDescent="0.25">
      <c r="A16" s="3" t="s">
        <v>158</v>
      </c>
      <c r="B16" s="4" t="s">
        <v>159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140</v>
      </c>
      <c r="H16" s="5">
        <v>1</v>
      </c>
      <c r="I16" s="3" t="s">
        <v>19</v>
      </c>
      <c r="J16" s="6">
        <v>28000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28000</v>
      </c>
    </row>
    <row r="17" spans="1:16" x14ac:dyDescent="0.25">
      <c r="A17" s="3" t="s">
        <v>161</v>
      </c>
      <c r="B17" s="4" t="s">
        <v>162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140</v>
      </c>
      <c r="H17" s="5">
        <v>1</v>
      </c>
      <c r="I17" s="3" t="s">
        <v>19</v>
      </c>
      <c r="J17" s="6">
        <v>28000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28000</v>
      </c>
    </row>
    <row r="18" spans="1:16" x14ac:dyDescent="0.25">
      <c r="A18" s="3" t="s">
        <v>163</v>
      </c>
      <c r="B18" s="4" t="s">
        <v>164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153</v>
      </c>
      <c r="H18" s="5">
        <v>2</v>
      </c>
      <c r="I18" s="3" t="s">
        <v>19</v>
      </c>
      <c r="J18" s="6">
        <v>70000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70000</v>
      </c>
    </row>
    <row r="19" spans="1:16" x14ac:dyDescent="0.25">
      <c r="A19" s="3" t="s">
        <v>163</v>
      </c>
      <c r="B19" s="4" t="s">
        <v>164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160</v>
      </c>
      <c r="H19" s="5">
        <v>1</v>
      </c>
      <c r="I19" s="3" t="s">
        <v>19</v>
      </c>
      <c r="J19" s="6">
        <v>17000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17000</v>
      </c>
    </row>
    <row r="20" spans="1:16" x14ac:dyDescent="0.25">
      <c r="A20" s="3" t="s">
        <v>165</v>
      </c>
      <c r="B20" s="4" t="s">
        <v>166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167</v>
      </c>
      <c r="H20" s="5">
        <v>1</v>
      </c>
      <c r="I20" s="3" t="s">
        <v>19</v>
      </c>
      <c r="J20" s="6">
        <v>45000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45000</v>
      </c>
    </row>
    <row r="21" spans="1:16" x14ac:dyDescent="0.25">
      <c r="A21" s="3" t="s">
        <v>168</v>
      </c>
      <c r="B21" s="4" t="s">
        <v>169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170</v>
      </c>
      <c r="H21" s="5">
        <v>1</v>
      </c>
      <c r="I21" s="3" t="s">
        <v>19</v>
      </c>
      <c r="J21" s="6">
        <v>40000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40000</v>
      </c>
    </row>
    <row r="22" spans="1:16" x14ac:dyDescent="0.25">
      <c r="A22" s="3" t="s">
        <v>171</v>
      </c>
      <c r="B22" s="4" t="s">
        <v>172</v>
      </c>
      <c r="C22" s="3" t="s">
        <v>19</v>
      </c>
      <c r="D22" s="3" t="s">
        <v>19</v>
      </c>
      <c r="E22" s="3" t="s">
        <v>20</v>
      </c>
      <c r="F22" s="3" t="s">
        <v>19</v>
      </c>
      <c r="G22" s="3" t="s">
        <v>173</v>
      </c>
      <c r="H22" s="5">
        <v>1</v>
      </c>
      <c r="I22" s="3" t="s">
        <v>19</v>
      </c>
      <c r="J22" s="6">
        <v>40000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40000</v>
      </c>
    </row>
    <row r="23" spans="1:16" x14ac:dyDescent="0.25">
      <c r="A23" s="3" t="s">
        <v>174</v>
      </c>
      <c r="B23" s="4" t="s">
        <v>175</v>
      </c>
      <c r="C23" s="3" t="s">
        <v>19</v>
      </c>
      <c r="D23" s="3" t="s">
        <v>19</v>
      </c>
      <c r="E23" s="3" t="s">
        <v>20</v>
      </c>
      <c r="F23" s="3" t="s">
        <v>19</v>
      </c>
      <c r="G23" s="3" t="s">
        <v>176</v>
      </c>
      <c r="H23" s="5">
        <v>1</v>
      </c>
      <c r="I23" s="3" t="s">
        <v>19</v>
      </c>
      <c r="J23" s="6">
        <v>35000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</v>
      </c>
    </row>
    <row r="24" spans="1:16" x14ac:dyDescent="0.25">
      <c r="A24" s="3" t="s">
        <v>177</v>
      </c>
      <c r="B24" s="4" t="s">
        <v>178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170</v>
      </c>
      <c r="H24" s="5">
        <v>1</v>
      </c>
      <c r="I24" s="3" t="s">
        <v>19</v>
      </c>
      <c r="J24" s="6">
        <v>40000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40000</v>
      </c>
    </row>
    <row r="25" spans="1:16" x14ac:dyDescent="0.25">
      <c r="A25" s="3" t="s">
        <v>177</v>
      </c>
      <c r="B25" s="4" t="s">
        <v>178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179</v>
      </c>
      <c r="H25" s="5">
        <v>1</v>
      </c>
      <c r="I25" s="3" t="s">
        <v>19</v>
      </c>
      <c r="J25" s="6">
        <v>40000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40000</v>
      </c>
    </row>
    <row r="26" spans="1:16" x14ac:dyDescent="0.25">
      <c r="A26" s="3" t="s">
        <v>180</v>
      </c>
      <c r="B26" s="4" t="s">
        <v>181</v>
      </c>
      <c r="C26" s="3" t="s">
        <v>19</v>
      </c>
      <c r="D26" s="3" t="s">
        <v>19</v>
      </c>
      <c r="E26" s="3" t="s">
        <v>20</v>
      </c>
      <c r="F26" s="3" t="s">
        <v>19</v>
      </c>
      <c r="G26" s="3" t="s">
        <v>140</v>
      </c>
      <c r="H26" s="5">
        <v>1</v>
      </c>
      <c r="I26" s="3" t="s">
        <v>19</v>
      </c>
      <c r="J26" s="6">
        <v>28000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28000</v>
      </c>
    </row>
    <row r="27" spans="1:16" x14ac:dyDescent="0.25">
      <c r="A27" s="3" t="s">
        <v>182</v>
      </c>
      <c r="B27" s="4" t="s">
        <v>183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140</v>
      </c>
      <c r="H27" s="5">
        <v>1</v>
      </c>
      <c r="I27" s="3" t="s">
        <v>19</v>
      </c>
      <c r="J27" s="6">
        <v>28000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28000</v>
      </c>
    </row>
    <row r="28" spans="1:16" x14ac:dyDescent="0.25">
      <c r="A28" s="3" t="s">
        <v>184</v>
      </c>
      <c r="B28" s="4" t="s">
        <v>185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186</v>
      </c>
      <c r="H28" s="5">
        <v>1</v>
      </c>
      <c r="I28" s="3" t="s">
        <v>19</v>
      </c>
      <c r="J28" s="6">
        <v>25000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25000</v>
      </c>
    </row>
    <row r="29" spans="1:16" x14ac:dyDescent="0.25">
      <c r="A29" s="3" t="s">
        <v>187</v>
      </c>
      <c r="B29" s="4" t="s">
        <v>188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136</v>
      </c>
      <c r="H29" s="5">
        <v>1</v>
      </c>
      <c r="I29" s="3" t="s">
        <v>19</v>
      </c>
      <c r="J29" s="6">
        <v>25000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25000</v>
      </c>
    </row>
    <row r="30" spans="1:16" x14ac:dyDescent="0.25">
      <c r="A30" s="3" t="s">
        <v>189</v>
      </c>
      <c r="B30" s="4" t="s">
        <v>190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133</v>
      </c>
      <c r="H30" s="5">
        <v>1</v>
      </c>
      <c r="I30" s="3" t="s">
        <v>19</v>
      </c>
      <c r="J30" s="6">
        <v>25000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25000</v>
      </c>
    </row>
    <row r="31" ht="18" customHeight="1" spans="1:16" x14ac:dyDescent="0.25">
      <c r="A31" s="7" t="s">
        <v>34</v>
      </c>
      <c r="B31" s="7"/>
      <c r="C31" s="7"/>
      <c r="D31" s="7"/>
      <c r="E31" s="7"/>
      <c r="F31" s="7"/>
      <c r="G31" s="7"/>
      <c r="H31" s="8">
        <f>SUM(H3:H30)</f>
        <v>29</v>
      </c>
      <c r="I31" s="7"/>
      <c r="J31" s="9">
        <f>SUM(J3:J30)</f>
        <v>880000</v>
      </c>
      <c r="K31" s="9">
        <f>SUM(K3:K30)</f>
        <v>0</v>
      </c>
      <c r="L31" s="9">
        <f>SUM(L3:L30)</f>
        <v>0</v>
      </c>
      <c r="M31" s="9">
        <f>SUM(M3:M30)</f>
        <v>0</v>
      </c>
      <c r="N31" s="7"/>
      <c r="O31" s="9">
        <f>SUM(O3:O30)</f>
        <v>0</v>
      </c>
      <c r="P31" s="9">
        <f>SUM(P3:P30)</f>
        <v>880000</v>
      </c>
    </row>
    <row r="35" ht="15.75" customHeight="1" spans="1:16" x14ac:dyDescent="0.25">
      <c r="A35" s="1" t="s">
        <v>35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39.4" customHeight="1" spans="1:16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  <c r="N36" s="2" t="s">
        <v>14</v>
      </c>
      <c r="O36" s="2" t="s">
        <v>15</v>
      </c>
      <c r="P36" s="2" t="s">
        <v>16</v>
      </c>
    </row>
    <row r="37" spans="1:16" x14ac:dyDescent="0.25">
      <c r="A37" s="3" t="s">
        <v>191</v>
      </c>
      <c r="B37" s="4" t="s">
        <v>192</v>
      </c>
      <c r="C37" s="3" t="s">
        <v>19</v>
      </c>
      <c r="D37" s="3" t="s">
        <v>19</v>
      </c>
      <c r="E37" s="3" t="s">
        <v>20</v>
      </c>
      <c r="F37" s="3" t="s">
        <v>19</v>
      </c>
      <c r="G37" s="3" t="s">
        <v>133</v>
      </c>
      <c r="H37" s="5">
        <v>2</v>
      </c>
      <c r="I37" s="3" t="s">
        <v>19</v>
      </c>
      <c r="J37" s="6">
        <v>50000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50000</v>
      </c>
    </row>
    <row r="38" spans="1:16" x14ac:dyDescent="0.25">
      <c r="A38" s="3" t="s">
        <v>193</v>
      </c>
      <c r="B38" s="4" t="s">
        <v>194</v>
      </c>
      <c r="C38" s="3" t="s">
        <v>19</v>
      </c>
      <c r="D38" s="3" t="s">
        <v>19</v>
      </c>
      <c r="E38" s="3" t="s">
        <v>20</v>
      </c>
      <c r="F38" s="3" t="s">
        <v>19</v>
      </c>
      <c r="G38" s="3" t="s">
        <v>140</v>
      </c>
      <c r="H38" s="5">
        <v>1</v>
      </c>
      <c r="I38" s="3" t="s">
        <v>19</v>
      </c>
      <c r="J38" s="6">
        <v>28000</v>
      </c>
      <c r="K38" s="6">
        <v>0</v>
      </c>
      <c r="L38" s="6">
        <v>0</v>
      </c>
      <c r="M38" s="6">
        <v>0</v>
      </c>
      <c r="N38" s="3" t="s">
        <v>19</v>
      </c>
      <c r="O38" s="6">
        <v>0</v>
      </c>
      <c r="P38" s="6">
        <f>J38-L38</f>
        <v>28000</v>
      </c>
    </row>
    <row r="39" spans="1:16" x14ac:dyDescent="0.25">
      <c r="A39" s="3" t="s">
        <v>195</v>
      </c>
      <c r="B39" s="4" t="s">
        <v>196</v>
      </c>
      <c r="C39" s="3" t="s">
        <v>19</v>
      </c>
      <c r="D39" s="3" t="s">
        <v>19</v>
      </c>
      <c r="E39" s="3" t="s">
        <v>20</v>
      </c>
      <c r="F39" s="3" t="s">
        <v>19</v>
      </c>
      <c r="G39" s="3" t="s">
        <v>140</v>
      </c>
      <c r="H39" s="5">
        <v>1</v>
      </c>
      <c r="I39" s="3" t="s">
        <v>19</v>
      </c>
      <c r="J39" s="6">
        <v>28000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28000</v>
      </c>
    </row>
    <row r="40" spans="1:16" x14ac:dyDescent="0.25">
      <c r="A40" s="3" t="s">
        <v>197</v>
      </c>
      <c r="B40" s="4" t="s">
        <v>198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140</v>
      </c>
      <c r="H40" s="5">
        <v>1</v>
      </c>
      <c r="I40" s="3" t="s">
        <v>19</v>
      </c>
      <c r="J40" s="6">
        <v>28000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28000</v>
      </c>
    </row>
    <row r="41" spans="1:16" x14ac:dyDescent="0.25">
      <c r="A41" s="3" t="s">
        <v>199</v>
      </c>
      <c r="B41" s="4" t="s">
        <v>200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140</v>
      </c>
      <c r="H41" s="5">
        <v>1</v>
      </c>
      <c r="I41" s="3" t="s">
        <v>19</v>
      </c>
      <c r="J41" s="6">
        <v>28000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28000</v>
      </c>
    </row>
    <row r="42" spans="1:16" x14ac:dyDescent="0.25">
      <c r="A42" s="3" t="s">
        <v>201</v>
      </c>
      <c r="B42" s="4" t="s">
        <v>202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140</v>
      </c>
      <c r="H42" s="5">
        <v>1</v>
      </c>
      <c r="I42" s="3" t="s">
        <v>19</v>
      </c>
      <c r="J42" s="6">
        <v>28000</v>
      </c>
      <c r="K42" s="6">
        <v>0</v>
      </c>
      <c r="L42" s="6">
        <v>0</v>
      </c>
      <c r="M42" s="6">
        <v>0</v>
      </c>
      <c r="N42" s="3" t="s">
        <v>19</v>
      </c>
      <c r="O42" s="6">
        <v>0</v>
      </c>
      <c r="P42" s="6">
        <f>J42-L42</f>
        <v>28000</v>
      </c>
    </row>
    <row r="43" spans="1:16" x14ac:dyDescent="0.25">
      <c r="A43" s="3" t="s">
        <v>201</v>
      </c>
      <c r="B43" s="4" t="s">
        <v>202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139</v>
      </c>
      <c r="H43" s="5">
        <v>1</v>
      </c>
      <c r="I43" s="3" t="s">
        <v>19</v>
      </c>
      <c r="J43" s="6">
        <v>30000</v>
      </c>
      <c r="K43" s="6">
        <v>0</v>
      </c>
      <c r="L43" s="6">
        <v>0</v>
      </c>
      <c r="M43" s="6">
        <v>0</v>
      </c>
      <c r="N43" s="3" t="s">
        <v>19</v>
      </c>
      <c r="O43" s="6">
        <v>0</v>
      </c>
      <c r="P43" s="6">
        <f>J43-L43</f>
        <v>30000</v>
      </c>
    </row>
    <row r="44" spans="1:16" x14ac:dyDescent="0.25">
      <c r="A44" s="3" t="s">
        <v>201</v>
      </c>
      <c r="B44" s="4" t="s">
        <v>202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153</v>
      </c>
      <c r="H44" s="5">
        <v>2</v>
      </c>
      <c r="I44" s="3" t="s">
        <v>19</v>
      </c>
      <c r="J44" s="6">
        <v>70000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70000</v>
      </c>
    </row>
    <row r="45" spans="1:16" x14ac:dyDescent="0.25">
      <c r="A45" s="3" t="s">
        <v>203</v>
      </c>
      <c r="B45" s="4" t="s">
        <v>204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179</v>
      </c>
      <c r="H45" s="5">
        <v>1</v>
      </c>
      <c r="I45" s="3" t="s">
        <v>19</v>
      </c>
      <c r="J45" s="6">
        <v>40000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40000</v>
      </c>
    </row>
    <row r="46" spans="1:16" x14ac:dyDescent="0.25">
      <c r="A46" s="3" t="s">
        <v>205</v>
      </c>
      <c r="B46" s="4" t="s">
        <v>206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153</v>
      </c>
      <c r="H46" s="5">
        <v>1</v>
      </c>
      <c r="I46" s="3" t="s">
        <v>19</v>
      </c>
      <c r="J46" s="6">
        <v>35000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35000</v>
      </c>
    </row>
    <row r="47" spans="1:16" x14ac:dyDescent="0.25">
      <c r="A47" s="3" t="s">
        <v>207</v>
      </c>
      <c r="B47" s="4" t="s">
        <v>208</v>
      </c>
      <c r="C47" s="3" t="s">
        <v>19</v>
      </c>
      <c r="D47" s="3" t="s">
        <v>19</v>
      </c>
      <c r="E47" s="3" t="s">
        <v>20</v>
      </c>
      <c r="F47" s="3" t="s">
        <v>19</v>
      </c>
      <c r="G47" s="3" t="s">
        <v>209</v>
      </c>
      <c r="H47" s="5">
        <v>1</v>
      </c>
      <c r="I47" s="3" t="s">
        <v>19</v>
      </c>
      <c r="J47" s="6">
        <v>40000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40000</v>
      </c>
    </row>
    <row r="48" spans="1:16" x14ac:dyDescent="0.25">
      <c r="A48" s="3" t="s">
        <v>210</v>
      </c>
      <c r="B48" s="4" t="s">
        <v>211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140</v>
      </c>
      <c r="H48" s="5">
        <v>1</v>
      </c>
      <c r="I48" s="3" t="s">
        <v>19</v>
      </c>
      <c r="J48" s="6">
        <v>28000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28000</v>
      </c>
    </row>
    <row r="49" spans="1:16" x14ac:dyDescent="0.25">
      <c r="A49" s="3" t="s">
        <v>210</v>
      </c>
      <c r="B49" s="4" t="s">
        <v>211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160</v>
      </c>
      <c r="H49" s="5">
        <v>1</v>
      </c>
      <c r="I49" s="3" t="s">
        <v>19</v>
      </c>
      <c r="J49" s="6">
        <v>17000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17000</v>
      </c>
    </row>
    <row r="50" spans="1:16" x14ac:dyDescent="0.25">
      <c r="A50" s="3" t="s">
        <v>212</v>
      </c>
      <c r="B50" s="4" t="s">
        <v>213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170</v>
      </c>
      <c r="H50" s="5">
        <v>1</v>
      </c>
      <c r="I50" s="3" t="s">
        <v>19</v>
      </c>
      <c r="J50" s="6">
        <v>40000</v>
      </c>
      <c r="K50" s="6">
        <v>0</v>
      </c>
      <c r="L50" s="6">
        <v>0</v>
      </c>
      <c r="M50" s="6">
        <v>0</v>
      </c>
      <c r="N50" s="3" t="s">
        <v>19</v>
      </c>
      <c r="O50" s="6">
        <v>0</v>
      </c>
      <c r="P50" s="6">
        <f>J50-L50</f>
        <v>40000</v>
      </c>
    </row>
    <row r="51" spans="1:16" x14ac:dyDescent="0.25">
      <c r="A51" s="3" t="s">
        <v>214</v>
      </c>
      <c r="B51" s="4" t="s">
        <v>215</v>
      </c>
      <c r="C51" s="3" t="s">
        <v>19</v>
      </c>
      <c r="D51" s="3" t="s">
        <v>19</v>
      </c>
      <c r="E51" s="3" t="s">
        <v>20</v>
      </c>
      <c r="F51" s="3" t="s">
        <v>19</v>
      </c>
      <c r="G51" s="3" t="s">
        <v>153</v>
      </c>
      <c r="H51" s="5">
        <v>1</v>
      </c>
      <c r="I51" s="3" t="s">
        <v>19</v>
      </c>
      <c r="J51" s="6">
        <v>35000</v>
      </c>
      <c r="K51" s="6">
        <v>0</v>
      </c>
      <c r="L51" s="6">
        <v>0</v>
      </c>
      <c r="M51" s="6">
        <v>0</v>
      </c>
      <c r="N51" s="3" t="s">
        <v>19</v>
      </c>
      <c r="O51" s="6">
        <v>0</v>
      </c>
      <c r="P51" s="6">
        <f>J51-L51</f>
        <v>35000</v>
      </c>
    </row>
    <row r="52" spans="1:16" x14ac:dyDescent="0.25">
      <c r="A52" s="3" t="s">
        <v>216</v>
      </c>
      <c r="B52" s="4" t="s">
        <v>217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179</v>
      </c>
      <c r="H52" s="5">
        <v>1</v>
      </c>
      <c r="I52" s="3" t="s">
        <v>19</v>
      </c>
      <c r="J52" s="6">
        <v>40000</v>
      </c>
      <c r="K52" s="6">
        <v>0</v>
      </c>
      <c r="L52" s="6">
        <v>0</v>
      </c>
      <c r="M52" s="6">
        <v>0</v>
      </c>
      <c r="N52" s="3" t="s">
        <v>19</v>
      </c>
      <c r="O52" s="6">
        <v>0</v>
      </c>
      <c r="P52" s="6">
        <f>J52-L52</f>
        <v>40000</v>
      </c>
    </row>
    <row r="53" spans="1:16" x14ac:dyDescent="0.25">
      <c r="A53" s="3" t="s">
        <v>218</v>
      </c>
      <c r="B53" s="4" t="s">
        <v>219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186</v>
      </c>
      <c r="H53" s="5">
        <v>1</v>
      </c>
      <c r="I53" s="3" t="s">
        <v>19</v>
      </c>
      <c r="J53" s="6">
        <v>25000</v>
      </c>
      <c r="K53" s="6">
        <v>0</v>
      </c>
      <c r="L53" s="6">
        <v>0</v>
      </c>
      <c r="M53" s="6">
        <v>0</v>
      </c>
      <c r="N53" s="3" t="s">
        <v>19</v>
      </c>
      <c r="O53" s="6">
        <v>0</v>
      </c>
      <c r="P53" s="6">
        <f>J53-L53</f>
        <v>25000</v>
      </c>
    </row>
    <row r="54" spans="1:16" x14ac:dyDescent="0.25">
      <c r="A54" s="3" t="s">
        <v>220</v>
      </c>
      <c r="B54" s="4" t="s">
        <v>221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139</v>
      </c>
      <c r="H54" s="5">
        <v>1</v>
      </c>
      <c r="I54" s="3" t="s">
        <v>19</v>
      </c>
      <c r="J54" s="6">
        <v>30000</v>
      </c>
      <c r="K54" s="6">
        <v>0</v>
      </c>
      <c r="L54" s="6">
        <v>0</v>
      </c>
      <c r="M54" s="6">
        <v>0</v>
      </c>
      <c r="N54" s="3" t="s">
        <v>19</v>
      </c>
      <c r="O54" s="6">
        <v>0</v>
      </c>
      <c r="P54" s="6">
        <f>J54-L54</f>
        <v>30000</v>
      </c>
    </row>
    <row r="55" spans="1:16" x14ac:dyDescent="0.25">
      <c r="A55" s="3" t="s">
        <v>222</v>
      </c>
      <c r="B55" s="4" t="s">
        <v>223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179</v>
      </c>
      <c r="H55" s="5">
        <v>1</v>
      </c>
      <c r="I55" s="3" t="s">
        <v>19</v>
      </c>
      <c r="J55" s="6">
        <v>40000</v>
      </c>
      <c r="K55" s="6">
        <v>0</v>
      </c>
      <c r="L55" s="6">
        <v>0</v>
      </c>
      <c r="M55" s="6">
        <v>0</v>
      </c>
      <c r="N55" s="3" t="s">
        <v>19</v>
      </c>
      <c r="O55" s="6">
        <v>0</v>
      </c>
      <c r="P55" s="6">
        <f>J55-L55</f>
        <v>40000</v>
      </c>
    </row>
    <row r="56" spans="1:16" x14ac:dyDescent="0.25">
      <c r="A56" s="3" t="s">
        <v>224</v>
      </c>
      <c r="B56" s="4" t="s">
        <v>225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133</v>
      </c>
      <c r="H56" s="5">
        <v>1</v>
      </c>
      <c r="I56" s="3" t="s">
        <v>19</v>
      </c>
      <c r="J56" s="6">
        <v>25000</v>
      </c>
      <c r="K56" s="6">
        <v>0</v>
      </c>
      <c r="L56" s="6">
        <v>0</v>
      </c>
      <c r="M56" s="6">
        <v>0</v>
      </c>
      <c r="N56" s="3" t="s">
        <v>19</v>
      </c>
      <c r="O56" s="6">
        <v>0</v>
      </c>
      <c r="P56" s="6">
        <f>J56-L56</f>
        <v>25000</v>
      </c>
    </row>
    <row r="57" spans="1:16" x14ac:dyDescent="0.25">
      <c r="A57" s="3" t="s">
        <v>224</v>
      </c>
      <c r="B57" s="4" t="s">
        <v>225</v>
      </c>
      <c r="C57" s="3" t="s">
        <v>19</v>
      </c>
      <c r="D57" s="3" t="s">
        <v>19</v>
      </c>
      <c r="E57" s="3" t="s">
        <v>20</v>
      </c>
      <c r="F57" s="3" t="s">
        <v>19</v>
      </c>
      <c r="G57" s="3" t="s">
        <v>186</v>
      </c>
      <c r="H57" s="5">
        <v>1</v>
      </c>
      <c r="I57" s="3" t="s">
        <v>19</v>
      </c>
      <c r="J57" s="6">
        <v>25000</v>
      </c>
      <c r="K57" s="6">
        <v>0</v>
      </c>
      <c r="L57" s="6">
        <v>0</v>
      </c>
      <c r="M57" s="6">
        <v>0</v>
      </c>
      <c r="N57" s="3" t="s">
        <v>19</v>
      </c>
      <c r="O57" s="6">
        <v>0</v>
      </c>
      <c r="P57" s="6">
        <f>J57-L57</f>
        <v>25000</v>
      </c>
    </row>
    <row r="58" spans="1:16" x14ac:dyDescent="0.25">
      <c r="A58" s="3" t="s">
        <v>226</v>
      </c>
      <c r="B58" s="4" t="s">
        <v>227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140</v>
      </c>
      <c r="H58" s="5">
        <v>1</v>
      </c>
      <c r="I58" s="3" t="s">
        <v>19</v>
      </c>
      <c r="J58" s="6">
        <v>28000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28000</v>
      </c>
    </row>
    <row r="59" spans="1:16" x14ac:dyDescent="0.25">
      <c r="A59" s="3" t="s">
        <v>228</v>
      </c>
      <c r="B59" s="4" t="s">
        <v>229</v>
      </c>
      <c r="C59" s="3" t="s">
        <v>19</v>
      </c>
      <c r="D59" s="3" t="s">
        <v>19</v>
      </c>
      <c r="E59" s="3" t="s">
        <v>25</v>
      </c>
      <c r="F59" s="3" t="s">
        <v>19</v>
      </c>
      <c r="G59" s="3" t="s">
        <v>160</v>
      </c>
      <c r="H59" s="5">
        <v>2</v>
      </c>
      <c r="I59" s="3" t="s">
        <v>19</v>
      </c>
      <c r="J59" s="6">
        <v>34000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34000</v>
      </c>
    </row>
    <row r="60" spans="1:16" x14ac:dyDescent="0.25">
      <c r="A60" s="3" t="s">
        <v>230</v>
      </c>
      <c r="B60" s="4" t="s">
        <v>231</v>
      </c>
      <c r="C60" s="3" t="s">
        <v>19</v>
      </c>
      <c r="D60" s="3" t="s">
        <v>19</v>
      </c>
      <c r="E60" s="3" t="s">
        <v>25</v>
      </c>
      <c r="F60" s="3" t="s">
        <v>19</v>
      </c>
      <c r="G60" s="3" t="s">
        <v>140</v>
      </c>
      <c r="H60" s="5">
        <v>2</v>
      </c>
      <c r="I60" s="3" t="s">
        <v>19</v>
      </c>
      <c r="J60" s="6">
        <v>56000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56000</v>
      </c>
    </row>
    <row r="61" spans="1:16" x14ac:dyDescent="0.25">
      <c r="A61" s="3" t="s">
        <v>232</v>
      </c>
      <c r="B61" s="4" t="s">
        <v>233</v>
      </c>
      <c r="C61" s="3" t="s">
        <v>19</v>
      </c>
      <c r="D61" s="3" t="s">
        <v>19</v>
      </c>
      <c r="E61" s="3" t="s">
        <v>25</v>
      </c>
      <c r="F61" s="3" t="s">
        <v>19</v>
      </c>
      <c r="G61" s="3" t="s">
        <v>234</v>
      </c>
      <c r="H61" s="5">
        <v>1</v>
      </c>
      <c r="I61" s="3" t="s">
        <v>19</v>
      </c>
      <c r="J61" s="6">
        <v>40000</v>
      </c>
      <c r="K61" s="6">
        <v>0</v>
      </c>
      <c r="L61" s="6">
        <v>0</v>
      </c>
      <c r="M61" s="6">
        <v>0</v>
      </c>
      <c r="N61" s="3" t="s">
        <v>19</v>
      </c>
      <c r="O61" s="6">
        <v>0</v>
      </c>
      <c r="P61" s="6">
        <f>J61-L61</f>
        <v>40000</v>
      </c>
    </row>
    <row r="62" spans="1:16" x14ac:dyDescent="0.25">
      <c r="A62" s="3" t="s">
        <v>235</v>
      </c>
      <c r="B62" s="4" t="s">
        <v>236</v>
      </c>
      <c r="C62" s="3" t="s">
        <v>19</v>
      </c>
      <c r="D62" s="3" t="s">
        <v>19</v>
      </c>
      <c r="E62" s="3" t="s">
        <v>25</v>
      </c>
      <c r="F62" s="3" t="s">
        <v>19</v>
      </c>
      <c r="G62" s="3" t="s">
        <v>186</v>
      </c>
      <c r="H62" s="5">
        <v>1</v>
      </c>
      <c r="I62" s="3" t="s">
        <v>19</v>
      </c>
      <c r="J62" s="6">
        <v>25000</v>
      </c>
      <c r="K62" s="6">
        <v>0</v>
      </c>
      <c r="L62" s="6">
        <v>0</v>
      </c>
      <c r="M62" s="6">
        <v>0</v>
      </c>
      <c r="N62" s="3" t="s">
        <v>19</v>
      </c>
      <c r="O62" s="6">
        <v>0</v>
      </c>
      <c r="P62" s="6">
        <f>J62-L62</f>
        <v>25000</v>
      </c>
    </row>
    <row r="63" spans="1:16" x14ac:dyDescent="0.25">
      <c r="A63" s="3" t="s">
        <v>237</v>
      </c>
      <c r="B63" s="4" t="s">
        <v>238</v>
      </c>
      <c r="C63" s="3" t="s">
        <v>19</v>
      </c>
      <c r="D63" s="3" t="s">
        <v>19</v>
      </c>
      <c r="E63" s="3" t="s">
        <v>25</v>
      </c>
      <c r="F63" s="3" t="s">
        <v>19</v>
      </c>
      <c r="G63" s="3" t="s">
        <v>186</v>
      </c>
      <c r="H63" s="5">
        <v>2</v>
      </c>
      <c r="I63" s="3" t="s">
        <v>19</v>
      </c>
      <c r="J63" s="6">
        <v>50000</v>
      </c>
      <c r="K63" s="6">
        <v>0</v>
      </c>
      <c r="L63" s="6">
        <v>0</v>
      </c>
      <c r="M63" s="6">
        <v>0</v>
      </c>
      <c r="N63" s="3" t="s">
        <v>19</v>
      </c>
      <c r="O63" s="6">
        <v>0</v>
      </c>
      <c r="P63" s="6">
        <f>J63-L63</f>
        <v>50000</v>
      </c>
    </row>
    <row r="64" spans="1:16" x14ac:dyDescent="0.25">
      <c r="A64" s="3" t="s">
        <v>239</v>
      </c>
      <c r="B64" s="4" t="s">
        <v>240</v>
      </c>
      <c r="C64" s="3" t="s">
        <v>19</v>
      </c>
      <c r="D64" s="3" t="s">
        <v>19</v>
      </c>
      <c r="E64" s="3" t="s">
        <v>25</v>
      </c>
      <c r="F64" s="3" t="s">
        <v>19</v>
      </c>
      <c r="G64" s="3" t="s">
        <v>170</v>
      </c>
      <c r="H64" s="5">
        <v>1</v>
      </c>
      <c r="I64" s="3" t="s">
        <v>19</v>
      </c>
      <c r="J64" s="6">
        <v>40000</v>
      </c>
      <c r="K64" s="6">
        <v>0</v>
      </c>
      <c r="L64" s="6">
        <v>0</v>
      </c>
      <c r="M64" s="6">
        <v>0</v>
      </c>
      <c r="N64" s="3" t="s">
        <v>19</v>
      </c>
      <c r="O64" s="6">
        <v>0</v>
      </c>
      <c r="P64" s="6">
        <f>J64-L64</f>
        <v>40000</v>
      </c>
    </row>
    <row r="65" spans="1:16" x14ac:dyDescent="0.25">
      <c r="A65" s="3" t="s">
        <v>241</v>
      </c>
      <c r="B65" s="4" t="s">
        <v>242</v>
      </c>
      <c r="C65" s="3" t="s">
        <v>19</v>
      </c>
      <c r="D65" s="3" t="s">
        <v>19</v>
      </c>
      <c r="E65" s="3" t="s">
        <v>25</v>
      </c>
      <c r="F65" s="3" t="s">
        <v>19</v>
      </c>
      <c r="G65" s="3" t="s">
        <v>160</v>
      </c>
      <c r="H65" s="5">
        <v>1</v>
      </c>
      <c r="I65" s="3" t="s">
        <v>19</v>
      </c>
      <c r="J65" s="6">
        <v>17000</v>
      </c>
      <c r="K65" s="6">
        <v>0</v>
      </c>
      <c r="L65" s="6">
        <v>0</v>
      </c>
      <c r="M65" s="6">
        <v>0</v>
      </c>
      <c r="N65" s="3" t="s">
        <v>19</v>
      </c>
      <c r="O65" s="6">
        <v>0</v>
      </c>
      <c r="P65" s="6">
        <f>J65-L65</f>
        <v>17000</v>
      </c>
    </row>
    <row r="66" spans="1:16" x14ac:dyDescent="0.25">
      <c r="A66" s="3" t="s">
        <v>243</v>
      </c>
      <c r="B66" s="4" t="s">
        <v>244</v>
      </c>
      <c r="C66" s="3" t="s">
        <v>19</v>
      </c>
      <c r="D66" s="3" t="s">
        <v>19</v>
      </c>
      <c r="E66" s="3" t="s">
        <v>25</v>
      </c>
      <c r="F66" s="3" t="s">
        <v>19</v>
      </c>
      <c r="G66" s="3" t="s">
        <v>153</v>
      </c>
      <c r="H66" s="5">
        <v>1</v>
      </c>
      <c r="I66" s="3" t="s">
        <v>19</v>
      </c>
      <c r="J66" s="6">
        <v>35000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35000</v>
      </c>
    </row>
    <row r="67" spans="1:16" x14ac:dyDescent="0.25">
      <c r="A67" s="3" t="s">
        <v>245</v>
      </c>
      <c r="B67" s="4" t="s">
        <v>246</v>
      </c>
      <c r="C67" s="3" t="s">
        <v>19</v>
      </c>
      <c r="D67" s="3" t="s">
        <v>19</v>
      </c>
      <c r="E67" s="3" t="s">
        <v>25</v>
      </c>
      <c r="F67" s="3" t="s">
        <v>19</v>
      </c>
      <c r="G67" s="3" t="s">
        <v>160</v>
      </c>
      <c r="H67" s="5">
        <v>1</v>
      </c>
      <c r="I67" s="3" t="s">
        <v>19</v>
      </c>
      <c r="J67" s="6">
        <v>17000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17000</v>
      </c>
    </row>
    <row r="68" spans="1:16" x14ac:dyDescent="0.25">
      <c r="A68" s="3" t="s">
        <v>247</v>
      </c>
      <c r="B68" s="4" t="s">
        <v>248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186</v>
      </c>
      <c r="H68" s="5">
        <v>1</v>
      </c>
      <c r="I68" s="3" t="s">
        <v>19</v>
      </c>
      <c r="J68" s="6">
        <v>25000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25000</v>
      </c>
    </row>
    <row r="69" spans="1:16" x14ac:dyDescent="0.25">
      <c r="A69" s="3" t="s">
        <v>247</v>
      </c>
      <c r="B69" s="4" t="s">
        <v>248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249</v>
      </c>
      <c r="H69" s="5">
        <v>1</v>
      </c>
      <c r="I69" s="3" t="s">
        <v>19</v>
      </c>
      <c r="J69" s="6">
        <v>25000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25000</v>
      </c>
    </row>
    <row r="70" spans="1:16" x14ac:dyDescent="0.25">
      <c r="A70" s="3" t="s">
        <v>250</v>
      </c>
      <c r="B70" s="4" t="s">
        <v>251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133</v>
      </c>
      <c r="H70" s="5">
        <v>1</v>
      </c>
      <c r="I70" s="3" t="s">
        <v>19</v>
      </c>
      <c r="J70" s="6">
        <v>25000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25000</v>
      </c>
    </row>
    <row r="71" ht="18" customHeight="1" spans="1:16" x14ac:dyDescent="0.25">
      <c r="A71" s="7" t="s">
        <v>34</v>
      </c>
      <c r="B71" s="7"/>
      <c r="C71" s="7"/>
      <c r="D71" s="7"/>
      <c r="E71" s="7"/>
      <c r="F71" s="7"/>
      <c r="G71" s="7"/>
      <c r="H71" s="8">
        <f>SUM(H37:H70)</f>
        <v>39</v>
      </c>
      <c r="I71" s="7"/>
      <c r="J71" s="9">
        <f>SUM(J37:J70)</f>
        <v>1127000</v>
      </c>
      <c r="K71" s="9">
        <f>SUM(K37:K70)</f>
        <v>0</v>
      </c>
      <c r="L71" s="9">
        <f>SUM(L37:L70)</f>
        <v>0</v>
      </c>
      <c r="M71" s="9">
        <f>SUM(M37:M70)</f>
        <v>0</v>
      </c>
      <c r="N71" s="7"/>
      <c r="O71" s="9">
        <f>SUM(O37:O70)</f>
        <v>0</v>
      </c>
      <c r="P71" s="9">
        <f>SUM(P37:P70)</f>
        <v>1127000</v>
      </c>
    </row>
    <row r="75" ht="15.75" customHeight="1" spans="1:16" x14ac:dyDescent="0.25">
      <c r="A75" s="1" t="s">
        <v>53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39.4" customHeight="1" spans="1:1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  <c r="N76" s="2" t="s">
        <v>14</v>
      </c>
      <c r="O76" s="2" t="s">
        <v>15</v>
      </c>
      <c r="P76" s="2" t="s">
        <v>16</v>
      </c>
    </row>
    <row r="77" spans="1:16" x14ac:dyDescent="0.25">
      <c r="A77" s="3" t="s">
        <v>252</v>
      </c>
      <c r="B77" s="4" t="s">
        <v>253</v>
      </c>
      <c r="C77" s="3" t="s">
        <v>19</v>
      </c>
      <c r="D77" s="3" t="s">
        <v>19</v>
      </c>
      <c r="E77" s="3" t="s">
        <v>20</v>
      </c>
      <c r="F77" s="3" t="s">
        <v>19</v>
      </c>
      <c r="G77" s="3" t="s">
        <v>139</v>
      </c>
      <c r="H77" s="5">
        <v>1</v>
      </c>
      <c r="I77" s="3" t="s">
        <v>19</v>
      </c>
      <c r="J77" s="6">
        <v>30000</v>
      </c>
      <c r="K77" s="6">
        <v>0</v>
      </c>
      <c r="L77" s="6">
        <v>0</v>
      </c>
      <c r="M77" s="6">
        <v>0</v>
      </c>
      <c r="N77" s="3" t="s">
        <v>19</v>
      </c>
      <c r="O77" s="6">
        <v>0</v>
      </c>
      <c r="P77" s="6">
        <f>J77-L77</f>
        <v>30000</v>
      </c>
    </row>
    <row r="78" spans="1:16" x14ac:dyDescent="0.25">
      <c r="A78" s="3" t="s">
        <v>254</v>
      </c>
      <c r="B78" s="4" t="s">
        <v>255</v>
      </c>
      <c r="C78" s="3" t="s">
        <v>19</v>
      </c>
      <c r="D78" s="3" t="s">
        <v>19</v>
      </c>
      <c r="E78" s="3" t="s">
        <v>20</v>
      </c>
      <c r="F78" s="3" t="s">
        <v>19</v>
      </c>
      <c r="G78" s="3" t="s">
        <v>139</v>
      </c>
      <c r="H78" s="5">
        <v>1</v>
      </c>
      <c r="I78" s="3" t="s">
        <v>19</v>
      </c>
      <c r="J78" s="6">
        <v>30000</v>
      </c>
      <c r="K78" s="6">
        <v>0</v>
      </c>
      <c r="L78" s="6">
        <v>0</v>
      </c>
      <c r="M78" s="6">
        <v>0</v>
      </c>
      <c r="N78" s="3" t="s">
        <v>19</v>
      </c>
      <c r="O78" s="6">
        <v>0</v>
      </c>
      <c r="P78" s="6">
        <f>J78-L78</f>
        <v>30000</v>
      </c>
    </row>
    <row r="79" spans="1:16" x14ac:dyDescent="0.25">
      <c r="A79" s="3" t="s">
        <v>256</v>
      </c>
      <c r="B79" s="4" t="s">
        <v>257</v>
      </c>
      <c r="C79" s="3" t="s">
        <v>19</v>
      </c>
      <c r="D79" s="3" t="s">
        <v>19</v>
      </c>
      <c r="E79" s="3" t="s">
        <v>20</v>
      </c>
      <c r="F79" s="3" t="s">
        <v>19</v>
      </c>
      <c r="G79" s="3" t="s">
        <v>133</v>
      </c>
      <c r="H79" s="5">
        <v>1</v>
      </c>
      <c r="I79" s="3" t="s">
        <v>19</v>
      </c>
      <c r="J79" s="6">
        <v>25000</v>
      </c>
      <c r="K79" s="6">
        <v>0</v>
      </c>
      <c r="L79" s="6">
        <v>0</v>
      </c>
      <c r="M79" s="6">
        <v>0</v>
      </c>
      <c r="N79" s="3" t="s">
        <v>19</v>
      </c>
      <c r="O79" s="6">
        <v>0</v>
      </c>
      <c r="P79" s="6">
        <f>J79-L79</f>
        <v>25000</v>
      </c>
    </row>
    <row r="80" spans="1:16" x14ac:dyDescent="0.25">
      <c r="A80" s="3" t="s">
        <v>256</v>
      </c>
      <c r="B80" s="4" t="s">
        <v>257</v>
      </c>
      <c r="C80" s="3" t="s">
        <v>19</v>
      </c>
      <c r="D80" s="3" t="s">
        <v>19</v>
      </c>
      <c r="E80" s="3" t="s">
        <v>20</v>
      </c>
      <c r="F80" s="3" t="s">
        <v>19</v>
      </c>
      <c r="G80" s="3" t="s">
        <v>186</v>
      </c>
      <c r="H80" s="5">
        <v>1</v>
      </c>
      <c r="I80" s="3" t="s">
        <v>19</v>
      </c>
      <c r="J80" s="6">
        <v>25000</v>
      </c>
      <c r="K80" s="6">
        <v>0</v>
      </c>
      <c r="L80" s="6">
        <v>0</v>
      </c>
      <c r="M80" s="6">
        <v>0</v>
      </c>
      <c r="N80" s="3" t="s">
        <v>19</v>
      </c>
      <c r="O80" s="6">
        <v>0</v>
      </c>
      <c r="P80" s="6">
        <f>J80-L80</f>
        <v>25000</v>
      </c>
    </row>
    <row r="81" spans="1:16" x14ac:dyDescent="0.25">
      <c r="A81" s="3" t="s">
        <v>258</v>
      </c>
      <c r="B81" s="4" t="s">
        <v>259</v>
      </c>
      <c r="C81" s="3" t="s">
        <v>19</v>
      </c>
      <c r="D81" s="3" t="s">
        <v>19</v>
      </c>
      <c r="E81" s="3" t="s">
        <v>20</v>
      </c>
      <c r="F81" s="3" t="s">
        <v>19</v>
      </c>
      <c r="G81" s="3" t="s">
        <v>186</v>
      </c>
      <c r="H81" s="5">
        <v>1</v>
      </c>
      <c r="I81" s="3" t="s">
        <v>19</v>
      </c>
      <c r="J81" s="6">
        <v>25000</v>
      </c>
      <c r="K81" s="6">
        <v>0</v>
      </c>
      <c r="L81" s="6">
        <v>0</v>
      </c>
      <c r="M81" s="6">
        <v>0</v>
      </c>
      <c r="N81" s="3" t="s">
        <v>19</v>
      </c>
      <c r="O81" s="6">
        <v>0</v>
      </c>
      <c r="P81" s="6">
        <f>J81-L81</f>
        <v>25000</v>
      </c>
    </row>
    <row r="82" spans="1:16" x14ac:dyDescent="0.25">
      <c r="A82" s="3" t="s">
        <v>260</v>
      </c>
      <c r="B82" s="4" t="s">
        <v>261</v>
      </c>
      <c r="C82" s="3" t="s">
        <v>19</v>
      </c>
      <c r="D82" s="3" t="s">
        <v>19</v>
      </c>
      <c r="E82" s="3" t="s">
        <v>20</v>
      </c>
      <c r="F82" s="3" t="s">
        <v>19</v>
      </c>
      <c r="G82" s="3" t="s">
        <v>133</v>
      </c>
      <c r="H82" s="5">
        <v>1</v>
      </c>
      <c r="I82" s="3" t="s">
        <v>19</v>
      </c>
      <c r="J82" s="6">
        <v>25000</v>
      </c>
      <c r="K82" s="6">
        <v>0</v>
      </c>
      <c r="L82" s="6">
        <v>0</v>
      </c>
      <c r="M82" s="6">
        <v>0</v>
      </c>
      <c r="N82" s="3" t="s">
        <v>19</v>
      </c>
      <c r="O82" s="6">
        <v>0</v>
      </c>
      <c r="P82" s="6">
        <f>J82-L82</f>
        <v>25000</v>
      </c>
    </row>
    <row r="83" spans="1:16" x14ac:dyDescent="0.25">
      <c r="A83" s="3" t="s">
        <v>260</v>
      </c>
      <c r="B83" s="4" t="s">
        <v>261</v>
      </c>
      <c r="C83" s="3" t="s">
        <v>19</v>
      </c>
      <c r="D83" s="3" t="s">
        <v>19</v>
      </c>
      <c r="E83" s="3" t="s">
        <v>20</v>
      </c>
      <c r="F83" s="3" t="s">
        <v>19</v>
      </c>
      <c r="G83" s="3" t="s">
        <v>186</v>
      </c>
      <c r="H83" s="5">
        <v>1</v>
      </c>
      <c r="I83" s="3" t="s">
        <v>19</v>
      </c>
      <c r="J83" s="6">
        <v>25000</v>
      </c>
      <c r="K83" s="6">
        <v>0</v>
      </c>
      <c r="L83" s="6">
        <v>0</v>
      </c>
      <c r="M83" s="6">
        <v>0</v>
      </c>
      <c r="N83" s="3" t="s">
        <v>19</v>
      </c>
      <c r="O83" s="6">
        <v>0</v>
      </c>
      <c r="P83" s="6">
        <f>J83-L83</f>
        <v>25000</v>
      </c>
    </row>
    <row r="84" spans="1:16" x14ac:dyDescent="0.25">
      <c r="A84" s="3" t="s">
        <v>262</v>
      </c>
      <c r="B84" s="4" t="s">
        <v>263</v>
      </c>
      <c r="C84" s="3" t="s">
        <v>19</v>
      </c>
      <c r="D84" s="3" t="s">
        <v>19</v>
      </c>
      <c r="E84" s="3" t="s">
        <v>20</v>
      </c>
      <c r="F84" s="3" t="s">
        <v>19</v>
      </c>
      <c r="G84" s="3" t="s">
        <v>139</v>
      </c>
      <c r="H84" s="5">
        <v>1</v>
      </c>
      <c r="I84" s="3" t="s">
        <v>19</v>
      </c>
      <c r="J84" s="6">
        <v>30000</v>
      </c>
      <c r="K84" s="6">
        <v>0</v>
      </c>
      <c r="L84" s="6">
        <v>0</v>
      </c>
      <c r="M84" s="6">
        <v>0</v>
      </c>
      <c r="N84" s="3" t="s">
        <v>19</v>
      </c>
      <c r="O84" s="6">
        <v>0</v>
      </c>
      <c r="P84" s="6">
        <f>J84-L84</f>
        <v>30000</v>
      </c>
    </row>
    <row r="85" spans="1:16" x14ac:dyDescent="0.25">
      <c r="A85" s="3" t="s">
        <v>264</v>
      </c>
      <c r="B85" s="4" t="s">
        <v>265</v>
      </c>
      <c r="C85" s="3" t="s">
        <v>19</v>
      </c>
      <c r="D85" s="3" t="s">
        <v>19</v>
      </c>
      <c r="E85" s="3" t="s">
        <v>20</v>
      </c>
      <c r="F85" s="3" t="s">
        <v>19</v>
      </c>
      <c r="G85" s="3" t="s">
        <v>140</v>
      </c>
      <c r="H85" s="5">
        <v>1</v>
      </c>
      <c r="I85" s="3" t="s">
        <v>19</v>
      </c>
      <c r="J85" s="6">
        <v>28000</v>
      </c>
      <c r="K85" s="6">
        <v>0</v>
      </c>
      <c r="L85" s="6">
        <v>0</v>
      </c>
      <c r="M85" s="6">
        <v>0</v>
      </c>
      <c r="N85" s="3" t="s">
        <v>19</v>
      </c>
      <c r="O85" s="6">
        <v>0</v>
      </c>
      <c r="P85" s="6">
        <f>J85-L85</f>
        <v>28000</v>
      </c>
    </row>
    <row r="86" spans="1:16" x14ac:dyDescent="0.25">
      <c r="A86" s="3" t="s">
        <v>264</v>
      </c>
      <c r="B86" s="4" t="s">
        <v>265</v>
      </c>
      <c r="C86" s="3" t="s">
        <v>19</v>
      </c>
      <c r="D86" s="3" t="s">
        <v>19</v>
      </c>
      <c r="E86" s="3" t="s">
        <v>20</v>
      </c>
      <c r="F86" s="3" t="s">
        <v>19</v>
      </c>
      <c r="G86" s="3" t="s">
        <v>133</v>
      </c>
      <c r="H86" s="5">
        <v>1</v>
      </c>
      <c r="I86" s="3" t="s">
        <v>19</v>
      </c>
      <c r="J86" s="6">
        <v>25000</v>
      </c>
      <c r="K86" s="6">
        <v>0</v>
      </c>
      <c r="L86" s="6">
        <v>0</v>
      </c>
      <c r="M86" s="6">
        <v>0</v>
      </c>
      <c r="N86" s="3" t="s">
        <v>19</v>
      </c>
      <c r="O86" s="6">
        <v>0</v>
      </c>
      <c r="P86" s="6">
        <f>J86-L86</f>
        <v>25000</v>
      </c>
    </row>
    <row r="87" spans="1:16" x14ac:dyDescent="0.25">
      <c r="A87" s="3" t="s">
        <v>266</v>
      </c>
      <c r="B87" s="4" t="s">
        <v>267</v>
      </c>
      <c r="C87" s="3" t="s">
        <v>19</v>
      </c>
      <c r="D87" s="3" t="s">
        <v>19</v>
      </c>
      <c r="E87" s="3" t="s">
        <v>20</v>
      </c>
      <c r="F87" s="3" t="s">
        <v>19</v>
      </c>
      <c r="G87" s="3" t="s">
        <v>136</v>
      </c>
      <c r="H87" s="5">
        <v>1</v>
      </c>
      <c r="I87" s="3" t="s">
        <v>19</v>
      </c>
      <c r="J87" s="6">
        <v>25000</v>
      </c>
      <c r="K87" s="6">
        <v>0</v>
      </c>
      <c r="L87" s="6">
        <v>0</v>
      </c>
      <c r="M87" s="6">
        <v>0</v>
      </c>
      <c r="N87" s="3" t="s">
        <v>19</v>
      </c>
      <c r="O87" s="6">
        <v>0</v>
      </c>
      <c r="P87" s="6">
        <f>J87-L87</f>
        <v>25000</v>
      </c>
    </row>
    <row r="88" spans="1:16" x14ac:dyDescent="0.25">
      <c r="A88" s="3" t="s">
        <v>268</v>
      </c>
      <c r="B88" s="4" t="s">
        <v>269</v>
      </c>
      <c r="C88" s="3" t="s">
        <v>19</v>
      </c>
      <c r="D88" s="3" t="s">
        <v>19</v>
      </c>
      <c r="E88" s="3" t="s">
        <v>20</v>
      </c>
      <c r="F88" s="3" t="s">
        <v>19</v>
      </c>
      <c r="G88" s="3" t="s">
        <v>139</v>
      </c>
      <c r="H88" s="5">
        <v>1</v>
      </c>
      <c r="I88" s="3" t="s">
        <v>19</v>
      </c>
      <c r="J88" s="6">
        <v>30000</v>
      </c>
      <c r="K88" s="6">
        <v>0</v>
      </c>
      <c r="L88" s="6">
        <v>0</v>
      </c>
      <c r="M88" s="6">
        <v>0</v>
      </c>
      <c r="N88" s="3" t="s">
        <v>19</v>
      </c>
      <c r="O88" s="6">
        <v>0</v>
      </c>
      <c r="P88" s="6">
        <f>J88-L88</f>
        <v>30000</v>
      </c>
    </row>
    <row r="89" spans="1:16" x14ac:dyDescent="0.25">
      <c r="A89" s="3" t="s">
        <v>270</v>
      </c>
      <c r="B89" s="4" t="s">
        <v>271</v>
      </c>
      <c r="C89" s="3" t="s">
        <v>19</v>
      </c>
      <c r="D89" s="3" t="s">
        <v>19</v>
      </c>
      <c r="E89" s="3" t="s">
        <v>20</v>
      </c>
      <c r="F89" s="3" t="s">
        <v>19</v>
      </c>
      <c r="G89" s="3" t="s">
        <v>133</v>
      </c>
      <c r="H89" s="5">
        <v>2</v>
      </c>
      <c r="I89" s="3" t="s">
        <v>19</v>
      </c>
      <c r="J89" s="6">
        <v>50000</v>
      </c>
      <c r="K89" s="6">
        <v>0</v>
      </c>
      <c r="L89" s="6">
        <v>0</v>
      </c>
      <c r="M89" s="6">
        <v>0</v>
      </c>
      <c r="N89" s="3" t="s">
        <v>19</v>
      </c>
      <c r="O89" s="6">
        <v>0</v>
      </c>
      <c r="P89" s="6">
        <f>J89-L89</f>
        <v>50000</v>
      </c>
    </row>
    <row r="90" spans="1:16" x14ac:dyDescent="0.25">
      <c r="A90" s="3" t="s">
        <v>272</v>
      </c>
      <c r="B90" s="4" t="s">
        <v>273</v>
      </c>
      <c r="C90" s="3" t="s">
        <v>19</v>
      </c>
      <c r="D90" s="3" t="s">
        <v>19</v>
      </c>
      <c r="E90" s="3" t="s">
        <v>20</v>
      </c>
      <c r="F90" s="3" t="s">
        <v>19</v>
      </c>
      <c r="G90" s="3" t="s">
        <v>140</v>
      </c>
      <c r="H90" s="5">
        <v>1</v>
      </c>
      <c r="I90" s="3" t="s">
        <v>19</v>
      </c>
      <c r="J90" s="6">
        <v>28000</v>
      </c>
      <c r="K90" s="6">
        <v>0</v>
      </c>
      <c r="L90" s="6">
        <v>0</v>
      </c>
      <c r="M90" s="6">
        <v>0</v>
      </c>
      <c r="N90" s="3" t="s">
        <v>19</v>
      </c>
      <c r="O90" s="6">
        <v>0</v>
      </c>
      <c r="P90" s="6">
        <f>J90-L90</f>
        <v>28000</v>
      </c>
    </row>
    <row r="91" spans="1:16" x14ac:dyDescent="0.25">
      <c r="A91" s="3" t="s">
        <v>272</v>
      </c>
      <c r="B91" s="4" t="s">
        <v>273</v>
      </c>
      <c r="C91" s="3" t="s">
        <v>19</v>
      </c>
      <c r="D91" s="3" t="s">
        <v>19</v>
      </c>
      <c r="E91" s="3" t="s">
        <v>20</v>
      </c>
      <c r="F91" s="3" t="s">
        <v>19</v>
      </c>
      <c r="G91" s="3" t="s">
        <v>249</v>
      </c>
      <c r="H91" s="5">
        <v>1</v>
      </c>
      <c r="I91" s="3" t="s">
        <v>19</v>
      </c>
      <c r="J91" s="6">
        <v>25000</v>
      </c>
      <c r="K91" s="6">
        <v>0</v>
      </c>
      <c r="L91" s="6">
        <v>0</v>
      </c>
      <c r="M91" s="6">
        <v>0</v>
      </c>
      <c r="N91" s="3" t="s">
        <v>19</v>
      </c>
      <c r="O91" s="6">
        <v>0</v>
      </c>
      <c r="P91" s="6">
        <f>J91-L91</f>
        <v>25000</v>
      </c>
    </row>
    <row r="92" spans="1:16" x14ac:dyDescent="0.25">
      <c r="A92" s="3" t="s">
        <v>272</v>
      </c>
      <c r="B92" s="4" t="s">
        <v>273</v>
      </c>
      <c r="C92" s="3" t="s">
        <v>19</v>
      </c>
      <c r="D92" s="3" t="s">
        <v>19</v>
      </c>
      <c r="E92" s="3" t="s">
        <v>20</v>
      </c>
      <c r="F92" s="3" t="s">
        <v>19</v>
      </c>
      <c r="G92" s="3" t="s">
        <v>186</v>
      </c>
      <c r="H92" s="5">
        <v>1</v>
      </c>
      <c r="I92" s="3" t="s">
        <v>19</v>
      </c>
      <c r="J92" s="6">
        <v>25000</v>
      </c>
      <c r="K92" s="6">
        <v>0</v>
      </c>
      <c r="L92" s="6">
        <v>0</v>
      </c>
      <c r="M92" s="6">
        <v>0</v>
      </c>
      <c r="N92" s="3" t="s">
        <v>19</v>
      </c>
      <c r="O92" s="6">
        <v>0</v>
      </c>
      <c r="P92" s="6">
        <f>J92-L92</f>
        <v>25000</v>
      </c>
    </row>
    <row r="93" spans="1:16" x14ac:dyDescent="0.25">
      <c r="A93" s="3" t="s">
        <v>274</v>
      </c>
      <c r="B93" s="4" t="s">
        <v>275</v>
      </c>
      <c r="C93" s="3" t="s">
        <v>19</v>
      </c>
      <c r="D93" s="3" t="s">
        <v>19</v>
      </c>
      <c r="E93" s="3" t="s">
        <v>20</v>
      </c>
      <c r="F93" s="3" t="s">
        <v>19</v>
      </c>
      <c r="G93" s="3" t="s">
        <v>140</v>
      </c>
      <c r="H93" s="5">
        <v>1</v>
      </c>
      <c r="I93" s="3" t="s">
        <v>19</v>
      </c>
      <c r="J93" s="6">
        <v>28000</v>
      </c>
      <c r="K93" s="6">
        <v>0</v>
      </c>
      <c r="L93" s="6">
        <v>0</v>
      </c>
      <c r="M93" s="6">
        <v>0</v>
      </c>
      <c r="N93" s="3" t="s">
        <v>19</v>
      </c>
      <c r="O93" s="6">
        <v>0</v>
      </c>
      <c r="P93" s="6">
        <f>J93-L93</f>
        <v>28000</v>
      </c>
    </row>
    <row r="94" spans="1:16" x14ac:dyDescent="0.25">
      <c r="A94" s="3" t="s">
        <v>276</v>
      </c>
      <c r="B94" s="4" t="s">
        <v>277</v>
      </c>
      <c r="C94" s="3" t="s">
        <v>19</v>
      </c>
      <c r="D94" s="3" t="s">
        <v>19</v>
      </c>
      <c r="E94" s="3" t="s">
        <v>20</v>
      </c>
      <c r="F94" s="3" t="s">
        <v>19</v>
      </c>
      <c r="G94" s="3" t="s">
        <v>278</v>
      </c>
      <c r="H94" s="5">
        <v>1</v>
      </c>
      <c r="I94" s="3" t="s">
        <v>19</v>
      </c>
      <c r="J94" s="6">
        <v>35000</v>
      </c>
      <c r="K94" s="6">
        <v>0</v>
      </c>
      <c r="L94" s="6">
        <v>0</v>
      </c>
      <c r="M94" s="6">
        <v>0</v>
      </c>
      <c r="N94" s="3" t="s">
        <v>19</v>
      </c>
      <c r="O94" s="6">
        <v>0</v>
      </c>
      <c r="P94" s="6">
        <f>J94-L94</f>
        <v>35000</v>
      </c>
    </row>
    <row r="95" spans="1:16" x14ac:dyDescent="0.25">
      <c r="A95" s="3" t="s">
        <v>279</v>
      </c>
      <c r="B95" s="4" t="s">
        <v>280</v>
      </c>
      <c r="C95" s="3" t="s">
        <v>19</v>
      </c>
      <c r="D95" s="3" t="s">
        <v>19</v>
      </c>
      <c r="E95" s="3" t="s">
        <v>20</v>
      </c>
      <c r="F95" s="3" t="s">
        <v>19</v>
      </c>
      <c r="G95" s="3" t="s">
        <v>140</v>
      </c>
      <c r="H95" s="5">
        <v>1</v>
      </c>
      <c r="I95" s="3" t="s">
        <v>19</v>
      </c>
      <c r="J95" s="6">
        <v>28000</v>
      </c>
      <c r="K95" s="6">
        <v>0</v>
      </c>
      <c r="L95" s="6">
        <v>0</v>
      </c>
      <c r="M95" s="6">
        <v>0</v>
      </c>
      <c r="N95" s="3" t="s">
        <v>19</v>
      </c>
      <c r="O95" s="6">
        <v>0</v>
      </c>
      <c r="P95" s="6">
        <f>J95-L95</f>
        <v>28000</v>
      </c>
    </row>
    <row r="96" spans="1:16" x14ac:dyDescent="0.25">
      <c r="A96" s="3" t="s">
        <v>281</v>
      </c>
      <c r="B96" s="4" t="s">
        <v>282</v>
      </c>
      <c r="C96" s="3" t="s">
        <v>19</v>
      </c>
      <c r="D96" s="3" t="s">
        <v>19</v>
      </c>
      <c r="E96" s="3" t="s">
        <v>20</v>
      </c>
      <c r="F96" s="3" t="s">
        <v>19</v>
      </c>
      <c r="G96" s="3" t="s">
        <v>234</v>
      </c>
      <c r="H96" s="5">
        <v>1</v>
      </c>
      <c r="I96" s="3" t="s">
        <v>19</v>
      </c>
      <c r="J96" s="6">
        <v>40000</v>
      </c>
      <c r="K96" s="6">
        <v>0</v>
      </c>
      <c r="L96" s="6">
        <v>0</v>
      </c>
      <c r="M96" s="6">
        <v>0</v>
      </c>
      <c r="N96" s="3" t="s">
        <v>19</v>
      </c>
      <c r="O96" s="6">
        <v>0</v>
      </c>
      <c r="P96" s="6">
        <f>J96-L96</f>
        <v>40000</v>
      </c>
    </row>
    <row r="97" spans="1:16" x14ac:dyDescent="0.25">
      <c r="A97" s="3" t="s">
        <v>283</v>
      </c>
      <c r="B97" s="4" t="s">
        <v>284</v>
      </c>
      <c r="C97" s="3" t="s">
        <v>19</v>
      </c>
      <c r="D97" s="3" t="s">
        <v>19</v>
      </c>
      <c r="E97" s="3" t="s">
        <v>20</v>
      </c>
      <c r="F97" s="3" t="s">
        <v>19</v>
      </c>
      <c r="G97" s="3" t="s">
        <v>140</v>
      </c>
      <c r="H97" s="5">
        <v>1</v>
      </c>
      <c r="I97" s="3" t="s">
        <v>19</v>
      </c>
      <c r="J97" s="6">
        <v>28000</v>
      </c>
      <c r="K97" s="6">
        <v>0</v>
      </c>
      <c r="L97" s="6">
        <v>0</v>
      </c>
      <c r="M97" s="6">
        <v>0</v>
      </c>
      <c r="N97" s="3" t="s">
        <v>19</v>
      </c>
      <c r="O97" s="6">
        <v>0</v>
      </c>
      <c r="P97" s="6">
        <f>J97-L97</f>
        <v>28000</v>
      </c>
    </row>
    <row r="98" spans="1:16" x14ac:dyDescent="0.25">
      <c r="A98" s="3" t="s">
        <v>285</v>
      </c>
      <c r="B98" s="4" t="s">
        <v>286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234</v>
      </c>
      <c r="H98" s="5">
        <v>1</v>
      </c>
      <c r="I98" s="3" t="s">
        <v>19</v>
      </c>
      <c r="J98" s="6">
        <v>40000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40000</v>
      </c>
    </row>
    <row r="99" spans="1:16" x14ac:dyDescent="0.25">
      <c r="A99" s="3" t="s">
        <v>287</v>
      </c>
      <c r="B99" s="4" t="s">
        <v>288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140</v>
      </c>
      <c r="H99" s="5">
        <v>2</v>
      </c>
      <c r="I99" s="3" t="s">
        <v>19</v>
      </c>
      <c r="J99" s="6">
        <v>56000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56000</v>
      </c>
    </row>
    <row r="100" spans="1:16" x14ac:dyDescent="0.25">
      <c r="A100" s="3" t="s">
        <v>289</v>
      </c>
      <c r="B100" s="4" t="s">
        <v>290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133</v>
      </c>
      <c r="H100" s="5">
        <v>1</v>
      </c>
      <c r="I100" s="3" t="s">
        <v>19</v>
      </c>
      <c r="J100" s="6">
        <v>25000</v>
      </c>
      <c r="K100" s="6">
        <v>0</v>
      </c>
      <c r="L100" s="6">
        <v>0</v>
      </c>
      <c r="M100" s="6">
        <v>0</v>
      </c>
      <c r="N100" s="3" t="s">
        <v>19</v>
      </c>
      <c r="O100" s="6">
        <v>0</v>
      </c>
      <c r="P100" s="6">
        <f>J100-L100</f>
        <v>25000</v>
      </c>
    </row>
    <row r="101" spans="1:16" x14ac:dyDescent="0.25">
      <c r="A101" s="3" t="s">
        <v>291</v>
      </c>
      <c r="B101" s="4" t="s">
        <v>292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186</v>
      </c>
      <c r="H101" s="5">
        <v>1</v>
      </c>
      <c r="I101" s="3" t="s">
        <v>19</v>
      </c>
      <c r="J101" s="6">
        <v>25000</v>
      </c>
      <c r="K101" s="6">
        <v>0</v>
      </c>
      <c r="L101" s="6">
        <v>0</v>
      </c>
      <c r="M101" s="6">
        <v>0</v>
      </c>
      <c r="N101" s="3" t="s">
        <v>19</v>
      </c>
      <c r="O101" s="6">
        <v>0</v>
      </c>
      <c r="P101" s="6">
        <f>J101-L101</f>
        <v>25000</v>
      </c>
    </row>
    <row r="102" spans="1:16" x14ac:dyDescent="0.25">
      <c r="A102" s="3" t="s">
        <v>293</v>
      </c>
      <c r="B102" s="4" t="s">
        <v>294</v>
      </c>
      <c r="C102" s="3" t="s">
        <v>19</v>
      </c>
      <c r="D102" s="3" t="s">
        <v>19</v>
      </c>
      <c r="E102" s="3" t="s">
        <v>25</v>
      </c>
      <c r="F102" s="3" t="s">
        <v>19</v>
      </c>
      <c r="G102" s="3" t="s">
        <v>140</v>
      </c>
      <c r="H102" s="5">
        <v>1</v>
      </c>
      <c r="I102" s="3" t="s">
        <v>19</v>
      </c>
      <c r="J102" s="6">
        <v>28000</v>
      </c>
      <c r="K102" s="6">
        <v>0</v>
      </c>
      <c r="L102" s="6">
        <v>0</v>
      </c>
      <c r="M102" s="6">
        <v>0</v>
      </c>
      <c r="N102" s="3" t="s">
        <v>19</v>
      </c>
      <c r="O102" s="6">
        <v>0</v>
      </c>
      <c r="P102" s="6">
        <f>J102-L102</f>
        <v>28000</v>
      </c>
    </row>
    <row r="103" spans="1:16" x14ac:dyDescent="0.25">
      <c r="A103" s="3" t="s">
        <v>295</v>
      </c>
      <c r="B103" s="4" t="s">
        <v>296</v>
      </c>
      <c r="C103" s="3" t="s">
        <v>19</v>
      </c>
      <c r="D103" s="3" t="s">
        <v>19</v>
      </c>
      <c r="E103" s="3" t="s">
        <v>25</v>
      </c>
      <c r="F103" s="3" t="s">
        <v>19</v>
      </c>
      <c r="G103" s="3" t="s">
        <v>234</v>
      </c>
      <c r="H103" s="5">
        <v>1</v>
      </c>
      <c r="I103" s="3" t="s">
        <v>19</v>
      </c>
      <c r="J103" s="6">
        <v>40000</v>
      </c>
      <c r="K103" s="6">
        <v>0</v>
      </c>
      <c r="L103" s="6">
        <v>0</v>
      </c>
      <c r="M103" s="6">
        <v>0</v>
      </c>
      <c r="N103" s="3" t="s">
        <v>19</v>
      </c>
      <c r="O103" s="6">
        <v>0</v>
      </c>
      <c r="P103" s="6">
        <f>J103-L103</f>
        <v>40000</v>
      </c>
    </row>
    <row r="104" spans="1:16" x14ac:dyDescent="0.25">
      <c r="A104" s="3" t="s">
        <v>295</v>
      </c>
      <c r="B104" s="4" t="s">
        <v>296</v>
      </c>
      <c r="C104" s="3" t="s">
        <v>19</v>
      </c>
      <c r="D104" s="3" t="s">
        <v>19</v>
      </c>
      <c r="E104" s="3" t="s">
        <v>25</v>
      </c>
      <c r="F104" s="3" t="s">
        <v>19</v>
      </c>
      <c r="G104" s="3" t="s">
        <v>186</v>
      </c>
      <c r="H104" s="5">
        <v>1</v>
      </c>
      <c r="I104" s="3" t="s">
        <v>19</v>
      </c>
      <c r="J104" s="6">
        <v>25000</v>
      </c>
      <c r="K104" s="6">
        <v>0</v>
      </c>
      <c r="L104" s="6">
        <v>0</v>
      </c>
      <c r="M104" s="6">
        <v>0</v>
      </c>
      <c r="N104" s="3" t="s">
        <v>19</v>
      </c>
      <c r="O104" s="6">
        <v>0</v>
      </c>
      <c r="P104" s="6">
        <f>J104-L104</f>
        <v>25000</v>
      </c>
    </row>
    <row r="105" spans="1:16" x14ac:dyDescent="0.25">
      <c r="A105" s="3" t="s">
        <v>297</v>
      </c>
      <c r="B105" s="4" t="s">
        <v>298</v>
      </c>
      <c r="C105" s="3" t="s">
        <v>19</v>
      </c>
      <c r="D105" s="3" t="s">
        <v>19</v>
      </c>
      <c r="E105" s="3" t="s">
        <v>25</v>
      </c>
      <c r="F105" s="3" t="s">
        <v>19</v>
      </c>
      <c r="G105" s="3" t="s">
        <v>140</v>
      </c>
      <c r="H105" s="5">
        <v>1</v>
      </c>
      <c r="I105" s="3" t="s">
        <v>19</v>
      </c>
      <c r="J105" s="6">
        <v>28000</v>
      </c>
      <c r="K105" s="6">
        <v>0</v>
      </c>
      <c r="L105" s="6">
        <v>0</v>
      </c>
      <c r="M105" s="6">
        <v>0</v>
      </c>
      <c r="N105" s="3" t="s">
        <v>19</v>
      </c>
      <c r="O105" s="6">
        <v>0</v>
      </c>
      <c r="P105" s="6">
        <f>J105-L105</f>
        <v>28000</v>
      </c>
    </row>
    <row r="106" spans="1:16" x14ac:dyDescent="0.25">
      <c r="A106" s="3" t="s">
        <v>297</v>
      </c>
      <c r="B106" s="4" t="s">
        <v>298</v>
      </c>
      <c r="C106" s="3" t="s">
        <v>19</v>
      </c>
      <c r="D106" s="3" t="s">
        <v>19</v>
      </c>
      <c r="E106" s="3" t="s">
        <v>25</v>
      </c>
      <c r="F106" s="3" t="s">
        <v>19</v>
      </c>
      <c r="G106" s="3" t="s">
        <v>186</v>
      </c>
      <c r="H106" s="5">
        <v>1</v>
      </c>
      <c r="I106" s="3" t="s">
        <v>19</v>
      </c>
      <c r="J106" s="6">
        <v>25000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25000</v>
      </c>
    </row>
    <row r="107" spans="1:16" x14ac:dyDescent="0.25">
      <c r="A107" s="3" t="s">
        <v>299</v>
      </c>
      <c r="B107" s="4" t="s">
        <v>300</v>
      </c>
      <c r="C107" s="3" t="s">
        <v>19</v>
      </c>
      <c r="D107" s="3" t="s">
        <v>19</v>
      </c>
      <c r="E107" s="3" t="s">
        <v>25</v>
      </c>
      <c r="F107" s="3" t="s">
        <v>19</v>
      </c>
      <c r="G107" s="3" t="s">
        <v>234</v>
      </c>
      <c r="H107" s="5">
        <v>1</v>
      </c>
      <c r="I107" s="3" t="s">
        <v>19</v>
      </c>
      <c r="J107" s="6">
        <v>40000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40000</v>
      </c>
    </row>
    <row r="108" spans="1:16" x14ac:dyDescent="0.25">
      <c r="A108" s="3" t="s">
        <v>299</v>
      </c>
      <c r="B108" s="4" t="s">
        <v>300</v>
      </c>
      <c r="C108" s="3" t="s">
        <v>19</v>
      </c>
      <c r="D108" s="3" t="s">
        <v>19</v>
      </c>
      <c r="E108" s="3" t="s">
        <v>25</v>
      </c>
      <c r="F108" s="3" t="s">
        <v>19</v>
      </c>
      <c r="G108" s="3" t="s">
        <v>136</v>
      </c>
      <c r="H108" s="5">
        <v>1</v>
      </c>
      <c r="I108" s="3" t="s">
        <v>19</v>
      </c>
      <c r="J108" s="6">
        <v>25000</v>
      </c>
      <c r="K108" s="6">
        <v>0</v>
      </c>
      <c r="L108" s="6">
        <v>0</v>
      </c>
      <c r="M108" s="6">
        <v>0</v>
      </c>
      <c r="N108" s="3" t="s">
        <v>19</v>
      </c>
      <c r="O108" s="6">
        <v>0</v>
      </c>
      <c r="P108" s="6">
        <f>J108-L108</f>
        <v>25000</v>
      </c>
    </row>
    <row r="109" spans="1:16" x14ac:dyDescent="0.25">
      <c r="A109" s="3" t="s">
        <v>301</v>
      </c>
      <c r="B109" s="4" t="s">
        <v>302</v>
      </c>
      <c r="C109" s="3" t="s">
        <v>19</v>
      </c>
      <c r="D109" s="3" t="s">
        <v>19</v>
      </c>
      <c r="E109" s="3" t="s">
        <v>25</v>
      </c>
      <c r="F109" s="3" t="s">
        <v>19</v>
      </c>
      <c r="G109" s="3" t="s">
        <v>139</v>
      </c>
      <c r="H109" s="5">
        <v>1</v>
      </c>
      <c r="I109" s="3" t="s">
        <v>19</v>
      </c>
      <c r="J109" s="6">
        <v>30000</v>
      </c>
      <c r="K109" s="6">
        <v>0</v>
      </c>
      <c r="L109" s="6">
        <v>0</v>
      </c>
      <c r="M109" s="6">
        <v>0</v>
      </c>
      <c r="N109" s="3" t="s">
        <v>19</v>
      </c>
      <c r="O109" s="6">
        <v>0</v>
      </c>
      <c r="P109" s="6">
        <f>J109-L109</f>
        <v>30000</v>
      </c>
    </row>
    <row r="110" spans="1:16" x14ac:dyDescent="0.25">
      <c r="A110" s="3" t="s">
        <v>303</v>
      </c>
      <c r="B110" s="4" t="s">
        <v>304</v>
      </c>
      <c r="C110" s="3" t="s">
        <v>19</v>
      </c>
      <c r="D110" s="3" t="s">
        <v>19</v>
      </c>
      <c r="E110" s="3" t="s">
        <v>25</v>
      </c>
      <c r="F110" s="3" t="s">
        <v>19</v>
      </c>
      <c r="G110" s="3" t="s">
        <v>160</v>
      </c>
      <c r="H110" s="5">
        <v>1</v>
      </c>
      <c r="I110" s="3" t="s">
        <v>19</v>
      </c>
      <c r="J110" s="6">
        <v>17000</v>
      </c>
      <c r="K110" s="6">
        <v>0</v>
      </c>
      <c r="L110" s="6">
        <v>0</v>
      </c>
      <c r="M110" s="6">
        <v>0</v>
      </c>
      <c r="N110" s="3" t="s">
        <v>19</v>
      </c>
      <c r="O110" s="6">
        <v>0</v>
      </c>
      <c r="P110" s="6">
        <f>J110-L110</f>
        <v>17000</v>
      </c>
    </row>
    <row r="111" ht="18" customHeight="1" spans="1:16" x14ac:dyDescent="0.25">
      <c r="A111" s="7" t="s">
        <v>34</v>
      </c>
      <c r="B111" s="7"/>
      <c r="C111" s="7"/>
      <c r="D111" s="7"/>
      <c r="E111" s="7"/>
      <c r="F111" s="7"/>
      <c r="G111" s="7"/>
      <c r="H111" s="8">
        <f>SUM(H77:H110)</f>
        <v>36</v>
      </c>
      <c r="I111" s="7"/>
      <c r="J111" s="9">
        <f>SUM(J77:J110)</f>
        <v>1014000</v>
      </c>
      <c r="K111" s="9">
        <f>SUM(K77:K110)</f>
        <v>0</v>
      </c>
      <c r="L111" s="9">
        <f>SUM(L77:L110)</f>
        <v>0</v>
      </c>
      <c r="M111" s="9">
        <f>SUM(M77:M110)</f>
        <v>0</v>
      </c>
      <c r="N111" s="7"/>
      <c r="O111" s="9">
        <f>SUM(O77:O110)</f>
        <v>0</v>
      </c>
      <c r="P111" s="9">
        <f>SUM(P77:P110)</f>
        <v>1014000</v>
      </c>
    </row>
    <row r="115" ht="15.75" customHeight="1" spans="1:16" x14ac:dyDescent="0.25">
      <c r="A115" s="1" t="s">
        <v>60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39.4" customHeight="1" spans="1:16" x14ac:dyDescent="0.25">
      <c r="A116" s="2" t="s">
        <v>1</v>
      </c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10</v>
      </c>
      <c r="K116" s="2" t="s">
        <v>11</v>
      </c>
      <c r="L116" s="2" t="s">
        <v>12</v>
      </c>
      <c r="M116" s="2" t="s">
        <v>13</v>
      </c>
      <c r="N116" s="2" t="s">
        <v>14</v>
      </c>
      <c r="O116" s="2" t="s">
        <v>15</v>
      </c>
      <c r="P116" s="2" t="s">
        <v>16</v>
      </c>
    </row>
    <row r="117" spans="1:16" x14ac:dyDescent="0.25">
      <c r="A117" s="3" t="s">
        <v>305</v>
      </c>
      <c r="B117" s="4" t="s">
        <v>306</v>
      </c>
      <c r="C117" s="3" t="s">
        <v>19</v>
      </c>
      <c r="D117" s="3" t="s">
        <v>19</v>
      </c>
      <c r="E117" s="3" t="s">
        <v>52</v>
      </c>
      <c r="F117" s="3" t="s">
        <v>19</v>
      </c>
      <c r="G117" s="3" t="s">
        <v>179</v>
      </c>
      <c r="H117" s="5">
        <v>1</v>
      </c>
      <c r="I117" s="3" t="s">
        <v>19</v>
      </c>
      <c r="J117" s="6">
        <v>40000</v>
      </c>
      <c r="K117" s="6">
        <v>0</v>
      </c>
      <c r="L117" s="6">
        <v>0</v>
      </c>
      <c r="M117" s="6">
        <v>0</v>
      </c>
      <c r="N117" s="3" t="s">
        <v>19</v>
      </c>
      <c r="O117" s="6">
        <v>0</v>
      </c>
      <c r="P117" s="6">
        <f>J117-L117</f>
        <v>40000</v>
      </c>
    </row>
    <row r="118" spans="1:16" x14ac:dyDescent="0.25">
      <c r="A118" s="3" t="s">
        <v>307</v>
      </c>
      <c r="B118" s="4" t="s">
        <v>308</v>
      </c>
      <c r="C118" s="3" t="s">
        <v>19</v>
      </c>
      <c r="D118" s="3" t="s">
        <v>19</v>
      </c>
      <c r="E118" s="3" t="s">
        <v>52</v>
      </c>
      <c r="F118" s="3" t="s">
        <v>19</v>
      </c>
      <c r="G118" s="3" t="s">
        <v>179</v>
      </c>
      <c r="H118" s="5">
        <v>1</v>
      </c>
      <c r="I118" s="3" t="s">
        <v>19</v>
      </c>
      <c r="J118" s="6">
        <v>40000</v>
      </c>
      <c r="K118" s="6">
        <v>0</v>
      </c>
      <c r="L118" s="6">
        <v>0</v>
      </c>
      <c r="M118" s="6">
        <v>0</v>
      </c>
      <c r="N118" s="3" t="s">
        <v>19</v>
      </c>
      <c r="O118" s="6">
        <v>0</v>
      </c>
      <c r="P118" s="6">
        <f>J118-L118</f>
        <v>40000</v>
      </c>
    </row>
    <row r="119" spans="1:16" x14ac:dyDescent="0.25">
      <c r="A119" s="3" t="s">
        <v>309</v>
      </c>
      <c r="B119" s="4" t="s">
        <v>310</v>
      </c>
      <c r="C119" s="3" t="s">
        <v>19</v>
      </c>
      <c r="D119" s="3" t="s">
        <v>19</v>
      </c>
      <c r="E119" s="3" t="s">
        <v>52</v>
      </c>
      <c r="F119" s="3" t="s">
        <v>19</v>
      </c>
      <c r="G119" s="3" t="s">
        <v>179</v>
      </c>
      <c r="H119" s="5">
        <v>1</v>
      </c>
      <c r="I119" s="3" t="s">
        <v>19</v>
      </c>
      <c r="J119" s="6">
        <v>40000</v>
      </c>
      <c r="K119" s="6">
        <v>0</v>
      </c>
      <c r="L119" s="6">
        <v>0</v>
      </c>
      <c r="M119" s="6">
        <v>0</v>
      </c>
      <c r="N119" s="3" t="s">
        <v>19</v>
      </c>
      <c r="O119" s="6">
        <v>0</v>
      </c>
      <c r="P119" s="6">
        <f>J119-L119</f>
        <v>40000</v>
      </c>
    </row>
    <row r="120" spans="1:16" x14ac:dyDescent="0.25">
      <c r="A120" s="3" t="s">
        <v>311</v>
      </c>
      <c r="B120" s="4" t="s">
        <v>312</v>
      </c>
      <c r="C120" s="3" t="s">
        <v>19</v>
      </c>
      <c r="D120" s="3" t="s">
        <v>19</v>
      </c>
      <c r="E120" s="3" t="s">
        <v>52</v>
      </c>
      <c r="F120" s="3" t="s">
        <v>19</v>
      </c>
      <c r="G120" s="3" t="s">
        <v>140</v>
      </c>
      <c r="H120" s="5">
        <v>1</v>
      </c>
      <c r="I120" s="3" t="s">
        <v>19</v>
      </c>
      <c r="J120" s="6">
        <v>28000</v>
      </c>
      <c r="K120" s="6">
        <v>0</v>
      </c>
      <c r="L120" s="6">
        <v>0</v>
      </c>
      <c r="M120" s="6">
        <v>0</v>
      </c>
      <c r="N120" s="3" t="s">
        <v>19</v>
      </c>
      <c r="O120" s="6">
        <v>0</v>
      </c>
      <c r="P120" s="6">
        <f>J120-L120</f>
        <v>28000</v>
      </c>
    </row>
    <row r="121" spans="1:16" x14ac:dyDescent="0.25">
      <c r="A121" s="3" t="s">
        <v>313</v>
      </c>
      <c r="B121" s="4" t="s">
        <v>314</v>
      </c>
      <c r="C121" s="3" t="s">
        <v>19</v>
      </c>
      <c r="D121" s="3" t="s">
        <v>19</v>
      </c>
      <c r="E121" s="3" t="s">
        <v>52</v>
      </c>
      <c r="F121" s="3" t="s">
        <v>19</v>
      </c>
      <c r="G121" s="3" t="s">
        <v>140</v>
      </c>
      <c r="H121" s="5">
        <v>1</v>
      </c>
      <c r="I121" s="3" t="s">
        <v>19</v>
      </c>
      <c r="J121" s="6">
        <v>28000</v>
      </c>
      <c r="K121" s="6">
        <v>0</v>
      </c>
      <c r="L121" s="6">
        <v>0</v>
      </c>
      <c r="M121" s="6">
        <v>0</v>
      </c>
      <c r="N121" s="3" t="s">
        <v>19</v>
      </c>
      <c r="O121" s="6">
        <v>0</v>
      </c>
      <c r="P121" s="6">
        <f>J121-L121</f>
        <v>28000</v>
      </c>
    </row>
    <row r="122" spans="1:16" x14ac:dyDescent="0.25">
      <c r="A122" s="3" t="s">
        <v>315</v>
      </c>
      <c r="B122" s="4" t="s">
        <v>316</v>
      </c>
      <c r="C122" s="3" t="s">
        <v>19</v>
      </c>
      <c r="D122" s="3" t="s">
        <v>19</v>
      </c>
      <c r="E122" s="3" t="s">
        <v>52</v>
      </c>
      <c r="F122" s="3" t="s">
        <v>19</v>
      </c>
      <c r="G122" s="3" t="s">
        <v>140</v>
      </c>
      <c r="H122" s="5">
        <v>2</v>
      </c>
      <c r="I122" s="3" t="s">
        <v>19</v>
      </c>
      <c r="J122" s="6">
        <v>56000</v>
      </c>
      <c r="K122" s="6">
        <v>0</v>
      </c>
      <c r="L122" s="6">
        <v>0</v>
      </c>
      <c r="M122" s="6">
        <v>0</v>
      </c>
      <c r="N122" s="3" t="s">
        <v>19</v>
      </c>
      <c r="O122" s="6">
        <v>0</v>
      </c>
      <c r="P122" s="6">
        <f>J122-L122</f>
        <v>56000</v>
      </c>
    </row>
    <row r="123" spans="1:16" x14ac:dyDescent="0.25">
      <c r="A123" s="3" t="s">
        <v>315</v>
      </c>
      <c r="B123" s="4" t="s">
        <v>316</v>
      </c>
      <c r="C123" s="3" t="s">
        <v>19</v>
      </c>
      <c r="D123" s="3" t="s">
        <v>19</v>
      </c>
      <c r="E123" s="3" t="s">
        <v>52</v>
      </c>
      <c r="F123" s="3" t="s">
        <v>19</v>
      </c>
      <c r="G123" s="3" t="s">
        <v>133</v>
      </c>
      <c r="H123" s="5">
        <v>1</v>
      </c>
      <c r="I123" s="3" t="s">
        <v>19</v>
      </c>
      <c r="J123" s="6">
        <v>25000</v>
      </c>
      <c r="K123" s="6">
        <v>0</v>
      </c>
      <c r="L123" s="6">
        <v>0</v>
      </c>
      <c r="M123" s="6">
        <v>0</v>
      </c>
      <c r="N123" s="3" t="s">
        <v>19</v>
      </c>
      <c r="O123" s="6">
        <v>0</v>
      </c>
      <c r="P123" s="6">
        <f>J123-L123</f>
        <v>25000</v>
      </c>
    </row>
    <row r="124" spans="1:16" x14ac:dyDescent="0.25">
      <c r="A124" s="3" t="s">
        <v>317</v>
      </c>
      <c r="B124" s="4" t="s">
        <v>318</v>
      </c>
      <c r="C124" s="3" t="s">
        <v>19</v>
      </c>
      <c r="D124" s="3" t="s">
        <v>19</v>
      </c>
      <c r="E124" s="3" t="s">
        <v>52</v>
      </c>
      <c r="F124" s="3" t="s">
        <v>19</v>
      </c>
      <c r="G124" s="3" t="s">
        <v>186</v>
      </c>
      <c r="H124" s="5">
        <v>1</v>
      </c>
      <c r="I124" s="3" t="s">
        <v>19</v>
      </c>
      <c r="J124" s="6">
        <v>25000</v>
      </c>
      <c r="K124" s="6">
        <v>0</v>
      </c>
      <c r="L124" s="6">
        <v>0</v>
      </c>
      <c r="M124" s="6">
        <v>0</v>
      </c>
      <c r="N124" s="3" t="s">
        <v>19</v>
      </c>
      <c r="O124" s="6">
        <v>0</v>
      </c>
      <c r="P124" s="6">
        <f>J124-L124</f>
        <v>25000</v>
      </c>
    </row>
    <row r="125" spans="1:16" x14ac:dyDescent="0.25">
      <c r="A125" s="3" t="s">
        <v>317</v>
      </c>
      <c r="B125" s="4" t="s">
        <v>318</v>
      </c>
      <c r="C125" s="3" t="s">
        <v>19</v>
      </c>
      <c r="D125" s="3" t="s">
        <v>19</v>
      </c>
      <c r="E125" s="3" t="s">
        <v>52</v>
      </c>
      <c r="F125" s="3" t="s">
        <v>19</v>
      </c>
      <c r="G125" s="3" t="s">
        <v>133</v>
      </c>
      <c r="H125" s="5">
        <v>1</v>
      </c>
      <c r="I125" s="3" t="s">
        <v>19</v>
      </c>
      <c r="J125" s="6">
        <v>25000</v>
      </c>
      <c r="K125" s="6">
        <v>0</v>
      </c>
      <c r="L125" s="6">
        <v>0</v>
      </c>
      <c r="M125" s="6">
        <v>0</v>
      </c>
      <c r="N125" s="3" t="s">
        <v>19</v>
      </c>
      <c r="O125" s="6">
        <v>0</v>
      </c>
      <c r="P125" s="6">
        <f>J125-L125</f>
        <v>25000</v>
      </c>
    </row>
    <row r="126" spans="1:16" x14ac:dyDescent="0.25">
      <c r="A126" s="3" t="s">
        <v>319</v>
      </c>
      <c r="B126" s="4" t="s">
        <v>320</v>
      </c>
      <c r="C126" s="3" t="s">
        <v>19</v>
      </c>
      <c r="D126" s="3" t="s">
        <v>19</v>
      </c>
      <c r="E126" s="3" t="s">
        <v>52</v>
      </c>
      <c r="F126" s="3" t="s">
        <v>19</v>
      </c>
      <c r="G126" s="3" t="s">
        <v>179</v>
      </c>
      <c r="H126" s="5">
        <v>1</v>
      </c>
      <c r="I126" s="3" t="s">
        <v>19</v>
      </c>
      <c r="J126" s="6">
        <v>40000</v>
      </c>
      <c r="K126" s="6">
        <v>0</v>
      </c>
      <c r="L126" s="6">
        <v>0</v>
      </c>
      <c r="M126" s="6">
        <v>0</v>
      </c>
      <c r="N126" s="3" t="s">
        <v>19</v>
      </c>
      <c r="O126" s="6">
        <v>0</v>
      </c>
      <c r="P126" s="6">
        <f>J126-L126</f>
        <v>40000</v>
      </c>
    </row>
    <row r="127" spans="1:16" x14ac:dyDescent="0.25">
      <c r="A127" s="3" t="s">
        <v>321</v>
      </c>
      <c r="B127" s="4" t="s">
        <v>322</v>
      </c>
      <c r="C127" s="3" t="s">
        <v>19</v>
      </c>
      <c r="D127" s="3" t="s">
        <v>19</v>
      </c>
      <c r="E127" s="3" t="s">
        <v>52</v>
      </c>
      <c r="F127" s="3" t="s">
        <v>19</v>
      </c>
      <c r="G127" s="3" t="s">
        <v>140</v>
      </c>
      <c r="H127" s="5">
        <v>2</v>
      </c>
      <c r="I127" s="3" t="s">
        <v>19</v>
      </c>
      <c r="J127" s="6">
        <v>56000</v>
      </c>
      <c r="K127" s="6">
        <v>0</v>
      </c>
      <c r="L127" s="6">
        <v>0</v>
      </c>
      <c r="M127" s="6">
        <v>0</v>
      </c>
      <c r="N127" s="3" t="s">
        <v>19</v>
      </c>
      <c r="O127" s="6">
        <v>0</v>
      </c>
      <c r="P127" s="6">
        <f>J127-L127</f>
        <v>56000</v>
      </c>
    </row>
    <row r="128" spans="1:16" x14ac:dyDescent="0.25">
      <c r="A128" s="3" t="s">
        <v>323</v>
      </c>
      <c r="B128" s="4" t="s">
        <v>324</v>
      </c>
      <c r="C128" s="3" t="s">
        <v>19</v>
      </c>
      <c r="D128" s="3" t="s">
        <v>19</v>
      </c>
      <c r="E128" s="3" t="s">
        <v>52</v>
      </c>
      <c r="F128" s="3" t="s">
        <v>19</v>
      </c>
      <c r="G128" s="3" t="s">
        <v>140</v>
      </c>
      <c r="H128" s="5">
        <v>2</v>
      </c>
      <c r="I128" s="3" t="s">
        <v>19</v>
      </c>
      <c r="J128" s="6">
        <v>56000</v>
      </c>
      <c r="K128" s="6">
        <v>0</v>
      </c>
      <c r="L128" s="6">
        <v>0</v>
      </c>
      <c r="M128" s="6">
        <v>0</v>
      </c>
      <c r="N128" s="3" t="s">
        <v>19</v>
      </c>
      <c r="O128" s="6">
        <v>0</v>
      </c>
      <c r="P128" s="6">
        <f>J128-L128</f>
        <v>56000</v>
      </c>
    </row>
    <row r="129" spans="1:16" x14ac:dyDescent="0.25">
      <c r="A129" s="3" t="s">
        <v>325</v>
      </c>
      <c r="B129" s="4" t="s">
        <v>326</v>
      </c>
      <c r="C129" s="3" t="s">
        <v>19</v>
      </c>
      <c r="D129" s="3" t="s">
        <v>19</v>
      </c>
      <c r="E129" s="3" t="s">
        <v>52</v>
      </c>
      <c r="F129" s="3" t="s">
        <v>19</v>
      </c>
      <c r="G129" s="3" t="s">
        <v>278</v>
      </c>
      <c r="H129" s="5">
        <v>1</v>
      </c>
      <c r="I129" s="3" t="s">
        <v>19</v>
      </c>
      <c r="J129" s="6">
        <v>35000</v>
      </c>
      <c r="K129" s="6">
        <v>0</v>
      </c>
      <c r="L129" s="6">
        <v>0</v>
      </c>
      <c r="M129" s="6">
        <v>0</v>
      </c>
      <c r="N129" s="3" t="s">
        <v>19</v>
      </c>
      <c r="O129" s="6">
        <v>0</v>
      </c>
      <c r="P129" s="6">
        <f>J129-L129</f>
        <v>35000</v>
      </c>
    </row>
    <row r="130" spans="1:16" x14ac:dyDescent="0.25">
      <c r="A130" s="3" t="s">
        <v>327</v>
      </c>
      <c r="B130" s="4" t="s">
        <v>328</v>
      </c>
      <c r="C130" s="3" t="s">
        <v>19</v>
      </c>
      <c r="D130" s="3" t="s">
        <v>19</v>
      </c>
      <c r="E130" s="3" t="s">
        <v>52</v>
      </c>
      <c r="F130" s="3" t="s">
        <v>19</v>
      </c>
      <c r="G130" s="3" t="s">
        <v>140</v>
      </c>
      <c r="H130" s="5">
        <v>1</v>
      </c>
      <c r="I130" s="3" t="s">
        <v>19</v>
      </c>
      <c r="J130" s="6">
        <v>28000</v>
      </c>
      <c r="K130" s="6">
        <v>0</v>
      </c>
      <c r="L130" s="6">
        <v>0</v>
      </c>
      <c r="M130" s="6">
        <v>0</v>
      </c>
      <c r="N130" s="3" t="s">
        <v>19</v>
      </c>
      <c r="O130" s="6">
        <v>0</v>
      </c>
      <c r="P130" s="6">
        <f>J130-L130</f>
        <v>28000</v>
      </c>
    </row>
    <row r="131" spans="1:16" x14ac:dyDescent="0.25">
      <c r="A131" s="3" t="s">
        <v>329</v>
      </c>
      <c r="B131" s="4" t="s">
        <v>330</v>
      </c>
      <c r="C131" s="3" t="s">
        <v>19</v>
      </c>
      <c r="D131" s="3" t="s">
        <v>19</v>
      </c>
      <c r="E131" s="3" t="s">
        <v>52</v>
      </c>
      <c r="F131" s="3" t="s">
        <v>19</v>
      </c>
      <c r="G131" s="3" t="s">
        <v>140</v>
      </c>
      <c r="H131" s="5">
        <v>1</v>
      </c>
      <c r="I131" s="3" t="s">
        <v>19</v>
      </c>
      <c r="J131" s="6">
        <v>28000</v>
      </c>
      <c r="K131" s="6">
        <v>0</v>
      </c>
      <c r="L131" s="6">
        <v>0</v>
      </c>
      <c r="M131" s="6">
        <v>0</v>
      </c>
      <c r="N131" s="3" t="s">
        <v>19</v>
      </c>
      <c r="O131" s="6">
        <v>0</v>
      </c>
      <c r="P131" s="6">
        <f>J131-L131</f>
        <v>28000</v>
      </c>
    </row>
    <row r="132" spans="1:16" x14ac:dyDescent="0.25">
      <c r="A132" s="3" t="s">
        <v>329</v>
      </c>
      <c r="B132" s="4" t="s">
        <v>330</v>
      </c>
      <c r="C132" s="3" t="s">
        <v>19</v>
      </c>
      <c r="D132" s="3" t="s">
        <v>19</v>
      </c>
      <c r="E132" s="3" t="s">
        <v>52</v>
      </c>
      <c r="F132" s="3" t="s">
        <v>19</v>
      </c>
      <c r="G132" s="3" t="s">
        <v>153</v>
      </c>
      <c r="H132" s="5">
        <v>1</v>
      </c>
      <c r="I132" s="3" t="s">
        <v>19</v>
      </c>
      <c r="J132" s="6">
        <v>35000</v>
      </c>
      <c r="K132" s="6">
        <v>0</v>
      </c>
      <c r="L132" s="6">
        <v>0</v>
      </c>
      <c r="M132" s="6">
        <v>0</v>
      </c>
      <c r="N132" s="3" t="s">
        <v>19</v>
      </c>
      <c r="O132" s="6">
        <v>0</v>
      </c>
      <c r="P132" s="6">
        <f>J132-L132</f>
        <v>35000</v>
      </c>
    </row>
    <row r="133" spans="1:16" x14ac:dyDescent="0.25">
      <c r="A133" s="3" t="s">
        <v>331</v>
      </c>
      <c r="B133" s="4" t="s">
        <v>332</v>
      </c>
      <c r="C133" s="3" t="s">
        <v>19</v>
      </c>
      <c r="D133" s="3" t="s">
        <v>19</v>
      </c>
      <c r="E133" s="3" t="s">
        <v>52</v>
      </c>
      <c r="F133" s="3" t="s">
        <v>19</v>
      </c>
      <c r="G133" s="3" t="s">
        <v>140</v>
      </c>
      <c r="H133" s="5">
        <v>1</v>
      </c>
      <c r="I133" s="3" t="s">
        <v>19</v>
      </c>
      <c r="J133" s="6">
        <v>28000</v>
      </c>
      <c r="K133" s="6">
        <v>0</v>
      </c>
      <c r="L133" s="6">
        <v>0</v>
      </c>
      <c r="M133" s="6">
        <v>0</v>
      </c>
      <c r="N133" s="3" t="s">
        <v>19</v>
      </c>
      <c r="O133" s="6">
        <v>0</v>
      </c>
      <c r="P133" s="6">
        <f>J133-L133</f>
        <v>28000</v>
      </c>
    </row>
    <row r="134" spans="1:16" x14ac:dyDescent="0.25">
      <c r="A134" s="3" t="s">
        <v>333</v>
      </c>
      <c r="B134" s="4" t="s">
        <v>334</v>
      </c>
      <c r="C134" s="3" t="s">
        <v>19</v>
      </c>
      <c r="D134" s="3" t="s">
        <v>19</v>
      </c>
      <c r="E134" s="3" t="s">
        <v>52</v>
      </c>
      <c r="F134" s="3" t="s">
        <v>19</v>
      </c>
      <c r="G134" s="3" t="s">
        <v>234</v>
      </c>
      <c r="H134" s="5">
        <v>1</v>
      </c>
      <c r="I134" s="3" t="s">
        <v>19</v>
      </c>
      <c r="J134" s="6">
        <v>40000</v>
      </c>
      <c r="K134" s="6">
        <v>0</v>
      </c>
      <c r="L134" s="6">
        <v>0</v>
      </c>
      <c r="M134" s="6">
        <v>0</v>
      </c>
      <c r="N134" s="3" t="s">
        <v>19</v>
      </c>
      <c r="O134" s="6">
        <v>0</v>
      </c>
      <c r="P134" s="6">
        <f>J134-L134</f>
        <v>40000</v>
      </c>
    </row>
    <row r="135" spans="1:16" x14ac:dyDescent="0.25">
      <c r="A135" s="3" t="s">
        <v>335</v>
      </c>
      <c r="B135" s="4" t="s">
        <v>336</v>
      </c>
      <c r="C135" s="3" t="s">
        <v>19</v>
      </c>
      <c r="D135" s="3" t="s">
        <v>19</v>
      </c>
      <c r="E135" s="3" t="s">
        <v>52</v>
      </c>
      <c r="F135" s="3" t="s">
        <v>19</v>
      </c>
      <c r="G135" s="3" t="s">
        <v>337</v>
      </c>
      <c r="H135" s="5">
        <v>1</v>
      </c>
      <c r="I135" s="3" t="s">
        <v>19</v>
      </c>
      <c r="J135" s="6">
        <v>45000</v>
      </c>
      <c r="K135" s="6">
        <v>0</v>
      </c>
      <c r="L135" s="6">
        <v>0</v>
      </c>
      <c r="M135" s="6">
        <v>0</v>
      </c>
      <c r="N135" s="3" t="s">
        <v>19</v>
      </c>
      <c r="O135" s="6">
        <v>0</v>
      </c>
      <c r="P135" s="6">
        <f>J135-L135</f>
        <v>45000</v>
      </c>
    </row>
    <row r="136" spans="1:16" x14ac:dyDescent="0.25">
      <c r="A136" s="3" t="s">
        <v>335</v>
      </c>
      <c r="B136" s="4" t="s">
        <v>336</v>
      </c>
      <c r="C136" s="3" t="s">
        <v>19</v>
      </c>
      <c r="D136" s="3" t="s">
        <v>19</v>
      </c>
      <c r="E136" s="3" t="s">
        <v>52</v>
      </c>
      <c r="F136" s="3" t="s">
        <v>19</v>
      </c>
      <c r="G136" s="3" t="s">
        <v>153</v>
      </c>
      <c r="H136" s="5">
        <v>1</v>
      </c>
      <c r="I136" s="3" t="s">
        <v>19</v>
      </c>
      <c r="J136" s="6">
        <v>35000</v>
      </c>
      <c r="K136" s="6">
        <v>0</v>
      </c>
      <c r="L136" s="6">
        <v>0</v>
      </c>
      <c r="M136" s="6">
        <v>0</v>
      </c>
      <c r="N136" s="3" t="s">
        <v>19</v>
      </c>
      <c r="O136" s="6">
        <v>0</v>
      </c>
      <c r="P136" s="6">
        <f>J136-L136</f>
        <v>35000</v>
      </c>
    </row>
    <row r="137" spans="1:16" x14ac:dyDescent="0.25">
      <c r="A137" s="3" t="s">
        <v>335</v>
      </c>
      <c r="B137" s="4" t="s">
        <v>336</v>
      </c>
      <c r="C137" s="3" t="s">
        <v>19</v>
      </c>
      <c r="D137" s="3" t="s">
        <v>19</v>
      </c>
      <c r="E137" s="3" t="s">
        <v>52</v>
      </c>
      <c r="F137" s="3" t="s">
        <v>19</v>
      </c>
      <c r="G137" s="3" t="s">
        <v>140</v>
      </c>
      <c r="H137" s="5">
        <v>1</v>
      </c>
      <c r="I137" s="3" t="s">
        <v>19</v>
      </c>
      <c r="J137" s="6">
        <v>28000</v>
      </c>
      <c r="K137" s="6">
        <v>0</v>
      </c>
      <c r="L137" s="6">
        <v>0</v>
      </c>
      <c r="M137" s="6">
        <v>0</v>
      </c>
      <c r="N137" s="3" t="s">
        <v>19</v>
      </c>
      <c r="O137" s="6">
        <v>0</v>
      </c>
      <c r="P137" s="6">
        <f>J137-L137</f>
        <v>28000</v>
      </c>
    </row>
    <row r="138" spans="1:16" x14ac:dyDescent="0.25">
      <c r="A138" s="3" t="s">
        <v>335</v>
      </c>
      <c r="B138" s="4" t="s">
        <v>336</v>
      </c>
      <c r="C138" s="3" t="s">
        <v>19</v>
      </c>
      <c r="D138" s="3" t="s">
        <v>19</v>
      </c>
      <c r="E138" s="3" t="s">
        <v>52</v>
      </c>
      <c r="F138" s="3" t="s">
        <v>19</v>
      </c>
      <c r="G138" s="3" t="s">
        <v>338</v>
      </c>
      <c r="H138" s="5">
        <v>1</v>
      </c>
      <c r="I138" s="3" t="s">
        <v>19</v>
      </c>
      <c r="J138" s="6">
        <v>35000</v>
      </c>
      <c r="K138" s="6">
        <v>0</v>
      </c>
      <c r="L138" s="6">
        <v>0</v>
      </c>
      <c r="M138" s="6">
        <v>0</v>
      </c>
      <c r="N138" s="3" t="s">
        <v>19</v>
      </c>
      <c r="O138" s="6">
        <v>0</v>
      </c>
      <c r="P138" s="6">
        <f>J138-L138</f>
        <v>35000</v>
      </c>
    </row>
    <row r="139" spans="1:16" x14ac:dyDescent="0.25">
      <c r="A139" s="3" t="s">
        <v>339</v>
      </c>
      <c r="B139" s="4" t="s">
        <v>340</v>
      </c>
      <c r="C139" s="3" t="s">
        <v>19</v>
      </c>
      <c r="D139" s="3" t="s">
        <v>19</v>
      </c>
      <c r="E139" s="3" t="s">
        <v>52</v>
      </c>
      <c r="F139" s="3" t="s">
        <v>19</v>
      </c>
      <c r="G139" s="3" t="s">
        <v>249</v>
      </c>
      <c r="H139" s="5">
        <v>1</v>
      </c>
      <c r="I139" s="3" t="s">
        <v>19</v>
      </c>
      <c r="J139" s="6">
        <v>25000</v>
      </c>
      <c r="K139" s="6">
        <v>0</v>
      </c>
      <c r="L139" s="6">
        <v>0</v>
      </c>
      <c r="M139" s="6">
        <v>0</v>
      </c>
      <c r="N139" s="3" t="s">
        <v>19</v>
      </c>
      <c r="O139" s="6">
        <v>0</v>
      </c>
      <c r="P139" s="6">
        <f>J139-L139</f>
        <v>25000</v>
      </c>
    </row>
    <row r="140" spans="1:16" x14ac:dyDescent="0.25">
      <c r="A140" s="3" t="s">
        <v>339</v>
      </c>
      <c r="B140" s="4" t="s">
        <v>340</v>
      </c>
      <c r="C140" s="3" t="s">
        <v>19</v>
      </c>
      <c r="D140" s="3" t="s">
        <v>19</v>
      </c>
      <c r="E140" s="3" t="s">
        <v>52</v>
      </c>
      <c r="F140" s="3" t="s">
        <v>19</v>
      </c>
      <c r="G140" s="3" t="s">
        <v>133</v>
      </c>
      <c r="H140" s="5">
        <v>1</v>
      </c>
      <c r="I140" s="3" t="s">
        <v>19</v>
      </c>
      <c r="J140" s="6">
        <v>25000</v>
      </c>
      <c r="K140" s="6">
        <v>0</v>
      </c>
      <c r="L140" s="6">
        <v>0</v>
      </c>
      <c r="M140" s="6">
        <v>0</v>
      </c>
      <c r="N140" s="3" t="s">
        <v>19</v>
      </c>
      <c r="O140" s="6">
        <v>0</v>
      </c>
      <c r="P140" s="6">
        <f>J140-L140</f>
        <v>25000</v>
      </c>
    </row>
    <row r="141" spans="1:16" x14ac:dyDescent="0.25">
      <c r="A141" s="3" t="s">
        <v>341</v>
      </c>
      <c r="B141" s="4" t="s">
        <v>342</v>
      </c>
      <c r="C141" s="3" t="s">
        <v>19</v>
      </c>
      <c r="D141" s="3" t="s">
        <v>19</v>
      </c>
      <c r="E141" s="3" t="s">
        <v>52</v>
      </c>
      <c r="F141" s="3" t="s">
        <v>19</v>
      </c>
      <c r="G141" s="3" t="s">
        <v>140</v>
      </c>
      <c r="H141" s="5">
        <v>1</v>
      </c>
      <c r="I141" s="3" t="s">
        <v>19</v>
      </c>
      <c r="J141" s="6">
        <v>28000</v>
      </c>
      <c r="K141" s="6">
        <v>0</v>
      </c>
      <c r="L141" s="6">
        <v>0</v>
      </c>
      <c r="M141" s="6">
        <v>0</v>
      </c>
      <c r="N141" s="3" t="s">
        <v>19</v>
      </c>
      <c r="O141" s="6">
        <v>0</v>
      </c>
      <c r="P141" s="6">
        <f>J141-L141</f>
        <v>28000</v>
      </c>
    </row>
    <row r="142" ht="18" customHeight="1" spans="1:16" x14ac:dyDescent="0.25">
      <c r="A142" s="7" t="s">
        <v>34</v>
      </c>
      <c r="B142" s="7"/>
      <c r="C142" s="7"/>
      <c r="D142" s="7"/>
      <c r="E142" s="7"/>
      <c r="F142" s="7"/>
      <c r="G142" s="7"/>
      <c r="H142" s="8">
        <f>SUM(H117:H141)</f>
        <v>28</v>
      </c>
      <c r="I142" s="7"/>
      <c r="J142" s="9">
        <f>SUM(J117:J141)</f>
        <v>874000</v>
      </c>
      <c r="K142" s="9">
        <f>SUM(K117:K141)</f>
        <v>0</v>
      </c>
      <c r="L142" s="9">
        <f>SUM(L117:L141)</f>
        <v>0</v>
      </c>
      <c r="M142" s="9">
        <f>SUM(M117:M141)</f>
        <v>0</v>
      </c>
      <c r="N142" s="7"/>
      <c r="O142" s="9">
        <f>SUM(O117:O141)</f>
        <v>0</v>
      </c>
      <c r="P142" s="9">
        <f>SUM(P117:P141)</f>
        <v>874000</v>
      </c>
    </row>
    <row r="146" ht="15.75" customHeight="1" spans="1:16" x14ac:dyDescent="0.25">
      <c r="A146" s="1" t="s">
        <v>65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39.4" customHeight="1" spans="1:16" x14ac:dyDescent="0.25">
      <c r="A147" s="2" t="s">
        <v>1</v>
      </c>
      <c r="B147" s="2" t="s">
        <v>2</v>
      </c>
      <c r="C147" s="2" t="s">
        <v>3</v>
      </c>
      <c r="D147" s="2" t="s">
        <v>4</v>
      </c>
      <c r="E147" s="2" t="s">
        <v>5</v>
      </c>
      <c r="F147" s="2" t="s">
        <v>6</v>
      </c>
      <c r="G147" s="2" t="s">
        <v>7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</row>
    <row r="148" spans="1:16" x14ac:dyDescent="0.25">
      <c r="A148" s="3" t="s">
        <v>343</v>
      </c>
      <c r="B148" s="4" t="s">
        <v>344</v>
      </c>
      <c r="C148" s="3" t="s">
        <v>19</v>
      </c>
      <c r="D148" s="3" t="s">
        <v>19</v>
      </c>
      <c r="E148" s="3" t="s">
        <v>20</v>
      </c>
      <c r="F148" s="3" t="s">
        <v>19</v>
      </c>
      <c r="G148" s="3" t="s">
        <v>133</v>
      </c>
      <c r="H148" s="5">
        <v>1</v>
      </c>
      <c r="I148" s="3" t="s">
        <v>19</v>
      </c>
      <c r="J148" s="6">
        <v>25000</v>
      </c>
      <c r="K148" s="6">
        <v>0</v>
      </c>
      <c r="L148" s="6">
        <v>0</v>
      </c>
      <c r="M148" s="6">
        <v>0</v>
      </c>
      <c r="N148" s="3" t="s">
        <v>19</v>
      </c>
      <c r="O148" s="6">
        <v>0</v>
      </c>
      <c r="P148" s="6">
        <f>J148-L148</f>
        <v>25000</v>
      </c>
    </row>
    <row r="149" spans="1:16" x14ac:dyDescent="0.25">
      <c r="A149" s="3" t="s">
        <v>345</v>
      </c>
      <c r="B149" s="4" t="s">
        <v>346</v>
      </c>
      <c r="C149" s="3" t="s">
        <v>19</v>
      </c>
      <c r="D149" s="3" t="s">
        <v>19</v>
      </c>
      <c r="E149" s="3" t="s">
        <v>20</v>
      </c>
      <c r="F149" s="3" t="s">
        <v>19</v>
      </c>
      <c r="G149" s="3" t="s">
        <v>139</v>
      </c>
      <c r="H149" s="5">
        <v>1</v>
      </c>
      <c r="I149" s="3" t="s">
        <v>19</v>
      </c>
      <c r="J149" s="6">
        <v>30000</v>
      </c>
      <c r="K149" s="6">
        <v>0</v>
      </c>
      <c r="L149" s="6">
        <v>0</v>
      </c>
      <c r="M149" s="6">
        <v>0</v>
      </c>
      <c r="N149" s="3" t="s">
        <v>19</v>
      </c>
      <c r="O149" s="6">
        <v>0</v>
      </c>
      <c r="P149" s="6">
        <f>J149-L149</f>
        <v>30000</v>
      </c>
    </row>
    <row r="150" spans="1:16" x14ac:dyDescent="0.25">
      <c r="A150" s="3" t="s">
        <v>347</v>
      </c>
      <c r="B150" s="4" t="s">
        <v>348</v>
      </c>
      <c r="C150" s="3" t="s">
        <v>19</v>
      </c>
      <c r="D150" s="3" t="s">
        <v>19</v>
      </c>
      <c r="E150" s="3" t="s">
        <v>20</v>
      </c>
      <c r="F150" s="3" t="s">
        <v>19</v>
      </c>
      <c r="G150" s="3" t="s">
        <v>176</v>
      </c>
      <c r="H150" s="5">
        <v>1</v>
      </c>
      <c r="I150" s="3" t="s">
        <v>19</v>
      </c>
      <c r="J150" s="6">
        <v>35000</v>
      </c>
      <c r="K150" s="6">
        <v>0</v>
      </c>
      <c r="L150" s="6">
        <v>0</v>
      </c>
      <c r="M150" s="6">
        <v>0</v>
      </c>
      <c r="N150" s="3" t="s">
        <v>19</v>
      </c>
      <c r="O150" s="6">
        <v>0</v>
      </c>
      <c r="P150" s="6">
        <f>J150-L150</f>
        <v>35000</v>
      </c>
    </row>
    <row r="151" spans="1:16" x14ac:dyDescent="0.25">
      <c r="A151" s="3" t="s">
        <v>349</v>
      </c>
      <c r="B151" s="4" t="s">
        <v>350</v>
      </c>
      <c r="C151" s="3" t="s">
        <v>19</v>
      </c>
      <c r="D151" s="3" t="s">
        <v>19</v>
      </c>
      <c r="E151" s="3" t="s">
        <v>20</v>
      </c>
      <c r="F151" s="3" t="s">
        <v>19</v>
      </c>
      <c r="G151" s="3" t="s">
        <v>249</v>
      </c>
      <c r="H151" s="5">
        <v>1</v>
      </c>
      <c r="I151" s="3" t="s">
        <v>19</v>
      </c>
      <c r="J151" s="6">
        <v>25000</v>
      </c>
      <c r="K151" s="6">
        <v>0</v>
      </c>
      <c r="L151" s="6">
        <v>0</v>
      </c>
      <c r="M151" s="6">
        <v>0</v>
      </c>
      <c r="N151" s="3" t="s">
        <v>19</v>
      </c>
      <c r="O151" s="6">
        <v>0</v>
      </c>
      <c r="P151" s="6">
        <f>J151-L151</f>
        <v>25000</v>
      </c>
    </row>
    <row r="152" spans="1:16" x14ac:dyDescent="0.25">
      <c r="A152" s="3" t="s">
        <v>349</v>
      </c>
      <c r="B152" s="4" t="s">
        <v>350</v>
      </c>
      <c r="C152" s="3" t="s">
        <v>19</v>
      </c>
      <c r="D152" s="3" t="s">
        <v>19</v>
      </c>
      <c r="E152" s="3" t="s">
        <v>20</v>
      </c>
      <c r="F152" s="3" t="s">
        <v>19</v>
      </c>
      <c r="G152" s="3" t="s">
        <v>234</v>
      </c>
      <c r="H152" s="5">
        <v>1</v>
      </c>
      <c r="I152" s="3" t="s">
        <v>19</v>
      </c>
      <c r="J152" s="6">
        <v>40000</v>
      </c>
      <c r="K152" s="6">
        <v>0</v>
      </c>
      <c r="L152" s="6">
        <v>0</v>
      </c>
      <c r="M152" s="6">
        <v>0</v>
      </c>
      <c r="N152" s="3" t="s">
        <v>19</v>
      </c>
      <c r="O152" s="6">
        <v>0</v>
      </c>
      <c r="P152" s="6">
        <f>J152-L152</f>
        <v>40000</v>
      </c>
    </row>
    <row r="153" spans="1:16" x14ac:dyDescent="0.25">
      <c r="A153" s="3" t="s">
        <v>349</v>
      </c>
      <c r="B153" s="4" t="s">
        <v>350</v>
      </c>
      <c r="C153" s="3" t="s">
        <v>19</v>
      </c>
      <c r="D153" s="3" t="s">
        <v>19</v>
      </c>
      <c r="E153" s="3" t="s">
        <v>20</v>
      </c>
      <c r="F153" s="3" t="s">
        <v>19</v>
      </c>
      <c r="G153" s="3" t="s">
        <v>160</v>
      </c>
      <c r="H153" s="5">
        <v>1</v>
      </c>
      <c r="I153" s="3" t="s">
        <v>19</v>
      </c>
      <c r="J153" s="6">
        <v>17000</v>
      </c>
      <c r="K153" s="6">
        <v>0</v>
      </c>
      <c r="L153" s="6">
        <v>0</v>
      </c>
      <c r="M153" s="6">
        <v>0</v>
      </c>
      <c r="N153" s="3" t="s">
        <v>19</v>
      </c>
      <c r="O153" s="6">
        <v>0</v>
      </c>
      <c r="P153" s="6">
        <f>J153-L153</f>
        <v>17000</v>
      </c>
    </row>
    <row r="154" spans="1:16" x14ac:dyDescent="0.25">
      <c r="A154" s="3" t="s">
        <v>351</v>
      </c>
      <c r="B154" s="4" t="s">
        <v>352</v>
      </c>
      <c r="C154" s="3" t="s">
        <v>19</v>
      </c>
      <c r="D154" s="3" t="s">
        <v>19</v>
      </c>
      <c r="E154" s="3" t="s">
        <v>20</v>
      </c>
      <c r="F154" s="3" t="s">
        <v>19</v>
      </c>
      <c r="G154" s="3" t="s">
        <v>249</v>
      </c>
      <c r="H154" s="5">
        <v>1</v>
      </c>
      <c r="I154" s="3" t="s">
        <v>19</v>
      </c>
      <c r="J154" s="6">
        <v>25000</v>
      </c>
      <c r="K154" s="6">
        <v>0</v>
      </c>
      <c r="L154" s="6">
        <v>0</v>
      </c>
      <c r="M154" s="6">
        <v>0</v>
      </c>
      <c r="N154" s="3" t="s">
        <v>19</v>
      </c>
      <c r="O154" s="6">
        <v>0</v>
      </c>
      <c r="P154" s="6">
        <f>J154-L154</f>
        <v>25000</v>
      </c>
    </row>
    <row r="155" spans="1:16" x14ac:dyDescent="0.25">
      <c r="A155" s="3" t="s">
        <v>351</v>
      </c>
      <c r="B155" s="4" t="s">
        <v>352</v>
      </c>
      <c r="C155" s="3" t="s">
        <v>19</v>
      </c>
      <c r="D155" s="3" t="s">
        <v>19</v>
      </c>
      <c r="E155" s="3" t="s">
        <v>20</v>
      </c>
      <c r="F155" s="3" t="s">
        <v>19</v>
      </c>
      <c r="G155" s="3" t="s">
        <v>133</v>
      </c>
      <c r="H155" s="5">
        <v>1</v>
      </c>
      <c r="I155" s="3" t="s">
        <v>19</v>
      </c>
      <c r="J155" s="6">
        <v>25000</v>
      </c>
      <c r="K155" s="6">
        <v>0</v>
      </c>
      <c r="L155" s="6">
        <v>0</v>
      </c>
      <c r="M155" s="6">
        <v>0</v>
      </c>
      <c r="N155" s="3" t="s">
        <v>19</v>
      </c>
      <c r="O155" s="6">
        <v>0</v>
      </c>
      <c r="P155" s="6">
        <f>J155-L155</f>
        <v>25000</v>
      </c>
    </row>
    <row r="156" spans="1:16" x14ac:dyDescent="0.25">
      <c r="A156" s="3" t="s">
        <v>353</v>
      </c>
      <c r="B156" s="4" t="s">
        <v>354</v>
      </c>
      <c r="C156" s="3" t="s">
        <v>19</v>
      </c>
      <c r="D156" s="3" t="s">
        <v>19</v>
      </c>
      <c r="E156" s="3" t="s">
        <v>20</v>
      </c>
      <c r="F156" s="3" t="s">
        <v>19</v>
      </c>
      <c r="G156" s="3" t="s">
        <v>139</v>
      </c>
      <c r="H156" s="5">
        <v>1</v>
      </c>
      <c r="I156" s="3" t="s">
        <v>19</v>
      </c>
      <c r="J156" s="6">
        <v>30000</v>
      </c>
      <c r="K156" s="6">
        <v>0</v>
      </c>
      <c r="L156" s="6">
        <v>0</v>
      </c>
      <c r="M156" s="6">
        <v>0</v>
      </c>
      <c r="N156" s="3" t="s">
        <v>19</v>
      </c>
      <c r="O156" s="6">
        <v>0</v>
      </c>
      <c r="P156" s="6">
        <f>J156-L156</f>
        <v>30000</v>
      </c>
    </row>
    <row r="157" spans="1:16" x14ac:dyDescent="0.25">
      <c r="A157" s="3" t="s">
        <v>353</v>
      </c>
      <c r="B157" s="4" t="s">
        <v>354</v>
      </c>
      <c r="C157" s="3" t="s">
        <v>19</v>
      </c>
      <c r="D157" s="3" t="s">
        <v>19</v>
      </c>
      <c r="E157" s="3" t="s">
        <v>20</v>
      </c>
      <c r="F157" s="3" t="s">
        <v>19</v>
      </c>
      <c r="G157" s="3" t="s">
        <v>153</v>
      </c>
      <c r="H157" s="5">
        <v>1</v>
      </c>
      <c r="I157" s="3" t="s">
        <v>19</v>
      </c>
      <c r="J157" s="6">
        <v>35000</v>
      </c>
      <c r="K157" s="6">
        <v>0</v>
      </c>
      <c r="L157" s="6">
        <v>0</v>
      </c>
      <c r="M157" s="6">
        <v>0</v>
      </c>
      <c r="N157" s="3" t="s">
        <v>19</v>
      </c>
      <c r="O157" s="6">
        <v>0</v>
      </c>
      <c r="P157" s="6">
        <f>J157-L157</f>
        <v>35000</v>
      </c>
    </row>
    <row r="158" spans="1:16" x14ac:dyDescent="0.25">
      <c r="A158" s="3" t="s">
        <v>353</v>
      </c>
      <c r="B158" s="4" t="s">
        <v>354</v>
      </c>
      <c r="C158" s="3" t="s">
        <v>19</v>
      </c>
      <c r="D158" s="3" t="s">
        <v>19</v>
      </c>
      <c r="E158" s="3" t="s">
        <v>20</v>
      </c>
      <c r="F158" s="3" t="s">
        <v>19</v>
      </c>
      <c r="G158" s="3" t="s">
        <v>140</v>
      </c>
      <c r="H158" s="5">
        <v>4</v>
      </c>
      <c r="I158" s="3" t="s">
        <v>19</v>
      </c>
      <c r="J158" s="6">
        <v>112000</v>
      </c>
      <c r="K158" s="6">
        <v>0</v>
      </c>
      <c r="L158" s="6">
        <v>0</v>
      </c>
      <c r="M158" s="6">
        <v>0</v>
      </c>
      <c r="N158" s="3" t="s">
        <v>19</v>
      </c>
      <c r="O158" s="6">
        <v>0</v>
      </c>
      <c r="P158" s="6">
        <f>J158-L158</f>
        <v>112000</v>
      </c>
    </row>
    <row r="159" spans="1:16" x14ac:dyDescent="0.25">
      <c r="A159" s="3" t="s">
        <v>355</v>
      </c>
      <c r="B159" s="4" t="s">
        <v>356</v>
      </c>
      <c r="C159" s="3" t="s">
        <v>19</v>
      </c>
      <c r="D159" s="3" t="s">
        <v>19</v>
      </c>
      <c r="E159" s="3" t="s">
        <v>20</v>
      </c>
      <c r="F159" s="3" t="s">
        <v>19</v>
      </c>
      <c r="G159" s="3" t="s">
        <v>140</v>
      </c>
      <c r="H159" s="5">
        <v>1</v>
      </c>
      <c r="I159" s="3" t="s">
        <v>19</v>
      </c>
      <c r="J159" s="6">
        <v>28000</v>
      </c>
      <c r="K159" s="6">
        <v>0</v>
      </c>
      <c r="L159" s="6">
        <v>0</v>
      </c>
      <c r="M159" s="6">
        <v>0</v>
      </c>
      <c r="N159" s="3" t="s">
        <v>19</v>
      </c>
      <c r="O159" s="6">
        <v>0</v>
      </c>
      <c r="P159" s="6">
        <f>J159-L159</f>
        <v>28000</v>
      </c>
    </row>
    <row r="160" spans="1:16" x14ac:dyDescent="0.25">
      <c r="A160" s="3" t="s">
        <v>357</v>
      </c>
      <c r="B160" s="4" t="s">
        <v>358</v>
      </c>
      <c r="C160" s="3" t="s">
        <v>19</v>
      </c>
      <c r="D160" s="3" t="s">
        <v>19</v>
      </c>
      <c r="E160" s="3" t="s">
        <v>20</v>
      </c>
      <c r="F160" s="3" t="s">
        <v>19</v>
      </c>
      <c r="G160" s="3" t="s">
        <v>140</v>
      </c>
      <c r="H160" s="5">
        <v>1</v>
      </c>
      <c r="I160" s="3" t="s">
        <v>19</v>
      </c>
      <c r="J160" s="6">
        <v>28000</v>
      </c>
      <c r="K160" s="6">
        <v>0</v>
      </c>
      <c r="L160" s="6">
        <v>0</v>
      </c>
      <c r="M160" s="6">
        <v>0</v>
      </c>
      <c r="N160" s="3" t="s">
        <v>19</v>
      </c>
      <c r="O160" s="6">
        <v>0</v>
      </c>
      <c r="P160" s="6">
        <f>J160-L160</f>
        <v>28000</v>
      </c>
    </row>
    <row r="161" spans="1:16" x14ac:dyDescent="0.25">
      <c r="A161" s="3" t="s">
        <v>359</v>
      </c>
      <c r="B161" s="4" t="s">
        <v>360</v>
      </c>
      <c r="C161" s="3" t="s">
        <v>19</v>
      </c>
      <c r="D161" s="3" t="s">
        <v>19</v>
      </c>
      <c r="E161" s="3" t="s">
        <v>20</v>
      </c>
      <c r="F161" s="3" t="s">
        <v>19</v>
      </c>
      <c r="G161" s="3" t="s">
        <v>139</v>
      </c>
      <c r="H161" s="5">
        <v>1</v>
      </c>
      <c r="I161" s="3" t="s">
        <v>19</v>
      </c>
      <c r="J161" s="6">
        <v>30000</v>
      </c>
      <c r="K161" s="6">
        <v>0</v>
      </c>
      <c r="L161" s="6">
        <v>0</v>
      </c>
      <c r="M161" s="6">
        <v>0</v>
      </c>
      <c r="N161" s="3" t="s">
        <v>19</v>
      </c>
      <c r="O161" s="6">
        <v>0</v>
      </c>
      <c r="P161" s="6">
        <f>J161-L161</f>
        <v>30000</v>
      </c>
    </row>
    <row r="162" spans="1:16" x14ac:dyDescent="0.25">
      <c r="A162" s="3" t="s">
        <v>359</v>
      </c>
      <c r="B162" s="4" t="s">
        <v>360</v>
      </c>
      <c r="C162" s="3" t="s">
        <v>19</v>
      </c>
      <c r="D162" s="3" t="s">
        <v>19</v>
      </c>
      <c r="E162" s="3" t="s">
        <v>20</v>
      </c>
      <c r="F162" s="3" t="s">
        <v>19</v>
      </c>
      <c r="G162" s="3" t="s">
        <v>133</v>
      </c>
      <c r="H162" s="5">
        <v>1</v>
      </c>
      <c r="I162" s="3" t="s">
        <v>19</v>
      </c>
      <c r="J162" s="6">
        <v>25000</v>
      </c>
      <c r="K162" s="6">
        <v>0</v>
      </c>
      <c r="L162" s="6">
        <v>0</v>
      </c>
      <c r="M162" s="6">
        <v>0</v>
      </c>
      <c r="N162" s="3" t="s">
        <v>19</v>
      </c>
      <c r="O162" s="6">
        <v>0</v>
      </c>
      <c r="P162" s="6">
        <f>J162-L162</f>
        <v>25000</v>
      </c>
    </row>
    <row r="163" spans="1:16" x14ac:dyDescent="0.25">
      <c r="A163" s="3" t="s">
        <v>361</v>
      </c>
      <c r="B163" s="4" t="s">
        <v>362</v>
      </c>
      <c r="C163" s="3" t="s">
        <v>19</v>
      </c>
      <c r="D163" s="3" t="s">
        <v>19</v>
      </c>
      <c r="E163" s="3" t="s">
        <v>20</v>
      </c>
      <c r="F163" s="3" t="s">
        <v>19</v>
      </c>
      <c r="G163" s="3" t="s">
        <v>140</v>
      </c>
      <c r="H163" s="5">
        <v>1</v>
      </c>
      <c r="I163" s="3" t="s">
        <v>19</v>
      </c>
      <c r="J163" s="6">
        <v>28000</v>
      </c>
      <c r="K163" s="6">
        <v>0</v>
      </c>
      <c r="L163" s="6">
        <v>0</v>
      </c>
      <c r="M163" s="6">
        <v>0</v>
      </c>
      <c r="N163" s="3" t="s">
        <v>19</v>
      </c>
      <c r="O163" s="6">
        <v>0</v>
      </c>
      <c r="P163" s="6">
        <f>J163-L163</f>
        <v>28000</v>
      </c>
    </row>
    <row r="164" spans="1:16" x14ac:dyDescent="0.25">
      <c r="A164" s="3" t="s">
        <v>363</v>
      </c>
      <c r="B164" s="4" t="s">
        <v>364</v>
      </c>
      <c r="C164" s="3" t="s">
        <v>19</v>
      </c>
      <c r="D164" s="3" t="s">
        <v>19</v>
      </c>
      <c r="E164" s="3" t="s">
        <v>20</v>
      </c>
      <c r="F164" s="3" t="s">
        <v>19</v>
      </c>
      <c r="G164" s="3" t="s">
        <v>234</v>
      </c>
      <c r="H164" s="5">
        <v>1</v>
      </c>
      <c r="I164" s="3" t="s">
        <v>19</v>
      </c>
      <c r="J164" s="6">
        <v>40000</v>
      </c>
      <c r="K164" s="6">
        <v>0</v>
      </c>
      <c r="L164" s="6">
        <v>0</v>
      </c>
      <c r="M164" s="6">
        <v>0</v>
      </c>
      <c r="N164" s="3" t="s">
        <v>19</v>
      </c>
      <c r="O164" s="6">
        <v>0</v>
      </c>
      <c r="P164" s="6">
        <f>J164-L164</f>
        <v>40000</v>
      </c>
    </row>
    <row r="165" spans="1:16" x14ac:dyDescent="0.25">
      <c r="A165" s="3" t="s">
        <v>365</v>
      </c>
      <c r="B165" s="4" t="s">
        <v>366</v>
      </c>
      <c r="C165" s="3" t="s">
        <v>19</v>
      </c>
      <c r="D165" s="3" t="s">
        <v>19</v>
      </c>
      <c r="E165" s="3" t="s">
        <v>20</v>
      </c>
      <c r="F165" s="3" t="s">
        <v>19</v>
      </c>
      <c r="G165" s="3" t="s">
        <v>338</v>
      </c>
      <c r="H165" s="5">
        <v>1</v>
      </c>
      <c r="I165" s="3" t="s">
        <v>19</v>
      </c>
      <c r="J165" s="6">
        <v>35000</v>
      </c>
      <c r="K165" s="6">
        <v>0</v>
      </c>
      <c r="L165" s="6">
        <v>0</v>
      </c>
      <c r="M165" s="6">
        <v>0</v>
      </c>
      <c r="N165" s="3" t="s">
        <v>19</v>
      </c>
      <c r="O165" s="6">
        <v>0</v>
      </c>
      <c r="P165" s="6">
        <f>J165-L165</f>
        <v>35000</v>
      </c>
    </row>
    <row r="166" spans="1:16" x14ac:dyDescent="0.25">
      <c r="A166" s="3" t="s">
        <v>367</v>
      </c>
      <c r="B166" s="4" t="s">
        <v>368</v>
      </c>
      <c r="C166" s="3" t="s">
        <v>19</v>
      </c>
      <c r="D166" s="3" t="s">
        <v>19</v>
      </c>
      <c r="E166" s="3" t="s">
        <v>20</v>
      </c>
      <c r="F166" s="3" t="s">
        <v>19</v>
      </c>
      <c r="G166" s="3" t="s">
        <v>133</v>
      </c>
      <c r="H166" s="5">
        <v>1</v>
      </c>
      <c r="I166" s="3" t="s">
        <v>19</v>
      </c>
      <c r="J166" s="6">
        <v>25000</v>
      </c>
      <c r="K166" s="6">
        <v>0</v>
      </c>
      <c r="L166" s="6">
        <v>0</v>
      </c>
      <c r="M166" s="6">
        <v>0</v>
      </c>
      <c r="N166" s="3" t="s">
        <v>19</v>
      </c>
      <c r="O166" s="6">
        <v>0</v>
      </c>
      <c r="P166" s="6">
        <f>J166-L166</f>
        <v>25000</v>
      </c>
    </row>
    <row r="167" spans="1:16" x14ac:dyDescent="0.25">
      <c r="A167" s="3" t="s">
        <v>369</v>
      </c>
      <c r="B167" s="4" t="s">
        <v>370</v>
      </c>
      <c r="C167" s="3" t="s">
        <v>19</v>
      </c>
      <c r="D167" s="3" t="s">
        <v>19</v>
      </c>
      <c r="E167" s="3" t="s">
        <v>20</v>
      </c>
      <c r="F167" s="3" t="s">
        <v>19</v>
      </c>
      <c r="G167" s="3" t="s">
        <v>179</v>
      </c>
      <c r="H167" s="5">
        <v>1</v>
      </c>
      <c r="I167" s="3" t="s">
        <v>19</v>
      </c>
      <c r="J167" s="6">
        <v>40000</v>
      </c>
      <c r="K167" s="6">
        <v>0</v>
      </c>
      <c r="L167" s="6">
        <v>0</v>
      </c>
      <c r="M167" s="6">
        <v>0</v>
      </c>
      <c r="N167" s="3" t="s">
        <v>19</v>
      </c>
      <c r="O167" s="6">
        <v>0</v>
      </c>
      <c r="P167" s="6">
        <f>J167-L167</f>
        <v>40000</v>
      </c>
    </row>
    <row r="168" spans="1:16" x14ac:dyDescent="0.25">
      <c r="A168" s="3" t="s">
        <v>371</v>
      </c>
      <c r="B168" s="4" t="s">
        <v>372</v>
      </c>
      <c r="C168" s="3" t="s">
        <v>19</v>
      </c>
      <c r="D168" s="3" t="s">
        <v>19</v>
      </c>
      <c r="E168" s="3" t="s">
        <v>20</v>
      </c>
      <c r="F168" s="3" t="s">
        <v>19</v>
      </c>
      <c r="G168" s="3" t="s">
        <v>338</v>
      </c>
      <c r="H168" s="5">
        <v>1</v>
      </c>
      <c r="I168" s="3" t="s">
        <v>19</v>
      </c>
      <c r="J168" s="6">
        <v>35000</v>
      </c>
      <c r="K168" s="6">
        <v>0</v>
      </c>
      <c r="L168" s="6">
        <v>0</v>
      </c>
      <c r="M168" s="6">
        <v>0</v>
      </c>
      <c r="N168" s="3" t="s">
        <v>19</v>
      </c>
      <c r="O168" s="6">
        <v>0</v>
      </c>
      <c r="P168" s="6">
        <f>J168-L168</f>
        <v>35000</v>
      </c>
    </row>
    <row r="169" spans="1:16" x14ac:dyDescent="0.25">
      <c r="A169" s="3" t="s">
        <v>373</v>
      </c>
      <c r="B169" s="4" t="s">
        <v>374</v>
      </c>
      <c r="C169" s="3" t="s">
        <v>19</v>
      </c>
      <c r="D169" s="3" t="s">
        <v>19</v>
      </c>
      <c r="E169" s="3" t="s">
        <v>20</v>
      </c>
      <c r="F169" s="3" t="s">
        <v>19</v>
      </c>
      <c r="G169" s="3" t="s">
        <v>139</v>
      </c>
      <c r="H169" s="5">
        <v>1</v>
      </c>
      <c r="I169" s="3" t="s">
        <v>19</v>
      </c>
      <c r="J169" s="6">
        <v>30000</v>
      </c>
      <c r="K169" s="6">
        <v>0</v>
      </c>
      <c r="L169" s="6">
        <v>0</v>
      </c>
      <c r="M169" s="6">
        <v>0</v>
      </c>
      <c r="N169" s="3" t="s">
        <v>19</v>
      </c>
      <c r="O169" s="6">
        <v>0</v>
      </c>
      <c r="P169" s="6">
        <f>J169-L169</f>
        <v>30000</v>
      </c>
    </row>
    <row r="170" spans="1:16" x14ac:dyDescent="0.25">
      <c r="A170" s="3" t="s">
        <v>375</v>
      </c>
      <c r="B170" s="4" t="s">
        <v>376</v>
      </c>
      <c r="C170" s="3" t="s">
        <v>19</v>
      </c>
      <c r="D170" s="3" t="s">
        <v>19</v>
      </c>
      <c r="E170" s="3" t="s">
        <v>20</v>
      </c>
      <c r="F170" s="3" t="s">
        <v>19</v>
      </c>
      <c r="G170" s="3" t="s">
        <v>139</v>
      </c>
      <c r="H170" s="5">
        <v>3</v>
      </c>
      <c r="I170" s="3" t="s">
        <v>19</v>
      </c>
      <c r="J170" s="6">
        <v>90000</v>
      </c>
      <c r="K170" s="6">
        <v>0</v>
      </c>
      <c r="L170" s="6">
        <v>0</v>
      </c>
      <c r="M170" s="6">
        <v>0</v>
      </c>
      <c r="N170" s="3" t="s">
        <v>19</v>
      </c>
      <c r="O170" s="6">
        <v>0</v>
      </c>
      <c r="P170" s="6">
        <f>J170-L170</f>
        <v>90000</v>
      </c>
    </row>
    <row r="171" spans="1:16" x14ac:dyDescent="0.25">
      <c r="A171" s="3" t="s">
        <v>377</v>
      </c>
      <c r="B171" s="4" t="s">
        <v>378</v>
      </c>
      <c r="C171" s="3" t="s">
        <v>19</v>
      </c>
      <c r="D171" s="3" t="s">
        <v>19</v>
      </c>
      <c r="E171" s="3" t="s">
        <v>20</v>
      </c>
      <c r="F171" s="3" t="s">
        <v>19</v>
      </c>
      <c r="G171" s="3" t="s">
        <v>139</v>
      </c>
      <c r="H171" s="5">
        <v>1</v>
      </c>
      <c r="I171" s="3" t="s">
        <v>19</v>
      </c>
      <c r="J171" s="6">
        <v>30000</v>
      </c>
      <c r="K171" s="6">
        <v>0</v>
      </c>
      <c r="L171" s="6">
        <v>0</v>
      </c>
      <c r="M171" s="6">
        <v>0</v>
      </c>
      <c r="N171" s="3" t="s">
        <v>19</v>
      </c>
      <c r="O171" s="6">
        <v>0</v>
      </c>
      <c r="P171" s="6">
        <f>J171-L171</f>
        <v>30000</v>
      </c>
    </row>
    <row r="172" spans="1:16" x14ac:dyDescent="0.25">
      <c r="A172" s="3" t="s">
        <v>377</v>
      </c>
      <c r="B172" s="4" t="s">
        <v>378</v>
      </c>
      <c r="C172" s="3" t="s">
        <v>19</v>
      </c>
      <c r="D172" s="3" t="s">
        <v>19</v>
      </c>
      <c r="E172" s="3" t="s">
        <v>20</v>
      </c>
      <c r="F172" s="3" t="s">
        <v>19</v>
      </c>
      <c r="G172" s="3" t="s">
        <v>140</v>
      </c>
      <c r="H172" s="5">
        <v>1</v>
      </c>
      <c r="I172" s="3" t="s">
        <v>19</v>
      </c>
      <c r="J172" s="6">
        <v>28000</v>
      </c>
      <c r="K172" s="6">
        <v>0</v>
      </c>
      <c r="L172" s="6">
        <v>0</v>
      </c>
      <c r="M172" s="6">
        <v>0</v>
      </c>
      <c r="N172" s="3" t="s">
        <v>19</v>
      </c>
      <c r="O172" s="6">
        <v>0</v>
      </c>
      <c r="P172" s="6">
        <f>J172-L172</f>
        <v>28000</v>
      </c>
    </row>
    <row r="173" spans="1:16" x14ac:dyDescent="0.25">
      <c r="A173" s="3" t="s">
        <v>379</v>
      </c>
      <c r="B173" s="4" t="s">
        <v>380</v>
      </c>
      <c r="C173" s="3" t="s">
        <v>19</v>
      </c>
      <c r="D173" s="3" t="s">
        <v>19</v>
      </c>
      <c r="E173" s="3" t="s">
        <v>20</v>
      </c>
      <c r="F173" s="3" t="s">
        <v>19</v>
      </c>
      <c r="G173" s="3" t="s">
        <v>153</v>
      </c>
      <c r="H173" s="5">
        <v>1</v>
      </c>
      <c r="I173" s="3" t="s">
        <v>19</v>
      </c>
      <c r="J173" s="6">
        <v>35000</v>
      </c>
      <c r="K173" s="6">
        <v>0</v>
      </c>
      <c r="L173" s="6">
        <v>0</v>
      </c>
      <c r="M173" s="6">
        <v>0</v>
      </c>
      <c r="N173" s="3" t="s">
        <v>19</v>
      </c>
      <c r="O173" s="6">
        <v>0</v>
      </c>
      <c r="P173" s="6">
        <f>J173-L173</f>
        <v>35000</v>
      </c>
    </row>
    <row r="174" spans="1:16" x14ac:dyDescent="0.25">
      <c r="A174" s="3" t="s">
        <v>381</v>
      </c>
      <c r="B174" s="4" t="s">
        <v>382</v>
      </c>
      <c r="C174" s="3" t="s">
        <v>19</v>
      </c>
      <c r="D174" s="3" t="s">
        <v>19</v>
      </c>
      <c r="E174" s="3" t="s">
        <v>20</v>
      </c>
      <c r="F174" s="3" t="s">
        <v>19</v>
      </c>
      <c r="G174" s="3" t="s">
        <v>338</v>
      </c>
      <c r="H174" s="5">
        <v>1</v>
      </c>
      <c r="I174" s="3" t="s">
        <v>19</v>
      </c>
      <c r="J174" s="6">
        <v>35000</v>
      </c>
      <c r="K174" s="6">
        <v>0</v>
      </c>
      <c r="L174" s="6">
        <v>0</v>
      </c>
      <c r="M174" s="6">
        <v>0</v>
      </c>
      <c r="N174" s="3" t="s">
        <v>19</v>
      </c>
      <c r="O174" s="6">
        <v>0</v>
      </c>
      <c r="P174" s="6">
        <f>J174-L174</f>
        <v>35000</v>
      </c>
    </row>
    <row r="175" spans="1:16" x14ac:dyDescent="0.25">
      <c r="A175" s="3" t="s">
        <v>383</v>
      </c>
      <c r="B175" s="4" t="s">
        <v>384</v>
      </c>
      <c r="C175" s="3" t="s">
        <v>19</v>
      </c>
      <c r="D175" s="3" t="s">
        <v>19</v>
      </c>
      <c r="E175" s="3" t="s">
        <v>20</v>
      </c>
      <c r="F175" s="3" t="s">
        <v>19</v>
      </c>
      <c r="G175" s="3" t="s">
        <v>153</v>
      </c>
      <c r="H175" s="5">
        <v>1</v>
      </c>
      <c r="I175" s="3" t="s">
        <v>19</v>
      </c>
      <c r="J175" s="6">
        <v>35000</v>
      </c>
      <c r="K175" s="6">
        <v>0</v>
      </c>
      <c r="L175" s="6">
        <v>0</v>
      </c>
      <c r="M175" s="6">
        <v>0</v>
      </c>
      <c r="N175" s="3" t="s">
        <v>19</v>
      </c>
      <c r="O175" s="6">
        <v>0</v>
      </c>
      <c r="P175" s="6">
        <f>J175-L175</f>
        <v>35000</v>
      </c>
    </row>
    <row r="176" spans="1:16" x14ac:dyDescent="0.25">
      <c r="A176" s="3" t="s">
        <v>385</v>
      </c>
      <c r="B176" s="4" t="s">
        <v>386</v>
      </c>
      <c r="C176" s="3" t="s">
        <v>19</v>
      </c>
      <c r="D176" s="3" t="s">
        <v>19</v>
      </c>
      <c r="E176" s="3" t="s">
        <v>20</v>
      </c>
      <c r="F176" s="3" t="s">
        <v>19</v>
      </c>
      <c r="G176" s="3" t="s">
        <v>133</v>
      </c>
      <c r="H176" s="5">
        <v>1</v>
      </c>
      <c r="I176" s="3" t="s">
        <v>19</v>
      </c>
      <c r="J176" s="6">
        <v>25000</v>
      </c>
      <c r="K176" s="6">
        <v>0</v>
      </c>
      <c r="L176" s="6">
        <v>0</v>
      </c>
      <c r="M176" s="6">
        <v>0</v>
      </c>
      <c r="N176" s="3" t="s">
        <v>19</v>
      </c>
      <c r="O176" s="6">
        <v>0</v>
      </c>
      <c r="P176" s="6">
        <f>J176-L176</f>
        <v>25000</v>
      </c>
    </row>
    <row r="177" spans="1:16" x14ac:dyDescent="0.25">
      <c r="A177" s="3" t="s">
        <v>387</v>
      </c>
      <c r="B177" s="4" t="s">
        <v>388</v>
      </c>
      <c r="C177" s="3" t="s">
        <v>19</v>
      </c>
      <c r="D177" s="3" t="s">
        <v>19</v>
      </c>
      <c r="E177" s="3" t="s">
        <v>20</v>
      </c>
      <c r="F177" s="3" t="s">
        <v>19</v>
      </c>
      <c r="G177" s="3" t="s">
        <v>249</v>
      </c>
      <c r="H177" s="5">
        <v>1</v>
      </c>
      <c r="I177" s="3" t="s">
        <v>19</v>
      </c>
      <c r="J177" s="6">
        <v>25000</v>
      </c>
      <c r="K177" s="6">
        <v>0</v>
      </c>
      <c r="L177" s="6">
        <v>0</v>
      </c>
      <c r="M177" s="6">
        <v>0</v>
      </c>
      <c r="N177" s="3" t="s">
        <v>19</v>
      </c>
      <c r="O177" s="6">
        <v>0</v>
      </c>
      <c r="P177" s="6">
        <f>J177-L177</f>
        <v>25000</v>
      </c>
    </row>
    <row r="178" spans="1:16" x14ac:dyDescent="0.25">
      <c r="A178" s="3" t="s">
        <v>387</v>
      </c>
      <c r="B178" s="4" t="s">
        <v>388</v>
      </c>
      <c r="C178" s="3" t="s">
        <v>19</v>
      </c>
      <c r="D178" s="3" t="s">
        <v>19</v>
      </c>
      <c r="E178" s="3" t="s">
        <v>20</v>
      </c>
      <c r="F178" s="3" t="s">
        <v>19</v>
      </c>
      <c r="G178" s="3" t="s">
        <v>160</v>
      </c>
      <c r="H178" s="5">
        <v>1</v>
      </c>
      <c r="I178" s="3" t="s">
        <v>19</v>
      </c>
      <c r="J178" s="6">
        <v>17000</v>
      </c>
      <c r="K178" s="6">
        <v>0</v>
      </c>
      <c r="L178" s="6">
        <v>0</v>
      </c>
      <c r="M178" s="6">
        <v>0</v>
      </c>
      <c r="N178" s="3" t="s">
        <v>19</v>
      </c>
      <c r="O178" s="6">
        <v>0</v>
      </c>
      <c r="P178" s="6">
        <f>J178-L178</f>
        <v>17000</v>
      </c>
    </row>
    <row r="179" spans="1:16" x14ac:dyDescent="0.25">
      <c r="A179" s="3" t="s">
        <v>389</v>
      </c>
      <c r="B179" s="4" t="s">
        <v>390</v>
      </c>
      <c r="C179" s="3" t="s">
        <v>19</v>
      </c>
      <c r="D179" s="3" t="s">
        <v>19</v>
      </c>
      <c r="E179" s="3" t="s">
        <v>20</v>
      </c>
      <c r="F179" s="3" t="s">
        <v>19</v>
      </c>
      <c r="G179" s="3" t="s">
        <v>139</v>
      </c>
      <c r="H179" s="5">
        <v>1</v>
      </c>
      <c r="I179" s="3" t="s">
        <v>19</v>
      </c>
      <c r="J179" s="6">
        <v>30000</v>
      </c>
      <c r="K179" s="6">
        <v>0</v>
      </c>
      <c r="L179" s="6">
        <v>0</v>
      </c>
      <c r="M179" s="6">
        <v>0</v>
      </c>
      <c r="N179" s="3" t="s">
        <v>19</v>
      </c>
      <c r="O179" s="6">
        <v>0</v>
      </c>
      <c r="P179" s="6">
        <f>J179-L179</f>
        <v>30000</v>
      </c>
    </row>
    <row r="180" spans="1:16" x14ac:dyDescent="0.25">
      <c r="A180" s="3" t="s">
        <v>391</v>
      </c>
      <c r="B180" s="4" t="s">
        <v>392</v>
      </c>
      <c r="C180" s="3" t="s">
        <v>19</v>
      </c>
      <c r="D180" s="3" t="s">
        <v>19</v>
      </c>
      <c r="E180" s="3" t="s">
        <v>52</v>
      </c>
      <c r="F180" s="3" t="s">
        <v>19</v>
      </c>
      <c r="G180" s="3" t="s">
        <v>173</v>
      </c>
      <c r="H180" s="5">
        <v>2</v>
      </c>
      <c r="I180" s="3" t="s">
        <v>19</v>
      </c>
      <c r="J180" s="6">
        <v>80000</v>
      </c>
      <c r="K180" s="6">
        <v>0</v>
      </c>
      <c r="L180" s="6">
        <v>0</v>
      </c>
      <c r="M180" s="6">
        <v>0</v>
      </c>
      <c r="N180" s="3" t="s">
        <v>19</v>
      </c>
      <c r="O180" s="6">
        <v>0</v>
      </c>
      <c r="P180" s="6">
        <f>J180-L180</f>
        <v>80000</v>
      </c>
    </row>
    <row r="181" spans="1:16" x14ac:dyDescent="0.25">
      <c r="A181" s="3" t="s">
        <v>391</v>
      </c>
      <c r="B181" s="4" t="s">
        <v>392</v>
      </c>
      <c r="C181" s="3" t="s">
        <v>19</v>
      </c>
      <c r="D181" s="3" t="s">
        <v>19</v>
      </c>
      <c r="E181" s="3" t="s">
        <v>52</v>
      </c>
      <c r="F181" s="3" t="s">
        <v>19</v>
      </c>
      <c r="G181" s="3" t="s">
        <v>249</v>
      </c>
      <c r="H181" s="5">
        <v>1</v>
      </c>
      <c r="I181" s="3" t="s">
        <v>19</v>
      </c>
      <c r="J181" s="6">
        <v>25000</v>
      </c>
      <c r="K181" s="6">
        <v>0</v>
      </c>
      <c r="L181" s="6">
        <v>0</v>
      </c>
      <c r="M181" s="6">
        <v>0</v>
      </c>
      <c r="N181" s="3" t="s">
        <v>19</v>
      </c>
      <c r="O181" s="6">
        <v>0</v>
      </c>
      <c r="P181" s="6">
        <f>J181-L181</f>
        <v>25000</v>
      </c>
    </row>
    <row r="182" spans="1:16" x14ac:dyDescent="0.25">
      <c r="A182" s="3" t="s">
        <v>393</v>
      </c>
      <c r="B182" s="4" t="s">
        <v>394</v>
      </c>
      <c r="C182" s="3" t="s">
        <v>19</v>
      </c>
      <c r="D182" s="3" t="s">
        <v>19</v>
      </c>
      <c r="E182" s="3" t="s">
        <v>52</v>
      </c>
      <c r="F182" s="3" t="s">
        <v>19</v>
      </c>
      <c r="G182" s="3" t="s">
        <v>140</v>
      </c>
      <c r="H182" s="5">
        <v>2</v>
      </c>
      <c r="I182" s="3" t="s">
        <v>19</v>
      </c>
      <c r="J182" s="6">
        <v>56000</v>
      </c>
      <c r="K182" s="6">
        <v>0</v>
      </c>
      <c r="L182" s="6">
        <v>0</v>
      </c>
      <c r="M182" s="6">
        <v>0</v>
      </c>
      <c r="N182" s="3" t="s">
        <v>19</v>
      </c>
      <c r="O182" s="6">
        <v>0</v>
      </c>
      <c r="P182" s="6">
        <f>J182-L182</f>
        <v>56000</v>
      </c>
    </row>
    <row r="183" spans="1:16" x14ac:dyDescent="0.25">
      <c r="A183" s="3" t="s">
        <v>395</v>
      </c>
      <c r="B183" s="4" t="s">
        <v>396</v>
      </c>
      <c r="C183" s="3" t="s">
        <v>19</v>
      </c>
      <c r="D183" s="3" t="s">
        <v>19</v>
      </c>
      <c r="E183" s="3" t="s">
        <v>52</v>
      </c>
      <c r="F183" s="3" t="s">
        <v>19</v>
      </c>
      <c r="G183" s="3" t="s">
        <v>173</v>
      </c>
      <c r="H183" s="5">
        <v>1</v>
      </c>
      <c r="I183" s="3" t="s">
        <v>19</v>
      </c>
      <c r="J183" s="6">
        <v>40000</v>
      </c>
      <c r="K183" s="6">
        <v>0</v>
      </c>
      <c r="L183" s="6">
        <v>0</v>
      </c>
      <c r="M183" s="6">
        <v>0</v>
      </c>
      <c r="N183" s="3" t="s">
        <v>19</v>
      </c>
      <c r="O183" s="6">
        <v>0</v>
      </c>
      <c r="P183" s="6">
        <f>J183-L183</f>
        <v>40000</v>
      </c>
    </row>
    <row r="184" ht="18" customHeight="1" spans="1:16" x14ac:dyDescent="0.25">
      <c r="A184" s="7" t="s">
        <v>34</v>
      </c>
      <c r="B184" s="7"/>
      <c r="C184" s="7"/>
      <c r="D184" s="7"/>
      <c r="E184" s="7"/>
      <c r="F184" s="7"/>
      <c r="G184" s="7"/>
      <c r="H184" s="8">
        <f>SUM(H148:H183)</f>
        <v>43</v>
      </c>
      <c r="I184" s="7"/>
      <c r="J184" s="9">
        <f>SUM(J148:J183)</f>
        <v>1294000</v>
      </c>
      <c r="K184" s="9">
        <f>SUM(K148:K183)</f>
        <v>0</v>
      </c>
      <c r="L184" s="9">
        <f>SUM(L148:L183)</f>
        <v>0</v>
      </c>
      <c r="M184" s="9">
        <f>SUM(M148:M183)</f>
        <v>0</v>
      </c>
      <c r="N184" s="7"/>
      <c r="O184" s="9">
        <f>SUM(O148:O183)</f>
        <v>0</v>
      </c>
      <c r="P184" s="9">
        <f>SUM(P148:P183)</f>
        <v>1294000</v>
      </c>
    </row>
    <row r="188" ht="15.75" customHeight="1" spans="1:16" x14ac:dyDescent="0.25">
      <c r="A188" s="1" t="s">
        <v>80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39.4" customHeight="1" spans="1:16" x14ac:dyDescent="0.25">
      <c r="A189" s="2" t="s">
        <v>1</v>
      </c>
      <c r="B189" s="2" t="s">
        <v>2</v>
      </c>
      <c r="C189" s="2" t="s">
        <v>3</v>
      </c>
      <c r="D189" s="2" t="s">
        <v>4</v>
      </c>
      <c r="E189" s="2" t="s">
        <v>5</v>
      </c>
      <c r="F189" s="2" t="s">
        <v>6</v>
      </c>
      <c r="G189" s="2" t="s">
        <v>7</v>
      </c>
      <c r="H189" s="2" t="s">
        <v>8</v>
      </c>
      <c r="I189" s="2" t="s">
        <v>9</v>
      </c>
      <c r="J189" s="2" t="s">
        <v>10</v>
      </c>
      <c r="K189" s="2" t="s">
        <v>11</v>
      </c>
      <c r="L189" s="2" t="s">
        <v>12</v>
      </c>
      <c r="M189" s="2" t="s">
        <v>13</v>
      </c>
      <c r="N189" s="2" t="s">
        <v>14</v>
      </c>
      <c r="O189" s="2" t="s">
        <v>15</v>
      </c>
      <c r="P189" s="2" t="s">
        <v>16</v>
      </c>
    </row>
    <row r="190" spans="1:16" x14ac:dyDescent="0.25">
      <c r="A190" s="3" t="s">
        <v>397</v>
      </c>
      <c r="B190" s="4" t="s">
        <v>398</v>
      </c>
      <c r="C190" s="3" t="s">
        <v>19</v>
      </c>
      <c r="D190" s="3" t="s">
        <v>19</v>
      </c>
      <c r="E190" s="3" t="s">
        <v>20</v>
      </c>
      <c r="F190" s="3" t="s">
        <v>19</v>
      </c>
      <c r="G190" s="3" t="s">
        <v>143</v>
      </c>
      <c r="H190" s="5">
        <v>1</v>
      </c>
      <c r="I190" s="3" t="s">
        <v>19</v>
      </c>
      <c r="J190" s="6">
        <v>30000</v>
      </c>
      <c r="K190" s="6">
        <v>0</v>
      </c>
      <c r="L190" s="6">
        <v>0</v>
      </c>
      <c r="M190" s="6">
        <v>0</v>
      </c>
      <c r="N190" s="3" t="s">
        <v>19</v>
      </c>
      <c r="O190" s="6">
        <v>0</v>
      </c>
      <c r="P190" s="6">
        <f>J190-L190</f>
        <v>30000</v>
      </c>
    </row>
    <row r="191" spans="1:16" x14ac:dyDescent="0.25">
      <c r="A191" s="3" t="s">
        <v>399</v>
      </c>
      <c r="B191" s="4" t="s">
        <v>400</v>
      </c>
      <c r="C191" s="3" t="s">
        <v>19</v>
      </c>
      <c r="D191" s="3" t="s">
        <v>19</v>
      </c>
      <c r="E191" s="3" t="s">
        <v>20</v>
      </c>
      <c r="F191" s="3" t="s">
        <v>19</v>
      </c>
      <c r="G191" s="3" t="s">
        <v>143</v>
      </c>
      <c r="H191" s="5">
        <v>1</v>
      </c>
      <c r="I191" s="3" t="s">
        <v>19</v>
      </c>
      <c r="J191" s="6">
        <v>30000</v>
      </c>
      <c r="K191" s="6">
        <v>0</v>
      </c>
      <c r="L191" s="6">
        <v>0</v>
      </c>
      <c r="M191" s="6">
        <v>0</v>
      </c>
      <c r="N191" s="3" t="s">
        <v>19</v>
      </c>
      <c r="O191" s="6">
        <v>0</v>
      </c>
      <c r="P191" s="6">
        <f>J191-L191</f>
        <v>30000</v>
      </c>
    </row>
    <row r="192" spans="1:16" x14ac:dyDescent="0.25">
      <c r="A192" s="3" t="s">
        <v>401</v>
      </c>
      <c r="B192" s="4" t="s">
        <v>402</v>
      </c>
      <c r="C192" s="3" t="s">
        <v>19</v>
      </c>
      <c r="D192" s="3" t="s">
        <v>19</v>
      </c>
      <c r="E192" s="3" t="s">
        <v>20</v>
      </c>
      <c r="F192" s="3" t="s">
        <v>19</v>
      </c>
      <c r="G192" s="3" t="s">
        <v>338</v>
      </c>
      <c r="H192" s="5">
        <v>1</v>
      </c>
      <c r="I192" s="3" t="s">
        <v>19</v>
      </c>
      <c r="J192" s="6">
        <v>35000</v>
      </c>
      <c r="K192" s="6">
        <v>0</v>
      </c>
      <c r="L192" s="6">
        <v>0</v>
      </c>
      <c r="M192" s="6">
        <v>0</v>
      </c>
      <c r="N192" s="3" t="s">
        <v>19</v>
      </c>
      <c r="O192" s="6">
        <v>0</v>
      </c>
      <c r="P192" s="6">
        <f>J192-L192</f>
        <v>35000</v>
      </c>
    </row>
    <row r="193" spans="1:16" x14ac:dyDescent="0.25">
      <c r="A193" s="3" t="s">
        <v>401</v>
      </c>
      <c r="B193" s="4" t="s">
        <v>402</v>
      </c>
      <c r="C193" s="3" t="s">
        <v>19</v>
      </c>
      <c r="D193" s="3" t="s">
        <v>19</v>
      </c>
      <c r="E193" s="3" t="s">
        <v>20</v>
      </c>
      <c r="F193" s="3" t="s">
        <v>19</v>
      </c>
      <c r="G193" s="3" t="s">
        <v>160</v>
      </c>
      <c r="H193" s="5">
        <v>1</v>
      </c>
      <c r="I193" s="3" t="s">
        <v>19</v>
      </c>
      <c r="J193" s="6">
        <v>17000</v>
      </c>
      <c r="K193" s="6">
        <v>0</v>
      </c>
      <c r="L193" s="6">
        <v>0</v>
      </c>
      <c r="M193" s="6">
        <v>0</v>
      </c>
      <c r="N193" s="3" t="s">
        <v>19</v>
      </c>
      <c r="O193" s="6">
        <v>0</v>
      </c>
      <c r="P193" s="6">
        <f>J193-L193</f>
        <v>17000</v>
      </c>
    </row>
    <row r="194" spans="1:16" x14ac:dyDescent="0.25">
      <c r="A194" s="3" t="s">
        <v>401</v>
      </c>
      <c r="B194" s="4" t="s">
        <v>402</v>
      </c>
      <c r="C194" s="3" t="s">
        <v>19</v>
      </c>
      <c r="D194" s="3" t="s">
        <v>19</v>
      </c>
      <c r="E194" s="3" t="s">
        <v>20</v>
      </c>
      <c r="F194" s="3" t="s">
        <v>19</v>
      </c>
      <c r="G194" s="3" t="s">
        <v>140</v>
      </c>
      <c r="H194" s="5">
        <v>1</v>
      </c>
      <c r="I194" s="3" t="s">
        <v>19</v>
      </c>
      <c r="J194" s="6">
        <v>28000</v>
      </c>
      <c r="K194" s="6">
        <v>0</v>
      </c>
      <c r="L194" s="6">
        <v>0</v>
      </c>
      <c r="M194" s="6">
        <v>0</v>
      </c>
      <c r="N194" s="3" t="s">
        <v>19</v>
      </c>
      <c r="O194" s="6">
        <v>0</v>
      </c>
      <c r="P194" s="6">
        <f>J194-L194</f>
        <v>28000</v>
      </c>
    </row>
    <row r="195" spans="1:16" x14ac:dyDescent="0.25">
      <c r="A195" s="3" t="s">
        <v>403</v>
      </c>
      <c r="B195" s="4" t="s">
        <v>404</v>
      </c>
      <c r="C195" s="3" t="s">
        <v>19</v>
      </c>
      <c r="D195" s="3" t="s">
        <v>19</v>
      </c>
      <c r="E195" s="3" t="s">
        <v>20</v>
      </c>
      <c r="F195" s="3" t="s">
        <v>19</v>
      </c>
      <c r="G195" s="3" t="s">
        <v>140</v>
      </c>
      <c r="H195" s="5">
        <v>1</v>
      </c>
      <c r="I195" s="3" t="s">
        <v>19</v>
      </c>
      <c r="J195" s="6">
        <v>28000</v>
      </c>
      <c r="K195" s="6">
        <v>0</v>
      </c>
      <c r="L195" s="6">
        <v>0</v>
      </c>
      <c r="M195" s="6">
        <v>0</v>
      </c>
      <c r="N195" s="3" t="s">
        <v>19</v>
      </c>
      <c r="O195" s="6">
        <v>0</v>
      </c>
      <c r="P195" s="6">
        <f>J195-L195</f>
        <v>28000</v>
      </c>
    </row>
    <row r="196" spans="1:16" x14ac:dyDescent="0.25">
      <c r="A196" s="3" t="s">
        <v>405</v>
      </c>
      <c r="B196" s="4" t="s">
        <v>406</v>
      </c>
      <c r="C196" s="3" t="s">
        <v>19</v>
      </c>
      <c r="D196" s="3" t="s">
        <v>19</v>
      </c>
      <c r="E196" s="3" t="s">
        <v>20</v>
      </c>
      <c r="F196" s="3" t="s">
        <v>19</v>
      </c>
      <c r="G196" s="3" t="s">
        <v>153</v>
      </c>
      <c r="H196" s="5">
        <v>1</v>
      </c>
      <c r="I196" s="3" t="s">
        <v>19</v>
      </c>
      <c r="J196" s="6">
        <v>35000</v>
      </c>
      <c r="K196" s="6">
        <v>0</v>
      </c>
      <c r="L196" s="6">
        <v>0</v>
      </c>
      <c r="M196" s="6">
        <v>0</v>
      </c>
      <c r="N196" s="3" t="s">
        <v>19</v>
      </c>
      <c r="O196" s="6">
        <v>0</v>
      </c>
      <c r="P196" s="6">
        <f>J196-L196</f>
        <v>35000</v>
      </c>
    </row>
    <row r="197" spans="1:16" x14ac:dyDescent="0.25">
      <c r="A197" s="3" t="s">
        <v>407</v>
      </c>
      <c r="B197" s="4" t="s">
        <v>408</v>
      </c>
      <c r="C197" s="3" t="s">
        <v>19</v>
      </c>
      <c r="D197" s="3" t="s">
        <v>19</v>
      </c>
      <c r="E197" s="3" t="s">
        <v>20</v>
      </c>
      <c r="F197" s="3" t="s">
        <v>19</v>
      </c>
      <c r="G197" s="3" t="s">
        <v>167</v>
      </c>
      <c r="H197" s="5">
        <v>1</v>
      </c>
      <c r="I197" s="3" t="s">
        <v>19</v>
      </c>
      <c r="J197" s="6">
        <v>45000</v>
      </c>
      <c r="K197" s="6">
        <v>0</v>
      </c>
      <c r="L197" s="6">
        <v>0</v>
      </c>
      <c r="M197" s="6">
        <v>0</v>
      </c>
      <c r="N197" s="3" t="s">
        <v>19</v>
      </c>
      <c r="O197" s="6">
        <v>0</v>
      </c>
      <c r="P197" s="6">
        <f>J197-L197</f>
        <v>45000</v>
      </c>
    </row>
    <row r="198" spans="1:16" x14ac:dyDescent="0.25">
      <c r="A198" s="3" t="s">
        <v>409</v>
      </c>
      <c r="B198" s="4" t="s">
        <v>410</v>
      </c>
      <c r="C198" s="3" t="s">
        <v>19</v>
      </c>
      <c r="D198" s="3" t="s">
        <v>19</v>
      </c>
      <c r="E198" s="3" t="s">
        <v>20</v>
      </c>
      <c r="F198" s="3" t="s">
        <v>19</v>
      </c>
      <c r="G198" s="3" t="s">
        <v>278</v>
      </c>
      <c r="H198" s="5">
        <v>1</v>
      </c>
      <c r="I198" s="3" t="s">
        <v>19</v>
      </c>
      <c r="J198" s="6">
        <v>35000</v>
      </c>
      <c r="K198" s="6">
        <v>0</v>
      </c>
      <c r="L198" s="6">
        <v>0</v>
      </c>
      <c r="M198" s="6">
        <v>0</v>
      </c>
      <c r="N198" s="3" t="s">
        <v>19</v>
      </c>
      <c r="O198" s="6">
        <v>0</v>
      </c>
      <c r="P198" s="6">
        <f>J198-L198</f>
        <v>35000</v>
      </c>
    </row>
    <row r="199" spans="1:16" x14ac:dyDescent="0.25">
      <c r="A199" s="3" t="s">
        <v>411</v>
      </c>
      <c r="B199" s="4" t="s">
        <v>412</v>
      </c>
      <c r="C199" s="3" t="s">
        <v>19</v>
      </c>
      <c r="D199" s="3" t="s">
        <v>19</v>
      </c>
      <c r="E199" s="3" t="s">
        <v>20</v>
      </c>
      <c r="F199" s="3" t="s">
        <v>19</v>
      </c>
      <c r="G199" s="3" t="s">
        <v>136</v>
      </c>
      <c r="H199" s="5">
        <v>1</v>
      </c>
      <c r="I199" s="3" t="s">
        <v>19</v>
      </c>
      <c r="J199" s="6">
        <v>25000</v>
      </c>
      <c r="K199" s="6">
        <v>0</v>
      </c>
      <c r="L199" s="6">
        <v>0</v>
      </c>
      <c r="M199" s="6">
        <v>0</v>
      </c>
      <c r="N199" s="3" t="s">
        <v>19</v>
      </c>
      <c r="O199" s="6">
        <v>0</v>
      </c>
      <c r="P199" s="6">
        <f>J199-L199</f>
        <v>25000</v>
      </c>
    </row>
    <row r="200" spans="1:16" x14ac:dyDescent="0.25">
      <c r="A200" s="3" t="s">
        <v>413</v>
      </c>
      <c r="B200" s="4" t="s">
        <v>414</v>
      </c>
      <c r="C200" s="3" t="s">
        <v>19</v>
      </c>
      <c r="D200" s="3" t="s">
        <v>19</v>
      </c>
      <c r="E200" s="3" t="s">
        <v>20</v>
      </c>
      <c r="F200" s="3" t="s">
        <v>19</v>
      </c>
      <c r="G200" s="3" t="s">
        <v>139</v>
      </c>
      <c r="H200" s="5">
        <v>1</v>
      </c>
      <c r="I200" s="3" t="s">
        <v>19</v>
      </c>
      <c r="J200" s="6">
        <v>30000</v>
      </c>
      <c r="K200" s="6">
        <v>0</v>
      </c>
      <c r="L200" s="6">
        <v>0</v>
      </c>
      <c r="M200" s="6">
        <v>0</v>
      </c>
      <c r="N200" s="3" t="s">
        <v>19</v>
      </c>
      <c r="O200" s="6">
        <v>0</v>
      </c>
      <c r="P200" s="6">
        <f>J200-L200</f>
        <v>30000</v>
      </c>
    </row>
    <row r="201" spans="1:16" x14ac:dyDescent="0.25">
      <c r="A201" s="3" t="s">
        <v>413</v>
      </c>
      <c r="B201" s="4" t="s">
        <v>414</v>
      </c>
      <c r="C201" s="3" t="s">
        <v>19</v>
      </c>
      <c r="D201" s="3" t="s">
        <v>19</v>
      </c>
      <c r="E201" s="3" t="s">
        <v>20</v>
      </c>
      <c r="F201" s="3" t="s">
        <v>19</v>
      </c>
      <c r="G201" s="3" t="s">
        <v>173</v>
      </c>
      <c r="H201" s="5">
        <v>1</v>
      </c>
      <c r="I201" s="3" t="s">
        <v>19</v>
      </c>
      <c r="J201" s="6">
        <v>40000</v>
      </c>
      <c r="K201" s="6">
        <v>0</v>
      </c>
      <c r="L201" s="6">
        <v>0</v>
      </c>
      <c r="M201" s="6">
        <v>0</v>
      </c>
      <c r="N201" s="3" t="s">
        <v>19</v>
      </c>
      <c r="O201" s="6">
        <v>0</v>
      </c>
      <c r="P201" s="6">
        <f>J201-L201</f>
        <v>40000</v>
      </c>
    </row>
    <row r="202" spans="1:16" x14ac:dyDescent="0.25">
      <c r="A202" s="3" t="s">
        <v>413</v>
      </c>
      <c r="B202" s="4" t="s">
        <v>414</v>
      </c>
      <c r="C202" s="3" t="s">
        <v>19</v>
      </c>
      <c r="D202" s="3" t="s">
        <v>19</v>
      </c>
      <c r="E202" s="3" t="s">
        <v>20</v>
      </c>
      <c r="F202" s="3" t="s">
        <v>19</v>
      </c>
      <c r="G202" s="3" t="s">
        <v>186</v>
      </c>
      <c r="H202" s="5">
        <v>1</v>
      </c>
      <c r="I202" s="3" t="s">
        <v>19</v>
      </c>
      <c r="J202" s="6">
        <v>25000</v>
      </c>
      <c r="K202" s="6">
        <v>0</v>
      </c>
      <c r="L202" s="6">
        <v>0</v>
      </c>
      <c r="M202" s="6">
        <v>0</v>
      </c>
      <c r="N202" s="3" t="s">
        <v>19</v>
      </c>
      <c r="O202" s="6">
        <v>0</v>
      </c>
      <c r="P202" s="6">
        <f>J202-L202</f>
        <v>25000</v>
      </c>
    </row>
    <row r="203" spans="1:16" x14ac:dyDescent="0.25">
      <c r="A203" s="3" t="s">
        <v>415</v>
      </c>
      <c r="B203" s="4" t="s">
        <v>416</v>
      </c>
      <c r="C203" s="3" t="s">
        <v>19</v>
      </c>
      <c r="D203" s="3" t="s">
        <v>19</v>
      </c>
      <c r="E203" s="3" t="s">
        <v>20</v>
      </c>
      <c r="F203" s="3" t="s">
        <v>19</v>
      </c>
      <c r="G203" s="3" t="s">
        <v>140</v>
      </c>
      <c r="H203" s="5">
        <v>2</v>
      </c>
      <c r="I203" s="3" t="s">
        <v>19</v>
      </c>
      <c r="J203" s="6">
        <v>56000</v>
      </c>
      <c r="K203" s="6">
        <v>0</v>
      </c>
      <c r="L203" s="6">
        <v>0</v>
      </c>
      <c r="M203" s="6">
        <v>0</v>
      </c>
      <c r="N203" s="3" t="s">
        <v>19</v>
      </c>
      <c r="O203" s="6">
        <v>0</v>
      </c>
      <c r="P203" s="6">
        <f>J203-L203</f>
        <v>56000</v>
      </c>
    </row>
    <row r="204" spans="1:16" x14ac:dyDescent="0.25">
      <c r="A204" s="3" t="s">
        <v>417</v>
      </c>
      <c r="B204" s="4" t="s">
        <v>418</v>
      </c>
      <c r="C204" s="3" t="s">
        <v>19</v>
      </c>
      <c r="D204" s="3" t="s">
        <v>19</v>
      </c>
      <c r="E204" s="3" t="s">
        <v>20</v>
      </c>
      <c r="F204" s="3" t="s">
        <v>19</v>
      </c>
      <c r="G204" s="3" t="s">
        <v>167</v>
      </c>
      <c r="H204" s="5">
        <v>1</v>
      </c>
      <c r="I204" s="3" t="s">
        <v>19</v>
      </c>
      <c r="J204" s="6">
        <v>45000</v>
      </c>
      <c r="K204" s="6">
        <v>0</v>
      </c>
      <c r="L204" s="6">
        <v>0</v>
      </c>
      <c r="M204" s="6">
        <v>0</v>
      </c>
      <c r="N204" s="3" t="s">
        <v>19</v>
      </c>
      <c r="O204" s="6">
        <v>0</v>
      </c>
      <c r="P204" s="6">
        <f>J204-L204</f>
        <v>45000</v>
      </c>
    </row>
    <row r="205" spans="1:16" x14ac:dyDescent="0.25">
      <c r="A205" s="3" t="s">
        <v>419</v>
      </c>
      <c r="B205" s="4" t="s">
        <v>420</v>
      </c>
      <c r="C205" s="3" t="s">
        <v>19</v>
      </c>
      <c r="D205" s="3" t="s">
        <v>19</v>
      </c>
      <c r="E205" s="3" t="s">
        <v>25</v>
      </c>
      <c r="F205" s="3" t="s">
        <v>19</v>
      </c>
      <c r="G205" s="3" t="s">
        <v>140</v>
      </c>
      <c r="H205" s="5">
        <v>1</v>
      </c>
      <c r="I205" s="3" t="s">
        <v>19</v>
      </c>
      <c r="J205" s="6">
        <v>28000</v>
      </c>
      <c r="K205" s="6">
        <v>0</v>
      </c>
      <c r="L205" s="6">
        <v>0</v>
      </c>
      <c r="M205" s="6">
        <v>0</v>
      </c>
      <c r="N205" s="3" t="s">
        <v>19</v>
      </c>
      <c r="O205" s="6">
        <v>0</v>
      </c>
      <c r="P205" s="6">
        <f>J205-L205</f>
        <v>28000</v>
      </c>
    </row>
    <row r="206" spans="1:16" x14ac:dyDescent="0.25">
      <c r="A206" s="3" t="s">
        <v>421</v>
      </c>
      <c r="B206" s="4" t="s">
        <v>422</v>
      </c>
      <c r="C206" s="3" t="s">
        <v>19</v>
      </c>
      <c r="D206" s="3" t="s">
        <v>19</v>
      </c>
      <c r="E206" s="3" t="s">
        <v>25</v>
      </c>
      <c r="F206" s="3" t="s">
        <v>19</v>
      </c>
      <c r="G206" s="3" t="s">
        <v>153</v>
      </c>
      <c r="H206" s="5">
        <v>1</v>
      </c>
      <c r="I206" s="3" t="s">
        <v>19</v>
      </c>
      <c r="J206" s="6">
        <v>35000</v>
      </c>
      <c r="K206" s="6">
        <v>0</v>
      </c>
      <c r="L206" s="6">
        <v>0</v>
      </c>
      <c r="M206" s="6">
        <v>0</v>
      </c>
      <c r="N206" s="3" t="s">
        <v>19</v>
      </c>
      <c r="O206" s="6">
        <v>0</v>
      </c>
      <c r="P206" s="6">
        <f>J206-L206</f>
        <v>35000</v>
      </c>
    </row>
    <row r="207" spans="1:16" x14ac:dyDescent="0.25">
      <c r="A207" s="3" t="s">
        <v>423</v>
      </c>
      <c r="B207" s="4" t="s">
        <v>424</v>
      </c>
      <c r="C207" s="3" t="s">
        <v>19</v>
      </c>
      <c r="D207" s="3" t="s">
        <v>19</v>
      </c>
      <c r="E207" s="3" t="s">
        <v>52</v>
      </c>
      <c r="F207" s="3" t="s">
        <v>19</v>
      </c>
      <c r="G207" s="3" t="s">
        <v>173</v>
      </c>
      <c r="H207" s="5">
        <v>1</v>
      </c>
      <c r="I207" s="3" t="s">
        <v>19</v>
      </c>
      <c r="J207" s="6">
        <v>40000</v>
      </c>
      <c r="K207" s="6">
        <v>0</v>
      </c>
      <c r="L207" s="6">
        <v>0</v>
      </c>
      <c r="M207" s="6">
        <v>0</v>
      </c>
      <c r="N207" s="3" t="s">
        <v>19</v>
      </c>
      <c r="O207" s="6">
        <v>0</v>
      </c>
      <c r="P207" s="6">
        <f>J207-L207</f>
        <v>40000</v>
      </c>
    </row>
    <row r="208" spans="1:16" x14ac:dyDescent="0.25">
      <c r="A208" s="3" t="s">
        <v>425</v>
      </c>
      <c r="B208" s="4" t="s">
        <v>426</v>
      </c>
      <c r="C208" s="3" t="s">
        <v>19</v>
      </c>
      <c r="D208" s="3" t="s">
        <v>19</v>
      </c>
      <c r="E208" s="3" t="s">
        <v>52</v>
      </c>
      <c r="F208" s="3" t="s">
        <v>19</v>
      </c>
      <c r="G208" s="3" t="s">
        <v>140</v>
      </c>
      <c r="H208" s="5">
        <v>1</v>
      </c>
      <c r="I208" s="3" t="s">
        <v>19</v>
      </c>
      <c r="J208" s="6">
        <v>28000</v>
      </c>
      <c r="K208" s="6">
        <v>0</v>
      </c>
      <c r="L208" s="6">
        <v>0</v>
      </c>
      <c r="M208" s="6">
        <v>0</v>
      </c>
      <c r="N208" s="3" t="s">
        <v>19</v>
      </c>
      <c r="O208" s="6">
        <v>0</v>
      </c>
      <c r="P208" s="6">
        <f>J208-L208</f>
        <v>28000</v>
      </c>
    </row>
    <row r="209" spans="1:16" x14ac:dyDescent="0.25">
      <c r="A209" s="3" t="s">
        <v>427</v>
      </c>
      <c r="B209" s="4" t="s">
        <v>428</v>
      </c>
      <c r="C209" s="3" t="s">
        <v>19</v>
      </c>
      <c r="D209" s="3" t="s">
        <v>19</v>
      </c>
      <c r="E209" s="3" t="s">
        <v>52</v>
      </c>
      <c r="F209" s="3" t="s">
        <v>19</v>
      </c>
      <c r="G209" s="3" t="s">
        <v>139</v>
      </c>
      <c r="H209" s="5">
        <v>1</v>
      </c>
      <c r="I209" s="3" t="s">
        <v>19</v>
      </c>
      <c r="J209" s="6">
        <v>30000</v>
      </c>
      <c r="K209" s="6">
        <v>0</v>
      </c>
      <c r="L209" s="6">
        <v>0</v>
      </c>
      <c r="M209" s="6">
        <v>0</v>
      </c>
      <c r="N209" s="3" t="s">
        <v>19</v>
      </c>
      <c r="O209" s="6">
        <v>0</v>
      </c>
      <c r="P209" s="6">
        <f>J209-L209</f>
        <v>30000</v>
      </c>
    </row>
    <row r="210" spans="1:16" x14ac:dyDescent="0.25">
      <c r="A210" s="3" t="s">
        <v>429</v>
      </c>
      <c r="B210" s="4" t="s">
        <v>430</v>
      </c>
      <c r="C210" s="3" t="s">
        <v>19</v>
      </c>
      <c r="D210" s="3" t="s">
        <v>19</v>
      </c>
      <c r="E210" s="3" t="s">
        <v>52</v>
      </c>
      <c r="F210" s="3" t="s">
        <v>19</v>
      </c>
      <c r="G210" s="3" t="s">
        <v>133</v>
      </c>
      <c r="H210" s="5">
        <v>1</v>
      </c>
      <c r="I210" s="3" t="s">
        <v>19</v>
      </c>
      <c r="J210" s="6">
        <v>25000</v>
      </c>
      <c r="K210" s="6">
        <v>0</v>
      </c>
      <c r="L210" s="6">
        <v>0</v>
      </c>
      <c r="M210" s="6">
        <v>0</v>
      </c>
      <c r="N210" s="3" t="s">
        <v>19</v>
      </c>
      <c r="O210" s="6">
        <v>0</v>
      </c>
      <c r="P210" s="6">
        <f>J210-L210</f>
        <v>25000</v>
      </c>
    </row>
    <row r="211" spans="1:16" x14ac:dyDescent="0.25">
      <c r="A211" s="3" t="s">
        <v>429</v>
      </c>
      <c r="B211" s="4" t="s">
        <v>430</v>
      </c>
      <c r="C211" s="3" t="s">
        <v>19</v>
      </c>
      <c r="D211" s="3" t="s">
        <v>19</v>
      </c>
      <c r="E211" s="3" t="s">
        <v>52</v>
      </c>
      <c r="F211" s="3" t="s">
        <v>19</v>
      </c>
      <c r="G211" s="3" t="s">
        <v>186</v>
      </c>
      <c r="H211" s="5">
        <v>1</v>
      </c>
      <c r="I211" s="3" t="s">
        <v>19</v>
      </c>
      <c r="J211" s="6">
        <v>25000</v>
      </c>
      <c r="K211" s="6">
        <v>0</v>
      </c>
      <c r="L211" s="6">
        <v>0</v>
      </c>
      <c r="M211" s="6">
        <v>0</v>
      </c>
      <c r="N211" s="3" t="s">
        <v>19</v>
      </c>
      <c r="O211" s="6">
        <v>0</v>
      </c>
      <c r="P211" s="6">
        <f>J211-L211</f>
        <v>25000</v>
      </c>
    </row>
    <row r="212" spans="1:16" x14ac:dyDescent="0.25">
      <c r="A212" s="3" t="s">
        <v>431</v>
      </c>
      <c r="B212" s="4" t="s">
        <v>432</v>
      </c>
      <c r="C212" s="3" t="s">
        <v>19</v>
      </c>
      <c r="D212" s="3" t="s">
        <v>19</v>
      </c>
      <c r="E212" s="3" t="s">
        <v>52</v>
      </c>
      <c r="F212" s="3" t="s">
        <v>19</v>
      </c>
      <c r="G212" s="3" t="s">
        <v>170</v>
      </c>
      <c r="H212" s="5">
        <v>1</v>
      </c>
      <c r="I212" s="3" t="s">
        <v>19</v>
      </c>
      <c r="J212" s="6">
        <v>40000</v>
      </c>
      <c r="K212" s="6">
        <v>0</v>
      </c>
      <c r="L212" s="6">
        <v>0</v>
      </c>
      <c r="M212" s="6">
        <v>0</v>
      </c>
      <c r="N212" s="3" t="s">
        <v>19</v>
      </c>
      <c r="O212" s="6">
        <v>0</v>
      </c>
      <c r="P212" s="6">
        <f>J212-L212</f>
        <v>40000</v>
      </c>
    </row>
    <row r="213" spans="1:16" x14ac:dyDescent="0.25">
      <c r="A213" s="3" t="s">
        <v>433</v>
      </c>
      <c r="B213" s="4" t="s">
        <v>434</v>
      </c>
      <c r="C213" s="3" t="s">
        <v>19</v>
      </c>
      <c r="D213" s="3" t="s">
        <v>19</v>
      </c>
      <c r="E213" s="3" t="s">
        <v>52</v>
      </c>
      <c r="F213" s="3" t="s">
        <v>19</v>
      </c>
      <c r="G213" s="3" t="s">
        <v>140</v>
      </c>
      <c r="H213" s="5">
        <v>1</v>
      </c>
      <c r="I213" s="3" t="s">
        <v>19</v>
      </c>
      <c r="J213" s="6">
        <v>28000</v>
      </c>
      <c r="K213" s="6">
        <v>0</v>
      </c>
      <c r="L213" s="6">
        <v>0</v>
      </c>
      <c r="M213" s="6">
        <v>0</v>
      </c>
      <c r="N213" s="3" t="s">
        <v>19</v>
      </c>
      <c r="O213" s="6">
        <v>0</v>
      </c>
      <c r="P213" s="6">
        <f>J213-L213</f>
        <v>28000</v>
      </c>
    </row>
    <row r="214" spans="1:16" x14ac:dyDescent="0.25">
      <c r="A214" s="3" t="s">
        <v>433</v>
      </c>
      <c r="B214" s="4" t="s">
        <v>434</v>
      </c>
      <c r="C214" s="3" t="s">
        <v>19</v>
      </c>
      <c r="D214" s="3" t="s">
        <v>19</v>
      </c>
      <c r="E214" s="3" t="s">
        <v>52</v>
      </c>
      <c r="F214" s="3" t="s">
        <v>19</v>
      </c>
      <c r="G214" s="3" t="s">
        <v>249</v>
      </c>
      <c r="H214" s="5">
        <v>1</v>
      </c>
      <c r="I214" s="3" t="s">
        <v>19</v>
      </c>
      <c r="J214" s="6">
        <v>25000</v>
      </c>
      <c r="K214" s="6">
        <v>0</v>
      </c>
      <c r="L214" s="6">
        <v>0</v>
      </c>
      <c r="M214" s="6">
        <v>0</v>
      </c>
      <c r="N214" s="3" t="s">
        <v>19</v>
      </c>
      <c r="O214" s="6">
        <v>0</v>
      </c>
      <c r="P214" s="6">
        <f>J214-L214</f>
        <v>25000</v>
      </c>
    </row>
    <row r="215" spans="1:16" x14ac:dyDescent="0.25">
      <c r="A215" s="3" t="s">
        <v>435</v>
      </c>
      <c r="B215" s="4" t="s">
        <v>436</v>
      </c>
      <c r="C215" s="3" t="s">
        <v>19</v>
      </c>
      <c r="D215" s="3" t="s">
        <v>19</v>
      </c>
      <c r="E215" s="3" t="s">
        <v>52</v>
      </c>
      <c r="F215" s="3" t="s">
        <v>19</v>
      </c>
      <c r="G215" s="3" t="s">
        <v>140</v>
      </c>
      <c r="H215" s="5">
        <v>2</v>
      </c>
      <c r="I215" s="3" t="s">
        <v>19</v>
      </c>
      <c r="J215" s="6">
        <v>56000</v>
      </c>
      <c r="K215" s="6">
        <v>0</v>
      </c>
      <c r="L215" s="6">
        <v>0</v>
      </c>
      <c r="M215" s="6">
        <v>0</v>
      </c>
      <c r="N215" s="3" t="s">
        <v>19</v>
      </c>
      <c r="O215" s="6">
        <v>0</v>
      </c>
      <c r="P215" s="6">
        <f>J215-L215</f>
        <v>56000</v>
      </c>
    </row>
    <row r="216" spans="1:16" x14ac:dyDescent="0.25">
      <c r="A216" s="3" t="s">
        <v>435</v>
      </c>
      <c r="B216" s="4" t="s">
        <v>436</v>
      </c>
      <c r="C216" s="3" t="s">
        <v>19</v>
      </c>
      <c r="D216" s="3" t="s">
        <v>19</v>
      </c>
      <c r="E216" s="3" t="s">
        <v>52</v>
      </c>
      <c r="F216" s="3" t="s">
        <v>19</v>
      </c>
      <c r="G216" s="3" t="s">
        <v>139</v>
      </c>
      <c r="H216" s="5">
        <v>4</v>
      </c>
      <c r="I216" s="3" t="s">
        <v>19</v>
      </c>
      <c r="J216" s="6">
        <v>120000</v>
      </c>
      <c r="K216" s="6">
        <v>0</v>
      </c>
      <c r="L216" s="6">
        <v>0</v>
      </c>
      <c r="M216" s="6">
        <v>0</v>
      </c>
      <c r="N216" s="3" t="s">
        <v>19</v>
      </c>
      <c r="O216" s="6">
        <v>0</v>
      </c>
      <c r="P216" s="6">
        <f>J216-L216</f>
        <v>120000</v>
      </c>
    </row>
    <row r="217" ht="18" customHeight="1" spans="1:16" x14ac:dyDescent="0.25">
      <c r="A217" s="7" t="s">
        <v>34</v>
      </c>
      <c r="B217" s="7"/>
      <c r="C217" s="7"/>
      <c r="D217" s="7"/>
      <c r="E217" s="7"/>
      <c r="F217" s="7"/>
      <c r="G217" s="7"/>
      <c r="H217" s="8">
        <f>SUM(H190:H216)</f>
        <v>32</v>
      </c>
      <c r="I217" s="7"/>
      <c r="J217" s="9">
        <f>SUM(J190:J216)</f>
        <v>984000</v>
      </c>
      <c r="K217" s="9">
        <f>SUM(K190:K216)</f>
        <v>0</v>
      </c>
      <c r="L217" s="9">
        <f>SUM(L190:L216)</f>
        <v>0</v>
      </c>
      <c r="M217" s="9">
        <f>SUM(M190:M216)</f>
        <v>0</v>
      </c>
      <c r="N217" s="7"/>
      <c r="O217" s="9">
        <f>SUM(O190:O216)</f>
        <v>0</v>
      </c>
      <c r="P217" s="9">
        <f>SUM(P190:P216)</f>
        <v>984000</v>
      </c>
    </row>
    <row r="221" ht="15.75" customHeight="1" spans="1:16" x14ac:dyDescent="0.25">
      <c r="A221" s="1" t="s">
        <v>99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39.4" customHeight="1" spans="1:16" x14ac:dyDescent="0.25">
      <c r="A222" s="2" t="s">
        <v>1</v>
      </c>
      <c r="B222" s="2" t="s">
        <v>2</v>
      </c>
      <c r="C222" s="2" t="s">
        <v>3</v>
      </c>
      <c r="D222" s="2" t="s">
        <v>4</v>
      </c>
      <c r="E222" s="2" t="s">
        <v>5</v>
      </c>
      <c r="F222" s="2" t="s">
        <v>6</v>
      </c>
      <c r="G222" s="2" t="s">
        <v>7</v>
      </c>
      <c r="H222" s="2" t="s">
        <v>8</v>
      </c>
      <c r="I222" s="2" t="s">
        <v>9</v>
      </c>
      <c r="J222" s="2" t="s">
        <v>10</v>
      </c>
      <c r="K222" s="2" t="s">
        <v>11</v>
      </c>
      <c r="L222" s="2" t="s">
        <v>12</v>
      </c>
      <c r="M222" s="2" t="s">
        <v>13</v>
      </c>
      <c r="N222" s="2" t="s">
        <v>14</v>
      </c>
      <c r="O222" s="2" t="s">
        <v>15</v>
      </c>
      <c r="P222" s="2" t="s">
        <v>16</v>
      </c>
    </row>
    <row r="223" spans="1:16" x14ac:dyDescent="0.25">
      <c r="A223" s="3" t="s">
        <v>437</v>
      </c>
      <c r="B223" s="4" t="s">
        <v>438</v>
      </c>
      <c r="C223" s="3" t="s">
        <v>19</v>
      </c>
      <c r="D223" s="3" t="s">
        <v>19</v>
      </c>
      <c r="E223" s="3" t="s">
        <v>52</v>
      </c>
      <c r="F223" s="3" t="s">
        <v>19</v>
      </c>
      <c r="G223" s="3" t="s">
        <v>338</v>
      </c>
      <c r="H223" s="5">
        <v>1</v>
      </c>
      <c r="I223" s="3" t="s">
        <v>19</v>
      </c>
      <c r="J223" s="6">
        <v>35000</v>
      </c>
      <c r="K223" s="6">
        <v>0</v>
      </c>
      <c r="L223" s="6">
        <v>0</v>
      </c>
      <c r="M223" s="6">
        <v>0</v>
      </c>
      <c r="N223" s="3" t="s">
        <v>19</v>
      </c>
      <c r="O223" s="6">
        <v>0</v>
      </c>
      <c r="P223" s="6">
        <f>J223-L223</f>
        <v>35000</v>
      </c>
    </row>
    <row r="224" spans="1:16" x14ac:dyDescent="0.25">
      <c r="A224" s="3" t="s">
        <v>439</v>
      </c>
      <c r="B224" s="4" t="s">
        <v>440</v>
      </c>
      <c r="C224" s="3" t="s">
        <v>19</v>
      </c>
      <c r="D224" s="3" t="s">
        <v>19</v>
      </c>
      <c r="E224" s="3" t="s">
        <v>20</v>
      </c>
      <c r="F224" s="3" t="s">
        <v>19</v>
      </c>
      <c r="G224" s="3" t="s">
        <v>278</v>
      </c>
      <c r="H224" s="5">
        <v>1</v>
      </c>
      <c r="I224" s="3" t="s">
        <v>19</v>
      </c>
      <c r="J224" s="6">
        <v>35000</v>
      </c>
      <c r="K224" s="6">
        <v>0</v>
      </c>
      <c r="L224" s="6">
        <v>0</v>
      </c>
      <c r="M224" s="6">
        <v>0</v>
      </c>
      <c r="N224" s="3" t="s">
        <v>19</v>
      </c>
      <c r="O224" s="6">
        <v>0</v>
      </c>
      <c r="P224" s="6">
        <f>J224-L224</f>
        <v>35000</v>
      </c>
    </row>
    <row r="225" spans="1:16" x14ac:dyDescent="0.25">
      <c r="A225" s="3" t="s">
        <v>441</v>
      </c>
      <c r="B225" s="4" t="s">
        <v>442</v>
      </c>
      <c r="C225" s="3" t="s">
        <v>19</v>
      </c>
      <c r="D225" s="3" t="s">
        <v>19</v>
      </c>
      <c r="E225" s="3" t="s">
        <v>20</v>
      </c>
      <c r="F225" s="3" t="s">
        <v>19</v>
      </c>
      <c r="G225" s="3" t="s">
        <v>139</v>
      </c>
      <c r="H225" s="5">
        <v>1</v>
      </c>
      <c r="I225" s="3" t="s">
        <v>19</v>
      </c>
      <c r="J225" s="6">
        <v>30000</v>
      </c>
      <c r="K225" s="6">
        <v>0</v>
      </c>
      <c r="L225" s="6">
        <v>0</v>
      </c>
      <c r="M225" s="6">
        <v>0</v>
      </c>
      <c r="N225" s="3" t="s">
        <v>19</v>
      </c>
      <c r="O225" s="6">
        <v>0</v>
      </c>
      <c r="P225" s="6">
        <f>J225-L225</f>
        <v>30000</v>
      </c>
    </row>
    <row r="226" spans="1:16" x14ac:dyDescent="0.25">
      <c r="A226" s="3" t="s">
        <v>441</v>
      </c>
      <c r="B226" s="4" t="s">
        <v>442</v>
      </c>
      <c r="C226" s="3" t="s">
        <v>19</v>
      </c>
      <c r="D226" s="3" t="s">
        <v>19</v>
      </c>
      <c r="E226" s="3" t="s">
        <v>20</v>
      </c>
      <c r="F226" s="3" t="s">
        <v>19</v>
      </c>
      <c r="G226" s="3" t="s">
        <v>153</v>
      </c>
      <c r="H226" s="5">
        <v>1</v>
      </c>
      <c r="I226" s="3" t="s">
        <v>19</v>
      </c>
      <c r="J226" s="6">
        <v>35000</v>
      </c>
      <c r="K226" s="6">
        <v>0</v>
      </c>
      <c r="L226" s="6">
        <v>0</v>
      </c>
      <c r="M226" s="6">
        <v>0</v>
      </c>
      <c r="N226" s="3" t="s">
        <v>19</v>
      </c>
      <c r="O226" s="6">
        <v>0</v>
      </c>
      <c r="P226" s="6">
        <f>J226-L226</f>
        <v>35000</v>
      </c>
    </row>
    <row r="227" spans="1:16" x14ac:dyDescent="0.25">
      <c r="A227" s="3" t="s">
        <v>443</v>
      </c>
      <c r="B227" s="4" t="s">
        <v>444</v>
      </c>
      <c r="C227" s="3" t="s">
        <v>19</v>
      </c>
      <c r="D227" s="3" t="s">
        <v>19</v>
      </c>
      <c r="E227" s="3" t="s">
        <v>20</v>
      </c>
      <c r="F227" s="3" t="s">
        <v>19</v>
      </c>
      <c r="G227" s="3" t="s">
        <v>139</v>
      </c>
      <c r="H227" s="5">
        <v>1</v>
      </c>
      <c r="I227" s="3" t="s">
        <v>19</v>
      </c>
      <c r="J227" s="6">
        <v>30000</v>
      </c>
      <c r="K227" s="6">
        <v>0</v>
      </c>
      <c r="L227" s="6">
        <v>0</v>
      </c>
      <c r="M227" s="6">
        <v>0</v>
      </c>
      <c r="N227" s="3" t="s">
        <v>19</v>
      </c>
      <c r="O227" s="6">
        <v>0</v>
      </c>
      <c r="P227" s="6">
        <f>J227-L227</f>
        <v>30000</v>
      </c>
    </row>
    <row r="228" spans="1:16" x14ac:dyDescent="0.25">
      <c r="A228" s="3" t="s">
        <v>445</v>
      </c>
      <c r="B228" s="4" t="s">
        <v>446</v>
      </c>
      <c r="C228" s="3" t="s">
        <v>19</v>
      </c>
      <c r="D228" s="3" t="s">
        <v>19</v>
      </c>
      <c r="E228" s="3" t="s">
        <v>20</v>
      </c>
      <c r="F228" s="3" t="s">
        <v>19</v>
      </c>
      <c r="G228" s="3" t="s">
        <v>139</v>
      </c>
      <c r="H228" s="5">
        <v>1</v>
      </c>
      <c r="I228" s="3" t="s">
        <v>19</v>
      </c>
      <c r="J228" s="6">
        <v>30000</v>
      </c>
      <c r="K228" s="6">
        <v>0</v>
      </c>
      <c r="L228" s="6">
        <v>0</v>
      </c>
      <c r="M228" s="6">
        <v>0</v>
      </c>
      <c r="N228" s="3" t="s">
        <v>19</v>
      </c>
      <c r="O228" s="6">
        <v>0</v>
      </c>
      <c r="P228" s="6">
        <f>J228-L228</f>
        <v>30000</v>
      </c>
    </row>
    <row r="229" spans="1:16" x14ac:dyDescent="0.25">
      <c r="A229" s="3" t="s">
        <v>445</v>
      </c>
      <c r="B229" s="4" t="s">
        <v>446</v>
      </c>
      <c r="C229" s="3" t="s">
        <v>19</v>
      </c>
      <c r="D229" s="3" t="s">
        <v>19</v>
      </c>
      <c r="E229" s="3" t="s">
        <v>20</v>
      </c>
      <c r="F229" s="3" t="s">
        <v>19</v>
      </c>
      <c r="G229" s="3" t="s">
        <v>153</v>
      </c>
      <c r="H229" s="5">
        <v>1</v>
      </c>
      <c r="I229" s="3" t="s">
        <v>19</v>
      </c>
      <c r="J229" s="6">
        <v>35000</v>
      </c>
      <c r="K229" s="6">
        <v>0</v>
      </c>
      <c r="L229" s="6">
        <v>0</v>
      </c>
      <c r="M229" s="6">
        <v>0</v>
      </c>
      <c r="N229" s="3" t="s">
        <v>19</v>
      </c>
      <c r="O229" s="6">
        <v>0</v>
      </c>
      <c r="P229" s="6">
        <f>J229-L229</f>
        <v>35000</v>
      </c>
    </row>
    <row r="230" spans="1:16" x14ac:dyDescent="0.25">
      <c r="A230" s="3" t="s">
        <v>447</v>
      </c>
      <c r="B230" s="4" t="s">
        <v>448</v>
      </c>
      <c r="C230" s="3" t="s">
        <v>19</v>
      </c>
      <c r="D230" s="3" t="s">
        <v>19</v>
      </c>
      <c r="E230" s="3" t="s">
        <v>20</v>
      </c>
      <c r="F230" s="3" t="s">
        <v>19</v>
      </c>
      <c r="G230" s="3" t="s">
        <v>338</v>
      </c>
      <c r="H230" s="5">
        <v>1</v>
      </c>
      <c r="I230" s="3" t="s">
        <v>19</v>
      </c>
      <c r="J230" s="6">
        <v>35000</v>
      </c>
      <c r="K230" s="6">
        <v>0</v>
      </c>
      <c r="L230" s="6">
        <v>0</v>
      </c>
      <c r="M230" s="6">
        <v>0</v>
      </c>
      <c r="N230" s="3" t="s">
        <v>19</v>
      </c>
      <c r="O230" s="6">
        <v>0</v>
      </c>
      <c r="P230" s="6">
        <f>J230-L230</f>
        <v>35000</v>
      </c>
    </row>
    <row r="231" spans="1:16" x14ac:dyDescent="0.25">
      <c r="A231" s="3" t="s">
        <v>449</v>
      </c>
      <c r="B231" s="4" t="s">
        <v>450</v>
      </c>
      <c r="C231" s="3" t="s">
        <v>19</v>
      </c>
      <c r="D231" s="3" t="s">
        <v>19</v>
      </c>
      <c r="E231" s="3" t="s">
        <v>20</v>
      </c>
      <c r="F231" s="3" t="s">
        <v>19</v>
      </c>
      <c r="G231" s="3" t="s">
        <v>140</v>
      </c>
      <c r="H231" s="5">
        <v>1</v>
      </c>
      <c r="I231" s="3" t="s">
        <v>19</v>
      </c>
      <c r="J231" s="6">
        <v>28000</v>
      </c>
      <c r="K231" s="6">
        <v>0</v>
      </c>
      <c r="L231" s="6">
        <v>0</v>
      </c>
      <c r="M231" s="6">
        <v>0</v>
      </c>
      <c r="N231" s="3" t="s">
        <v>19</v>
      </c>
      <c r="O231" s="6">
        <v>0</v>
      </c>
      <c r="P231" s="6">
        <f>J231-L231</f>
        <v>28000</v>
      </c>
    </row>
    <row r="232" spans="1:16" x14ac:dyDescent="0.25">
      <c r="A232" s="3" t="s">
        <v>451</v>
      </c>
      <c r="B232" s="4" t="s">
        <v>452</v>
      </c>
      <c r="C232" s="3" t="s">
        <v>19</v>
      </c>
      <c r="D232" s="3" t="s">
        <v>19</v>
      </c>
      <c r="E232" s="3" t="s">
        <v>20</v>
      </c>
      <c r="F232" s="3" t="s">
        <v>19</v>
      </c>
      <c r="G232" s="3" t="s">
        <v>140</v>
      </c>
      <c r="H232" s="5">
        <v>1</v>
      </c>
      <c r="I232" s="3" t="s">
        <v>19</v>
      </c>
      <c r="J232" s="6">
        <v>28000</v>
      </c>
      <c r="K232" s="6">
        <v>0</v>
      </c>
      <c r="L232" s="6">
        <v>0</v>
      </c>
      <c r="M232" s="6">
        <v>0</v>
      </c>
      <c r="N232" s="3" t="s">
        <v>19</v>
      </c>
      <c r="O232" s="6">
        <v>0</v>
      </c>
      <c r="P232" s="6">
        <f>J232-L232</f>
        <v>28000</v>
      </c>
    </row>
    <row r="233" spans="1:16" x14ac:dyDescent="0.25">
      <c r="A233" s="3" t="s">
        <v>453</v>
      </c>
      <c r="B233" s="4" t="s">
        <v>454</v>
      </c>
      <c r="C233" s="3" t="s">
        <v>19</v>
      </c>
      <c r="D233" s="3" t="s">
        <v>19</v>
      </c>
      <c r="E233" s="3" t="s">
        <v>20</v>
      </c>
      <c r="F233" s="3" t="s">
        <v>19</v>
      </c>
      <c r="G233" s="3" t="s">
        <v>140</v>
      </c>
      <c r="H233" s="5">
        <v>2</v>
      </c>
      <c r="I233" s="3" t="s">
        <v>19</v>
      </c>
      <c r="J233" s="6">
        <v>56000</v>
      </c>
      <c r="K233" s="6">
        <v>0</v>
      </c>
      <c r="L233" s="6">
        <v>0</v>
      </c>
      <c r="M233" s="6">
        <v>0</v>
      </c>
      <c r="N233" s="3" t="s">
        <v>19</v>
      </c>
      <c r="O233" s="6">
        <v>0</v>
      </c>
      <c r="P233" s="6">
        <f>J233-L233</f>
        <v>56000</v>
      </c>
    </row>
    <row r="234" spans="1:16" x14ac:dyDescent="0.25">
      <c r="A234" s="3" t="s">
        <v>455</v>
      </c>
      <c r="B234" s="4" t="s">
        <v>456</v>
      </c>
      <c r="C234" s="3" t="s">
        <v>19</v>
      </c>
      <c r="D234" s="3" t="s">
        <v>19</v>
      </c>
      <c r="E234" s="3" t="s">
        <v>20</v>
      </c>
      <c r="F234" s="3" t="s">
        <v>19</v>
      </c>
      <c r="G234" s="3" t="s">
        <v>249</v>
      </c>
      <c r="H234" s="5">
        <v>1</v>
      </c>
      <c r="I234" s="3" t="s">
        <v>19</v>
      </c>
      <c r="J234" s="6">
        <v>25000</v>
      </c>
      <c r="K234" s="6">
        <v>0</v>
      </c>
      <c r="L234" s="6">
        <v>0</v>
      </c>
      <c r="M234" s="6">
        <v>0</v>
      </c>
      <c r="N234" s="3" t="s">
        <v>19</v>
      </c>
      <c r="O234" s="6">
        <v>0</v>
      </c>
      <c r="P234" s="6">
        <f>J234-L234</f>
        <v>25000</v>
      </c>
    </row>
    <row r="235" spans="1:16" x14ac:dyDescent="0.25">
      <c r="A235" s="3" t="s">
        <v>455</v>
      </c>
      <c r="B235" s="4" t="s">
        <v>456</v>
      </c>
      <c r="C235" s="3" t="s">
        <v>19</v>
      </c>
      <c r="D235" s="3" t="s">
        <v>19</v>
      </c>
      <c r="E235" s="3" t="s">
        <v>20</v>
      </c>
      <c r="F235" s="3" t="s">
        <v>19</v>
      </c>
      <c r="G235" s="3" t="s">
        <v>140</v>
      </c>
      <c r="H235" s="5">
        <v>1</v>
      </c>
      <c r="I235" s="3" t="s">
        <v>19</v>
      </c>
      <c r="J235" s="6">
        <v>28000</v>
      </c>
      <c r="K235" s="6">
        <v>0</v>
      </c>
      <c r="L235" s="6">
        <v>0</v>
      </c>
      <c r="M235" s="6">
        <v>0</v>
      </c>
      <c r="N235" s="3" t="s">
        <v>19</v>
      </c>
      <c r="O235" s="6">
        <v>0</v>
      </c>
      <c r="P235" s="6">
        <f>J235-L235</f>
        <v>28000</v>
      </c>
    </row>
    <row r="236" spans="1:16" x14ac:dyDescent="0.25">
      <c r="A236" s="3" t="s">
        <v>457</v>
      </c>
      <c r="B236" s="4" t="s">
        <v>458</v>
      </c>
      <c r="C236" s="3" t="s">
        <v>19</v>
      </c>
      <c r="D236" s="3" t="s">
        <v>19</v>
      </c>
      <c r="E236" s="3" t="s">
        <v>20</v>
      </c>
      <c r="F236" s="3" t="s">
        <v>19</v>
      </c>
      <c r="G236" s="3" t="s">
        <v>139</v>
      </c>
      <c r="H236" s="5">
        <v>2</v>
      </c>
      <c r="I236" s="3" t="s">
        <v>19</v>
      </c>
      <c r="J236" s="6">
        <v>60000</v>
      </c>
      <c r="K236" s="6">
        <v>0</v>
      </c>
      <c r="L236" s="6">
        <v>0</v>
      </c>
      <c r="M236" s="6">
        <v>0</v>
      </c>
      <c r="N236" s="3" t="s">
        <v>19</v>
      </c>
      <c r="O236" s="6">
        <v>0</v>
      </c>
      <c r="P236" s="6">
        <f>J236-L236</f>
        <v>60000</v>
      </c>
    </row>
    <row r="237" spans="1:16" x14ac:dyDescent="0.25">
      <c r="A237" s="3" t="s">
        <v>459</v>
      </c>
      <c r="B237" s="4" t="s">
        <v>460</v>
      </c>
      <c r="C237" s="3" t="s">
        <v>19</v>
      </c>
      <c r="D237" s="3" t="s">
        <v>19</v>
      </c>
      <c r="E237" s="3" t="s">
        <v>20</v>
      </c>
      <c r="F237" s="3" t="s">
        <v>19</v>
      </c>
      <c r="G237" s="3" t="s">
        <v>139</v>
      </c>
      <c r="H237" s="5">
        <v>1</v>
      </c>
      <c r="I237" s="3" t="s">
        <v>19</v>
      </c>
      <c r="J237" s="6">
        <v>30000</v>
      </c>
      <c r="K237" s="6">
        <v>0</v>
      </c>
      <c r="L237" s="6">
        <v>0</v>
      </c>
      <c r="M237" s="6">
        <v>0</v>
      </c>
      <c r="N237" s="3" t="s">
        <v>19</v>
      </c>
      <c r="O237" s="6">
        <v>0</v>
      </c>
      <c r="P237" s="6">
        <f>J237-L237</f>
        <v>30000</v>
      </c>
    </row>
    <row r="238" spans="1:16" x14ac:dyDescent="0.25">
      <c r="A238" s="3" t="s">
        <v>461</v>
      </c>
      <c r="B238" s="4" t="s">
        <v>462</v>
      </c>
      <c r="C238" s="3" t="s">
        <v>19</v>
      </c>
      <c r="D238" s="3" t="s">
        <v>19</v>
      </c>
      <c r="E238" s="3" t="s">
        <v>20</v>
      </c>
      <c r="F238" s="3" t="s">
        <v>19</v>
      </c>
      <c r="G238" s="3" t="s">
        <v>136</v>
      </c>
      <c r="H238" s="5">
        <v>1</v>
      </c>
      <c r="I238" s="3" t="s">
        <v>19</v>
      </c>
      <c r="J238" s="6">
        <v>25000</v>
      </c>
      <c r="K238" s="6">
        <v>0</v>
      </c>
      <c r="L238" s="6">
        <v>0</v>
      </c>
      <c r="M238" s="6">
        <v>0</v>
      </c>
      <c r="N238" s="3" t="s">
        <v>19</v>
      </c>
      <c r="O238" s="6">
        <v>0</v>
      </c>
      <c r="P238" s="6">
        <f>J238-L238</f>
        <v>25000</v>
      </c>
    </row>
    <row r="239" spans="1:16" x14ac:dyDescent="0.25">
      <c r="A239" s="3" t="s">
        <v>104</v>
      </c>
      <c r="B239" s="4" t="s">
        <v>105</v>
      </c>
      <c r="C239" s="3" t="s">
        <v>19</v>
      </c>
      <c r="D239" s="3" t="s">
        <v>19</v>
      </c>
      <c r="E239" s="3" t="s">
        <v>20</v>
      </c>
      <c r="F239" s="3" t="s">
        <v>19</v>
      </c>
      <c r="G239" s="3" t="s">
        <v>170</v>
      </c>
      <c r="H239" s="5">
        <v>1</v>
      </c>
      <c r="I239" s="3" t="s">
        <v>19</v>
      </c>
      <c r="J239" s="6">
        <v>40000</v>
      </c>
      <c r="K239" s="6">
        <v>0</v>
      </c>
      <c r="L239" s="6">
        <v>0</v>
      </c>
      <c r="M239" s="6">
        <v>0</v>
      </c>
      <c r="N239" s="3" t="s">
        <v>19</v>
      </c>
      <c r="O239" s="6">
        <v>0</v>
      </c>
      <c r="P239" s="6">
        <f>J239-L239</f>
        <v>40000</v>
      </c>
    </row>
    <row r="240" spans="1:16" x14ac:dyDescent="0.25">
      <c r="A240" s="3" t="s">
        <v>463</v>
      </c>
      <c r="B240" s="4" t="s">
        <v>464</v>
      </c>
      <c r="C240" s="3" t="s">
        <v>19</v>
      </c>
      <c r="D240" s="3" t="s">
        <v>19</v>
      </c>
      <c r="E240" s="3" t="s">
        <v>20</v>
      </c>
      <c r="F240" s="3" t="s">
        <v>19</v>
      </c>
      <c r="G240" s="3" t="s">
        <v>140</v>
      </c>
      <c r="H240" s="5">
        <v>1</v>
      </c>
      <c r="I240" s="3" t="s">
        <v>19</v>
      </c>
      <c r="J240" s="6">
        <v>28000</v>
      </c>
      <c r="K240" s="6">
        <v>0</v>
      </c>
      <c r="L240" s="6">
        <v>0</v>
      </c>
      <c r="M240" s="6">
        <v>0</v>
      </c>
      <c r="N240" s="3" t="s">
        <v>19</v>
      </c>
      <c r="O240" s="6">
        <v>0</v>
      </c>
      <c r="P240" s="6">
        <f>J240-L240</f>
        <v>28000</v>
      </c>
    </row>
    <row r="241" spans="1:16" x14ac:dyDescent="0.25">
      <c r="A241" s="3" t="s">
        <v>465</v>
      </c>
      <c r="B241" s="4" t="s">
        <v>466</v>
      </c>
      <c r="C241" s="3" t="s">
        <v>19</v>
      </c>
      <c r="D241" s="3" t="s">
        <v>19</v>
      </c>
      <c r="E241" s="3" t="s">
        <v>20</v>
      </c>
      <c r="F241" s="3" t="s">
        <v>19</v>
      </c>
      <c r="G241" s="3" t="s">
        <v>338</v>
      </c>
      <c r="H241" s="5">
        <v>1</v>
      </c>
      <c r="I241" s="3" t="s">
        <v>19</v>
      </c>
      <c r="J241" s="6">
        <v>35000</v>
      </c>
      <c r="K241" s="6">
        <v>0</v>
      </c>
      <c r="L241" s="6">
        <v>0</v>
      </c>
      <c r="M241" s="6">
        <v>0</v>
      </c>
      <c r="N241" s="3" t="s">
        <v>19</v>
      </c>
      <c r="O241" s="6">
        <v>0</v>
      </c>
      <c r="P241" s="6">
        <f>J241-L241</f>
        <v>35000</v>
      </c>
    </row>
    <row r="242" spans="1:16" x14ac:dyDescent="0.25">
      <c r="A242" s="3" t="s">
        <v>467</v>
      </c>
      <c r="B242" s="4" t="s">
        <v>468</v>
      </c>
      <c r="C242" s="3" t="s">
        <v>19</v>
      </c>
      <c r="D242" s="3" t="s">
        <v>19</v>
      </c>
      <c r="E242" s="3" t="s">
        <v>20</v>
      </c>
      <c r="F242" s="3" t="s">
        <v>19</v>
      </c>
      <c r="G242" s="3" t="s">
        <v>179</v>
      </c>
      <c r="H242" s="5">
        <v>1</v>
      </c>
      <c r="I242" s="3" t="s">
        <v>19</v>
      </c>
      <c r="J242" s="6">
        <v>40000</v>
      </c>
      <c r="K242" s="6">
        <v>0</v>
      </c>
      <c r="L242" s="6">
        <v>0</v>
      </c>
      <c r="M242" s="6">
        <v>0</v>
      </c>
      <c r="N242" s="3" t="s">
        <v>19</v>
      </c>
      <c r="O242" s="6">
        <v>0</v>
      </c>
      <c r="P242" s="6">
        <f>J242-L242</f>
        <v>40000</v>
      </c>
    </row>
    <row r="243" spans="1:16" x14ac:dyDescent="0.25">
      <c r="A243" s="3" t="s">
        <v>467</v>
      </c>
      <c r="B243" s="4" t="s">
        <v>468</v>
      </c>
      <c r="C243" s="3" t="s">
        <v>19</v>
      </c>
      <c r="D243" s="3" t="s">
        <v>19</v>
      </c>
      <c r="E243" s="3" t="s">
        <v>20</v>
      </c>
      <c r="F243" s="3" t="s">
        <v>19</v>
      </c>
      <c r="G243" s="3" t="s">
        <v>139</v>
      </c>
      <c r="H243" s="5">
        <v>1</v>
      </c>
      <c r="I243" s="3" t="s">
        <v>19</v>
      </c>
      <c r="J243" s="6">
        <v>30000</v>
      </c>
      <c r="K243" s="6">
        <v>0</v>
      </c>
      <c r="L243" s="6">
        <v>0</v>
      </c>
      <c r="M243" s="6">
        <v>0</v>
      </c>
      <c r="N243" s="3" t="s">
        <v>19</v>
      </c>
      <c r="O243" s="6">
        <v>0</v>
      </c>
      <c r="P243" s="6">
        <f>J243-L243</f>
        <v>30000</v>
      </c>
    </row>
    <row r="244" spans="1:16" x14ac:dyDescent="0.25">
      <c r="A244" s="3" t="s">
        <v>469</v>
      </c>
      <c r="B244" s="4" t="s">
        <v>470</v>
      </c>
      <c r="C244" s="3" t="s">
        <v>19</v>
      </c>
      <c r="D244" s="3" t="s">
        <v>19</v>
      </c>
      <c r="E244" s="3" t="s">
        <v>20</v>
      </c>
      <c r="F244" s="3" t="s">
        <v>19</v>
      </c>
      <c r="G244" s="3" t="s">
        <v>140</v>
      </c>
      <c r="H244" s="5">
        <v>1</v>
      </c>
      <c r="I244" s="3" t="s">
        <v>19</v>
      </c>
      <c r="J244" s="6">
        <v>28000</v>
      </c>
      <c r="K244" s="6">
        <v>0</v>
      </c>
      <c r="L244" s="6">
        <v>0</v>
      </c>
      <c r="M244" s="6">
        <v>0</v>
      </c>
      <c r="N244" s="3" t="s">
        <v>19</v>
      </c>
      <c r="O244" s="6">
        <v>0</v>
      </c>
      <c r="P244" s="6">
        <f>J244-L244</f>
        <v>28000</v>
      </c>
    </row>
    <row r="245" spans="1:16" x14ac:dyDescent="0.25">
      <c r="A245" s="3" t="s">
        <v>471</v>
      </c>
      <c r="B245" s="4" t="s">
        <v>472</v>
      </c>
      <c r="C245" s="3" t="s">
        <v>19</v>
      </c>
      <c r="D245" s="3" t="s">
        <v>19</v>
      </c>
      <c r="E245" s="3" t="s">
        <v>52</v>
      </c>
      <c r="F245" s="3" t="s">
        <v>19</v>
      </c>
      <c r="G245" s="3" t="s">
        <v>139</v>
      </c>
      <c r="H245" s="5">
        <v>2</v>
      </c>
      <c r="I245" s="3" t="s">
        <v>19</v>
      </c>
      <c r="J245" s="6">
        <v>60000</v>
      </c>
      <c r="K245" s="6">
        <v>0</v>
      </c>
      <c r="L245" s="6">
        <v>0</v>
      </c>
      <c r="M245" s="6">
        <v>0</v>
      </c>
      <c r="N245" s="3" t="s">
        <v>19</v>
      </c>
      <c r="O245" s="6">
        <v>0</v>
      </c>
      <c r="P245" s="6">
        <f>J245-L245</f>
        <v>60000</v>
      </c>
    </row>
    <row r="246" spans="1:16" x14ac:dyDescent="0.25">
      <c r="A246" s="3" t="s">
        <v>473</v>
      </c>
      <c r="B246" s="4" t="s">
        <v>474</v>
      </c>
      <c r="C246" s="3" t="s">
        <v>19</v>
      </c>
      <c r="D246" s="3" t="s">
        <v>19</v>
      </c>
      <c r="E246" s="3" t="s">
        <v>52</v>
      </c>
      <c r="F246" s="3" t="s">
        <v>19</v>
      </c>
      <c r="G246" s="3" t="s">
        <v>140</v>
      </c>
      <c r="H246" s="5">
        <v>1</v>
      </c>
      <c r="I246" s="3" t="s">
        <v>19</v>
      </c>
      <c r="J246" s="6">
        <v>28000</v>
      </c>
      <c r="K246" s="6">
        <v>0</v>
      </c>
      <c r="L246" s="6">
        <v>0</v>
      </c>
      <c r="M246" s="6">
        <v>0</v>
      </c>
      <c r="N246" s="3" t="s">
        <v>19</v>
      </c>
      <c r="O246" s="6">
        <v>0</v>
      </c>
      <c r="P246" s="6">
        <f>J246-L246</f>
        <v>28000</v>
      </c>
    </row>
    <row r="247" spans="1:16" x14ac:dyDescent="0.25">
      <c r="A247" s="3" t="s">
        <v>475</v>
      </c>
      <c r="B247" s="4" t="s">
        <v>476</v>
      </c>
      <c r="C247" s="3" t="s">
        <v>19</v>
      </c>
      <c r="D247" s="3" t="s">
        <v>19</v>
      </c>
      <c r="E247" s="3" t="s">
        <v>52</v>
      </c>
      <c r="F247" s="3" t="s">
        <v>19</v>
      </c>
      <c r="G247" s="3" t="s">
        <v>338</v>
      </c>
      <c r="H247" s="5">
        <v>1</v>
      </c>
      <c r="I247" s="3" t="s">
        <v>19</v>
      </c>
      <c r="J247" s="6">
        <v>35000</v>
      </c>
      <c r="K247" s="6">
        <v>0</v>
      </c>
      <c r="L247" s="6">
        <v>0</v>
      </c>
      <c r="M247" s="6">
        <v>0</v>
      </c>
      <c r="N247" s="3" t="s">
        <v>19</v>
      </c>
      <c r="O247" s="6">
        <v>0</v>
      </c>
      <c r="P247" s="6">
        <f>J247-L247</f>
        <v>35000</v>
      </c>
    </row>
    <row r="248" ht="18" customHeight="1" spans="1:16" x14ac:dyDescent="0.25">
      <c r="A248" s="7" t="s">
        <v>34</v>
      </c>
      <c r="B248" s="7"/>
      <c r="C248" s="7"/>
      <c r="D248" s="7"/>
      <c r="E248" s="7"/>
      <c r="F248" s="7"/>
      <c r="G248" s="7"/>
      <c r="H248" s="8">
        <f>SUM(H223:H247)</f>
        <v>28</v>
      </c>
      <c r="I248" s="7"/>
      <c r="J248" s="9">
        <f>SUM(J223:J247)</f>
        <v>869000</v>
      </c>
      <c r="K248" s="9">
        <f>SUM(K223:K247)</f>
        <v>0</v>
      </c>
      <c r="L248" s="9">
        <f>SUM(L223:L247)</f>
        <v>0</v>
      </c>
      <c r="M248" s="9">
        <f>SUM(M223:M247)</f>
        <v>0</v>
      </c>
      <c r="N248" s="7"/>
      <c r="O248" s="9">
        <f>SUM(O223:O247)</f>
        <v>0</v>
      </c>
      <c r="P248" s="9">
        <f>SUM(P223:P247)</f>
        <v>869000</v>
      </c>
    </row>
    <row r="252" ht="15.75" customHeight="1" spans="1:16" x14ac:dyDescent="0.25">
      <c r="A252" s="1" t="s">
        <v>112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39.4" customHeight="1" spans="1:16" x14ac:dyDescent="0.25">
      <c r="A253" s="2" t="s">
        <v>1</v>
      </c>
      <c r="B253" s="2" t="s">
        <v>2</v>
      </c>
      <c r="C253" s="2" t="s">
        <v>3</v>
      </c>
      <c r="D253" s="2" t="s">
        <v>4</v>
      </c>
      <c r="E253" s="2" t="s">
        <v>5</v>
      </c>
      <c r="F253" s="2" t="s">
        <v>6</v>
      </c>
      <c r="G253" s="2" t="s">
        <v>7</v>
      </c>
      <c r="H253" s="2" t="s">
        <v>8</v>
      </c>
      <c r="I253" s="2" t="s">
        <v>9</v>
      </c>
      <c r="J253" s="2" t="s">
        <v>10</v>
      </c>
      <c r="K253" s="2" t="s">
        <v>11</v>
      </c>
      <c r="L253" s="2" t="s">
        <v>12</v>
      </c>
      <c r="M253" s="2" t="s">
        <v>13</v>
      </c>
      <c r="N253" s="2" t="s">
        <v>14</v>
      </c>
      <c r="O253" s="2" t="s">
        <v>15</v>
      </c>
      <c r="P253" s="2" t="s">
        <v>16</v>
      </c>
    </row>
    <row r="254" spans="1:16" x14ac:dyDescent="0.25">
      <c r="A254" s="3" t="s">
        <v>477</v>
      </c>
      <c r="B254" s="4" t="s">
        <v>478</v>
      </c>
      <c r="C254" s="3" t="s">
        <v>19</v>
      </c>
      <c r="D254" s="3" t="s">
        <v>19</v>
      </c>
      <c r="E254" s="3" t="s">
        <v>20</v>
      </c>
      <c r="F254" s="3" t="s">
        <v>19</v>
      </c>
      <c r="G254" s="3" t="s">
        <v>153</v>
      </c>
      <c r="H254" s="5">
        <v>1</v>
      </c>
      <c r="I254" s="3" t="s">
        <v>19</v>
      </c>
      <c r="J254" s="6">
        <v>35000</v>
      </c>
      <c r="K254" s="6">
        <v>0</v>
      </c>
      <c r="L254" s="6">
        <v>0</v>
      </c>
      <c r="M254" s="6">
        <v>0</v>
      </c>
      <c r="N254" s="3" t="s">
        <v>19</v>
      </c>
      <c r="O254" s="6">
        <v>0</v>
      </c>
      <c r="P254" s="6">
        <f>J254-L254</f>
        <v>35000</v>
      </c>
    </row>
    <row r="255" spans="1:16" x14ac:dyDescent="0.25">
      <c r="A255" s="3" t="s">
        <v>479</v>
      </c>
      <c r="B255" s="4" t="s">
        <v>480</v>
      </c>
      <c r="C255" s="3" t="s">
        <v>19</v>
      </c>
      <c r="D255" s="3" t="s">
        <v>19</v>
      </c>
      <c r="E255" s="3" t="s">
        <v>20</v>
      </c>
      <c r="F255" s="3" t="s">
        <v>19</v>
      </c>
      <c r="G255" s="3" t="s">
        <v>140</v>
      </c>
      <c r="H255" s="5">
        <v>1</v>
      </c>
      <c r="I255" s="3" t="s">
        <v>19</v>
      </c>
      <c r="J255" s="6">
        <v>28000</v>
      </c>
      <c r="K255" s="6">
        <v>0</v>
      </c>
      <c r="L255" s="6">
        <v>0</v>
      </c>
      <c r="M255" s="6">
        <v>0</v>
      </c>
      <c r="N255" s="3" t="s">
        <v>19</v>
      </c>
      <c r="O255" s="6">
        <v>0</v>
      </c>
      <c r="P255" s="6">
        <f>J255-L255</f>
        <v>28000</v>
      </c>
    </row>
    <row r="256" spans="1:16" x14ac:dyDescent="0.25">
      <c r="A256" s="3" t="s">
        <v>481</v>
      </c>
      <c r="B256" s="4" t="s">
        <v>482</v>
      </c>
      <c r="C256" s="3" t="s">
        <v>19</v>
      </c>
      <c r="D256" s="3" t="s">
        <v>19</v>
      </c>
      <c r="E256" s="3" t="s">
        <v>20</v>
      </c>
      <c r="F256" s="3" t="s">
        <v>19</v>
      </c>
      <c r="G256" s="3" t="s">
        <v>140</v>
      </c>
      <c r="H256" s="5">
        <v>1</v>
      </c>
      <c r="I256" s="3" t="s">
        <v>19</v>
      </c>
      <c r="J256" s="6">
        <v>28000</v>
      </c>
      <c r="K256" s="6">
        <v>0</v>
      </c>
      <c r="L256" s="6">
        <v>0</v>
      </c>
      <c r="M256" s="6">
        <v>0</v>
      </c>
      <c r="N256" s="3" t="s">
        <v>19</v>
      </c>
      <c r="O256" s="6">
        <v>0</v>
      </c>
      <c r="P256" s="6">
        <f>J256-L256</f>
        <v>28000</v>
      </c>
    </row>
    <row r="257" spans="1:16" x14ac:dyDescent="0.25">
      <c r="A257" s="3" t="s">
        <v>483</v>
      </c>
      <c r="B257" s="4" t="s">
        <v>484</v>
      </c>
      <c r="C257" s="3" t="s">
        <v>19</v>
      </c>
      <c r="D257" s="3" t="s">
        <v>19</v>
      </c>
      <c r="E257" s="3" t="s">
        <v>20</v>
      </c>
      <c r="F257" s="3" t="s">
        <v>19</v>
      </c>
      <c r="G257" s="3" t="s">
        <v>139</v>
      </c>
      <c r="H257" s="5">
        <v>1</v>
      </c>
      <c r="I257" s="3" t="s">
        <v>19</v>
      </c>
      <c r="J257" s="6">
        <v>30000</v>
      </c>
      <c r="K257" s="6">
        <v>0</v>
      </c>
      <c r="L257" s="6">
        <v>0</v>
      </c>
      <c r="M257" s="6">
        <v>0</v>
      </c>
      <c r="N257" s="3" t="s">
        <v>19</v>
      </c>
      <c r="O257" s="6">
        <v>0</v>
      </c>
      <c r="P257" s="6">
        <f>J257-L257</f>
        <v>30000</v>
      </c>
    </row>
    <row r="258" spans="1:16" x14ac:dyDescent="0.25">
      <c r="A258" s="3" t="s">
        <v>483</v>
      </c>
      <c r="B258" s="4" t="s">
        <v>484</v>
      </c>
      <c r="C258" s="3" t="s">
        <v>19</v>
      </c>
      <c r="D258" s="3" t="s">
        <v>19</v>
      </c>
      <c r="E258" s="3" t="s">
        <v>20</v>
      </c>
      <c r="F258" s="3" t="s">
        <v>19</v>
      </c>
      <c r="G258" s="3" t="s">
        <v>170</v>
      </c>
      <c r="H258" s="5">
        <v>1</v>
      </c>
      <c r="I258" s="3" t="s">
        <v>19</v>
      </c>
      <c r="J258" s="6">
        <v>40000</v>
      </c>
      <c r="K258" s="6">
        <v>0</v>
      </c>
      <c r="L258" s="6">
        <v>0</v>
      </c>
      <c r="M258" s="6">
        <v>0</v>
      </c>
      <c r="N258" s="3" t="s">
        <v>19</v>
      </c>
      <c r="O258" s="6">
        <v>0</v>
      </c>
      <c r="P258" s="6">
        <f>J258-L258</f>
        <v>40000</v>
      </c>
    </row>
    <row r="259" spans="1:16" x14ac:dyDescent="0.25">
      <c r="A259" s="3" t="s">
        <v>485</v>
      </c>
      <c r="B259" s="4" t="s">
        <v>486</v>
      </c>
      <c r="C259" s="3" t="s">
        <v>19</v>
      </c>
      <c r="D259" s="3" t="s">
        <v>19</v>
      </c>
      <c r="E259" s="3" t="s">
        <v>20</v>
      </c>
      <c r="F259" s="3" t="s">
        <v>19</v>
      </c>
      <c r="G259" s="3" t="s">
        <v>140</v>
      </c>
      <c r="H259" s="5">
        <v>1</v>
      </c>
      <c r="I259" s="3" t="s">
        <v>19</v>
      </c>
      <c r="J259" s="6">
        <v>28000</v>
      </c>
      <c r="K259" s="6">
        <v>0</v>
      </c>
      <c r="L259" s="6">
        <v>0</v>
      </c>
      <c r="M259" s="6">
        <v>0</v>
      </c>
      <c r="N259" s="3" t="s">
        <v>19</v>
      </c>
      <c r="O259" s="6">
        <v>0</v>
      </c>
      <c r="P259" s="6">
        <f>J259-L259</f>
        <v>28000</v>
      </c>
    </row>
    <row r="260" spans="1:16" x14ac:dyDescent="0.25">
      <c r="A260" s="3" t="s">
        <v>487</v>
      </c>
      <c r="B260" s="4" t="s">
        <v>488</v>
      </c>
      <c r="C260" s="3" t="s">
        <v>19</v>
      </c>
      <c r="D260" s="3" t="s">
        <v>19</v>
      </c>
      <c r="E260" s="3" t="s">
        <v>20</v>
      </c>
      <c r="F260" s="3" t="s">
        <v>19</v>
      </c>
      <c r="G260" s="3" t="s">
        <v>140</v>
      </c>
      <c r="H260" s="5">
        <v>1</v>
      </c>
      <c r="I260" s="3" t="s">
        <v>19</v>
      </c>
      <c r="J260" s="6">
        <v>38000</v>
      </c>
      <c r="K260" s="6">
        <v>0</v>
      </c>
      <c r="L260" s="6">
        <v>0</v>
      </c>
      <c r="M260" s="6">
        <v>0</v>
      </c>
      <c r="N260" s="3" t="s">
        <v>19</v>
      </c>
      <c r="O260" s="6">
        <v>0</v>
      </c>
      <c r="P260" s="6">
        <f>J260-L260</f>
        <v>38000</v>
      </c>
    </row>
    <row r="261" spans="1:16" x14ac:dyDescent="0.25">
      <c r="A261" s="3" t="s">
        <v>489</v>
      </c>
      <c r="B261" s="4" t="s">
        <v>490</v>
      </c>
      <c r="C261" s="3" t="s">
        <v>19</v>
      </c>
      <c r="D261" s="3" t="s">
        <v>19</v>
      </c>
      <c r="E261" s="3" t="s">
        <v>20</v>
      </c>
      <c r="F261" s="3" t="s">
        <v>19</v>
      </c>
      <c r="G261" s="3" t="s">
        <v>140</v>
      </c>
      <c r="H261" s="5">
        <v>1</v>
      </c>
      <c r="I261" s="3" t="s">
        <v>19</v>
      </c>
      <c r="J261" s="6">
        <v>28000</v>
      </c>
      <c r="K261" s="6">
        <v>0</v>
      </c>
      <c r="L261" s="6">
        <v>0</v>
      </c>
      <c r="M261" s="6">
        <v>0</v>
      </c>
      <c r="N261" s="3" t="s">
        <v>19</v>
      </c>
      <c r="O261" s="6">
        <v>0</v>
      </c>
      <c r="P261" s="6">
        <f>J261-L261</f>
        <v>28000</v>
      </c>
    </row>
    <row r="262" spans="1:16" x14ac:dyDescent="0.25">
      <c r="A262" s="3" t="s">
        <v>491</v>
      </c>
      <c r="B262" s="4" t="s">
        <v>492</v>
      </c>
      <c r="C262" s="3" t="s">
        <v>19</v>
      </c>
      <c r="D262" s="3" t="s">
        <v>19</v>
      </c>
      <c r="E262" s="3" t="s">
        <v>20</v>
      </c>
      <c r="F262" s="3" t="s">
        <v>19</v>
      </c>
      <c r="G262" s="3" t="s">
        <v>140</v>
      </c>
      <c r="H262" s="5">
        <v>1</v>
      </c>
      <c r="I262" s="3" t="s">
        <v>19</v>
      </c>
      <c r="J262" s="6">
        <v>28000</v>
      </c>
      <c r="K262" s="6">
        <v>0</v>
      </c>
      <c r="L262" s="6">
        <v>0</v>
      </c>
      <c r="M262" s="6">
        <v>0</v>
      </c>
      <c r="N262" s="3" t="s">
        <v>19</v>
      </c>
      <c r="O262" s="6">
        <v>0</v>
      </c>
      <c r="P262" s="6">
        <f>J262-L262</f>
        <v>28000</v>
      </c>
    </row>
    <row r="263" spans="1:16" x14ac:dyDescent="0.25">
      <c r="A263" s="3" t="s">
        <v>493</v>
      </c>
      <c r="B263" s="4" t="s">
        <v>494</v>
      </c>
      <c r="C263" s="3" t="s">
        <v>19</v>
      </c>
      <c r="D263" s="3" t="s">
        <v>19</v>
      </c>
      <c r="E263" s="3" t="s">
        <v>20</v>
      </c>
      <c r="F263" s="3" t="s">
        <v>19</v>
      </c>
      <c r="G263" s="3" t="s">
        <v>140</v>
      </c>
      <c r="H263" s="5">
        <v>1</v>
      </c>
      <c r="I263" s="3" t="s">
        <v>19</v>
      </c>
      <c r="J263" s="6">
        <v>28000</v>
      </c>
      <c r="K263" s="6">
        <v>0</v>
      </c>
      <c r="L263" s="6">
        <v>0</v>
      </c>
      <c r="M263" s="6">
        <v>0</v>
      </c>
      <c r="N263" s="3" t="s">
        <v>19</v>
      </c>
      <c r="O263" s="6">
        <v>0</v>
      </c>
      <c r="P263" s="6">
        <f>J263-L263</f>
        <v>28000</v>
      </c>
    </row>
    <row r="264" spans="1:16" x14ac:dyDescent="0.25">
      <c r="A264" s="3" t="s">
        <v>495</v>
      </c>
      <c r="B264" s="4" t="s">
        <v>496</v>
      </c>
      <c r="C264" s="3" t="s">
        <v>19</v>
      </c>
      <c r="D264" s="3" t="s">
        <v>19</v>
      </c>
      <c r="E264" s="3" t="s">
        <v>20</v>
      </c>
      <c r="F264" s="3" t="s">
        <v>19</v>
      </c>
      <c r="G264" s="3" t="s">
        <v>139</v>
      </c>
      <c r="H264" s="5">
        <v>1</v>
      </c>
      <c r="I264" s="3" t="s">
        <v>19</v>
      </c>
      <c r="J264" s="6">
        <v>30000</v>
      </c>
      <c r="K264" s="6">
        <v>0</v>
      </c>
      <c r="L264" s="6">
        <v>0</v>
      </c>
      <c r="M264" s="6">
        <v>0</v>
      </c>
      <c r="N264" s="3" t="s">
        <v>19</v>
      </c>
      <c r="O264" s="6">
        <v>0</v>
      </c>
      <c r="P264" s="6">
        <f>J264-L264</f>
        <v>30000</v>
      </c>
    </row>
    <row r="265" spans="1:16" x14ac:dyDescent="0.25">
      <c r="A265" s="3" t="s">
        <v>497</v>
      </c>
      <c r="B265" s="4" t="s">
        <v>498</v>
      </c>
      <c r="C265" s="3" t="s">
        <v>19</v>
      </c>
      <c r="D265" s="3" t="s">
        <v>19</v>
      </c>
      <c r="E265" s="3" t="s">
        <v>20</v>
      </c>
      <c r="F265" s="3" t="s">
        <v>19</v>
      </c>
      <c r="G265" s="3" t="s">
        <v>140</v>
      </c>
      <c r="H265" s="5">
        <v>2</v>
      </c>
      <c r="I265" s="3" t="s">
        <v>19</v>
      </c>
      <c r="J265" s="6">
        <v>56000</v>
      </c>
      <c r="K265" s="6">
        <v>0</v>
      </c>
      <c r="L265" s="6">
        <v>0</v>
      </c>
      <c r="M265" s="6">
        <v>0</v>
      </c>
      <c r="N265" s="3" t="s">
        <v>19</v>
      </c>
      <c r="O265" s="6">
        <v>0</v>
      </c>
      <c r="P265" s="6">
        <f>J265-L265</f>
        <v>56000</v>
      </c>
    </row>
    <row r="266" spans="1:16" x14ac:dyDescent="0.25">
      <c r="A266" s="3" t="s">
        <v>499</v>
      </c>
      <c r="B266" s="4" t="s">
        <v>500</v>
      </c>
      <c r="C266" s="3" t="s">
        <v>19</v>
      </c>
      <c r="D266" s="3" t="s">
        <v>19</v>
      </c>
      <c r="E266" s="3" t="s">
        <v>20</v>
      </c>
      <c r="F266" s="3" t="s">
        <v>19</v>
      </c>
      <c r="G266" s="3" t="s">
        <v>140</v>
      </c>
      <c r="H266" s="5">
        <v>1</v>
      </c>
      <c r="I266" s="3" t="s">
        <v>19</v>
      </c>
      <c r="J266" s="6">
        <v>28000</v>
      </c>
      <c r="K266" s="6">
        <v>0</v>
      </c>
      <c r="L266" s="6">
        <v>0</v>
      </c>
      <c r="M266" s="6">
        <v>0</v>
      </c>
      <c r="N266" s="3" t="s">
        <v>19</v>
      </c>
      <c r="O266" s="6">
        <v>0</v>
      </c>
      <c r="P266" s="6">
        <f>J266-L266</f>
        <v>28000</v>
      </c>
    </row>
    <row r="267" spans="1:16" x14ac:dyDescent="0.25">
      <c r="A267" s="3" t="s">
        <v>501</v>
      </c>
      <c r="B267" s="4" t="s">
        <v>502</v>
      </c>
      <c r="C267" s="3" t="s">
        <v>19</v>
      </c>
      <c r="D267" s="3" t="s">
        <v>19</v>
      </c>
      <c r="E267" s="3" t="s">
        <v>20</v>
      </c>
      <c r="F267" s="3" t="s">
        <v>19</v>
      </c>
      <c r="G267" s="3" t="s">
        <v>140</v>
      </c>
      <c r="H267" s="5">
        <v>1</v>
      </c>
      <c r="I267" s="3" t="s">
        <v>19</v>
      </c>
      <c r="J267" s="6">
        <v>28000</v>
      </c>
      <c r="K267" s="6">
        <v>0</v>
      </c>
      <c r="L267" s="6">
        <v>0</v>
      </c>
      <c r="M267" s="6">
        <v>0</v>
      </c>
      <c r="N267" s="3" t="s">
        <v>19</v>
      </c>
      <c r="O267" s="6">
        <v>0</v>
      </c>
      <c r="P267" s="6">
        <f>J267-L267</f>
        <v>28000</v>
      </c>
    </row>
    <row r="268" spans="1:16" x14ac:dyDescent="0.25">
      <c r="A268" s="3" t="s">
        <v>501</v>
      </c>
      <c r="B268" s="4" t="s">
        <v>502</v>
      </c>
      <c r="C268" s="3" t="s">
        <v>19</v>
      </c>
      <c r="D268" s="3" t="s">
        <v>19</v>
      </c>
      <c r="E268" s="3" t="s">
        <v>20</v>
      </c>
      <c r="F268" s="3" t="s">
        <v>19</v>
      </c>
      <c r="G268" s="3" t="s">
        <v>139</v>
      </c>
      <c r="H268" s="5">
        <v>1</v>
      </c>
      <c r="I268" s="3" t="s">
        <v>19</v>
      </c>
      <c r="J268" s="6">
        <v>30000</v>
      </c>
      <c r="K268" s="6">
        <v>0</v>
      </c>
      <c r="L268" s="6">
        <v>0</v>
      </c>
      <c r="M268" s="6">
        <v>0</v>
      </c>
      <c r="N268" s="3" t="s">
        <v>19</v>
      </c>
      <c r="O268" s="6">
        <v>0</v>
      </c>
      <c r="P268" s="6">
        <f>J268-L268</f>
        <v>30000</v>
      </c>
    </row>
    <row r="269" spans="1:16" x14ac:dyDescent="0.25">
      <c r="A269" s="3" t="s">
        <v>503</v>
      </c>
      <c r="B269" s="4" t="s">
        <v>504</v>
      </c>
      <c r="C269" s="3" t="s">
        <v>19</v>
      </c>
      <c r="D269" s="3" t="s">
        <v>19</v>
      </c>
      <c r="E269" s="3" t="s">
        <v>20</v>
      </c>
      <c r="F269" s="3" t="s">
        <v>19</v>
      </c>
      <c r="G269" s="3" t="s">
        <v>153</v>
      </c>
      <c r="H269" s="5">
        <v>1</v>
      </c>
      <c r="I269" s="3" t="s">
        <v>19</v>
      </c>
      <c r="J269" s="6">
        <v>35000</v>
      </c>
      <c r="K269" s="6">
        <v>0</v>
      </c>
      <c r="L269" s="6">
        <v>0</v>
      </c>
      <c r="M269" s="6">
        <v>0</v>
      </c>
      <c r="N269" s="3" t="s">
        <v>19</v>
      </c>
      <c r="O269" s="6">
        <v>0</v>
      </c>
      <c r="P269" s="6">
        <f>J269-L269</f>
        <v>35000</v>
      </c>
    </row>
    <row r="270" spans="1:16" x14ac:dyDescent="0.25">
      <c r="A270" s="3" t="s">
        <v>505</v>
      </c>
      <c r="B270" s="4" t="s">
        <v>506</v>
      </c>
      <c r="C270" s="3" t="s">
        <v>19</v>
      </c>
      <c r="D270" s="3" t="s">
        <v>19</v>
      </c>
      <c r="E270" s="3" t="s">
        <v>20</v>
      </c>
      <c r="F270" s="3" t="s">
        <v>19</v>
      </c>
      <c r="G270" s="3" t="s">
        <v>338</v>
      </c>
      <c r="H270" s="5">
        <v>1</v>
      </c>
      <c r="I270" s="3" t="s">
        <v>19</v>
      </c>
      <c r="J270" s="6">
        <v>35000</v>
      </c>
      <c r="K270" s="6">
        <v>0</v>
      </c>
      <c r="L270" s="6">
        <v>0</v>
      </c>
      <c r="M270" s="6">
        <v>0</v>
      </c>
      <c r="N270" s="3" t="s">
        <v>19</v>
      </c>
      <c r="O270" s="6">
        <v>0</v>
      </c>
      <c r="P270" s="6">
        <f>J270-L270</f>
        <v>35000</v>
      </c>
    </row>
    <row r="271" spans="1:16" x14ac:dyDescent="0.25">
      <c r="A271" s="3" t="s">
        <v>507</v>
      </c>
      <c r="B271" s="4" t="s">
        <v>508</v>
      </c>
      <c r="C271" s="3" t="s">
        <v>19</v>
      </c>
      <c r="D271" s="3" t="s">
        <v>19</v>
      </c>
      <c r="E271" s="3" t="s">
        <v>20</v>
      </c>
      <c r="F271" s="3" t="s">
        <v>19</v>
      </c>
      <c r="G271" s="3" t="s">
        <v>338</v>
      </c>
      <c r="H271" s="5">
        <v>1</v>
      </c>
      <c r="I271" s="3" t="s">
        <v>19</v>
      </c>
      <c r="J271" s="6">
        <v>35000</v>
      </c>
      <c r="K271" s="6">
        <v>0</v>
      </c>
      <c r="L271" s="6">
        <v>0</v>
      </c>
      <c r="M271" s="6">
        <v>0</v>
      </c>
      <c r="N271" s="3" t="s">
        <v>19</v>
      </c>
      <c r="O271" s="6">
        <v>0</v>
      </c>
      <c r="P271" s="6">
        <f>J271-L271</f>
        <v>35000</v>
      </c>
    </row>
    <row r="272" spans="1:16" x14ac:dyDescent="0.25">
      <c r="A272" s="3" t="s">
        <v>509</v>
      </c>
      <c r="B272" s="4" t="s">
        <v>510</v>
      </c>
      <c r="C272" s="3" t="s">
        <v>19</v>
      </c>
      <c r="D272" s="3" t="s">
        <v>19</v>
      </c>
      <c r="E272" s="3" t="s">
        <v>20</v>
      </c>
      <c r="F272" s="3" t="s">
        <v>19</v>
      </c>
      <c r="G272" s="3" t="s">
        <v>338</v>
      </c>
      <c r="H272" s="5">
        <v>1</v>
      </c>
      <c r="I272" s="3" t="s">
        <v>19</v>
      </c>
      <c r="J272" s="6">
        <v>35000</v>
      </c>
      <c r="K272" s="6">
        <v>0</v>
      </c>
      <c r="L272" s="6">
        <v>0</v>
      </c>
      <c r="M272" s="6">
        <v>0</v>
      </c>
      <c r="N272" s="3" t="s">
        <v>19</v>
      </c>
      <c r="O272" s="6">
        <v>0</v>
      </c>
      <c r="P272" s="6">
        <f>J272-L272</f>
        <v>35000</v>
      </c>
    </row>
    <row r="273" spans="1:16" x14ac:dyDescent="0.25">
      <c r="A273" s="3" t="s">
        <v>509</v>
      </c>
      <c r="B273" s="4" t="s">
        <v>510</v>
      </c>
      <c r="C273" s="3" t="s">
        <v>19</v>
      </c>
      <c r="D273" s="3" t="s">
        <v>19</v>
      </c>
      <c r="E273" s="3" t="s">
        <v>20</v>
      </c>
      <c r="F273" s="3" t="s">
        <v>19</v>
      </c>
      <c r="G273" s="3" t="s">
        <v>143</v>
      </c>
      <c r="H273" s="5">
        <v>1</v>
      </c>
      <c r="I273" s="3" t="s">
        <v>19</v>
      </c>
      <c r="J273" s="6">
        <v>30000</v>
      </c>
      <c r="K273" s="6">
        <v>0</v>
      </c>
      <c r="L273" s="6">
        <v>0</v>
      </c>
      <c r="M273" s="6">
        <v>0</v>
      </c>
      <c r="N273" s="3" t="s">
        <v>19</v>
      </c>
      <c r="O273" s="6">
        <v>0</v>
      </c>
      <c r="P273" s="6">
        <f>J273-L273</f>
        <v>30000</v>
      </c>
    </row>
    <row r="274" spans="1:16" x14ac:dyDescent="0.25">
      <c r="A274" s="3" t="s">
        <v>509</v>
      </c>
      <c r="B274" s="4" t="s">
        <v>510</v>
      </c>
      <c r="C274" s="3" t="s">
        <v>19</v>
      </c>
      <c r="D274" s="3" t="s">
        <v>19</v>
      </c>
      <c r="E274" s="3" t="s">
        <v>20</v>
      </c>
      <c r="F274" s="3" t="s">
        <v>19</v>
      </c>
      <c r="G274" s="3" t="s">
        <v>150</v>
      </c>
      <c r="H274" s="5">
        <v>2</v>
      </c>
      <c r="I274" s="3" t="s">
        <v>19</v>
      </c>
      <c r="J274" s="6">
        <v>50000</v>
      </c>
      <c r="K274" s="6">
        <v>0</v>
      </c>
      <c r="L274" s="6">
        <v>0</v>
      </c>
      <c r="M274" s="6">
        <v>0</v>
      </c>
      <c r="N274" s="3" t="s">
        <v>19</v>
      </c>
      <c r="O274" s="6">
        <v>0</v>
      </c>
      <c r="P274" s="6">
        <f>J274-L274</f>
        <v>50000</v>
      </c>
    </row>
    <row r="275" spans="1:16" x14ac:dyDescent="0.25">
      <c r="A275" s="3" t="s">
        <v>509</v>
      </c>
      <c r="B275" s="4" t="s">
        <v>510</v>
      </c>
      <c r="C275" s="3" t="s">
        <v>19</v>
      </c>
      <c r="D275" s="3" t="s">
        <v>19</v>
      </c>
      <c r="E275" s="3" t="s">
        <v>20</v>
      </c>
      <c r="F275" s="3" t="s">
        <v>19</v>
      </c>
      <c r="G275" s="3" t="s">
        <v>278</v>
      </c>
      <c r="H275" s="5">
        <v>2</v>
      </c>
      <c r="I275" s="3" t="s">
        <v>19</v>
      </c>
      <c r="J275" s="6">
        <v>70000</v>
      </c>
      <c r="K275" s="6">
        <v>0</v>
      </c>
      <c r="L275" s="6">
        <v>0</v>
      </c>
      <c r="M275" s="6">
        <v>0</v>
      </c>
      <c r="N275" s="3" t="s">
        <v>19</v>
      </c>
      <c r="O275" s="6">
        <v>0</v>
      </c>
      <c r="P275" s="6">
        <f>J275-L275</f>
        <v>70000</v>
      </c>
    </row>
    <row r="276" spans="1:16" x14ac:dyDescent="0.25">
      <c r="A276" s="3" t="s">
        <v>511</v>
      </c>
      <c r="B276" s="4" t="s">
        <v>512</v>
      </c>
      <c r="C276" s="3" t="s">
        <v>19</v>
      </c>
      <c r="D276" s="3" t="s">
        <v>19</v>
      </c>
      <c r="E276" s="3" t="s">
        <v>25</v>
      </c>
      <c r="F276" s="3" t="s">
        <v>19</v>
      </c>
      <c r="G276" s="3" t="s">
        <v>338</v>
      </c>
      <c r="H276" s="5">
        <v>1</v>
      </c>
      <c r="I276" s="3" t="s">
        <v>19</v>
      </c>
      <c r="J276" s="6">
        <v>35000</v>
      </c>
      <c r="K276" s="6">
        <v>0</v>
      </c>
      <c r="L276" s="6">
        <v>0</v>
      </c>
      <c r="M276" s="6">
        <v>0</v>
      </c>
      <c r="N276" s="3" t="s">
        <v>19</v>
      </c>
      <c r="O276" s="6">
        <v>0</v>
      </c>
      <c r="P276" s="6">
        <f>J276-L276</f>
        <v>35000</v>
      </c>
    </row>
    <row r="277" spans="1:16" x14ac:dyDescent="0.25">
      <c r="A277" s="3" t="s">
        <v>513</v>
      </c>
      <c r="B277" s="4" t="s">
        <v>514</v>
      </c>
      <c r="C277" s="3" t="s">
        <v>19</v>
      </c>
      <c r="D277" s="3" t="s">
        <v>19</v>
      </c>
      <c r="E277" s="3" t="s">
        <v>25</v>
      </c>
      <c r="F277" s="3" t="s">
        <v>19</v>
      </c>
      <c r="G277" s="3" t="s">
        <v>153</v>
      </c>
      <c r="H277" s="5">
        <v>1</v>
      </c>
      <c r="I277" s="3" t="s">
        <v>19</v>
      </c>
      <c r="J277" s="6">
        <v>35000</v>
      </c>
      <c r="K277" s="6">
        <v>0</v>
      </c>
      <c r="L277" s="6">
        <v>0</v>
      </c>
      <c r="M277" s="6">
        <v>0</v>
      </c>
      <c r="N277" s="3" t="s">
        <v>19</v>
      </c>
      <c r="O277" s="6">
        <v>0</v>
      </c>
      <c r="P277" s="6">
        <f>J277-L277</f>
        <v>35000</v>
      </c>
    </row>
    <row r="278" spans="1:16" x14ac:dyDescent="0.25">
      <c r="A278" s="3" t="s">
        <v>515</v>
      </c>
      <c r="B278" s="4" t="s">
        <v>516</v>
      </c>
      <c r="C278" s="3" t="s">
        <v>19</v>
      </c>
      <c r="D278" s="3" t="s">
        <v>19</v>
      </c>
      <c r="E278" s="3" t="s">
        <v>25</v>
      </c>
      <c r="F278" s="3" t="s">
        <v>19</v>
      </c>
      <c r="G278" s="3" t="s">
        <v>338</v>
      </c>
      <c r="H278" s="5">
        <v>1</v>
      </c>
      <c r="I278" s="3" t="s">
        <v>19</v>
      </c>
      <c r="J278" s="6">
        <v>35000</v>
      </c>
      <c r="K278" s="6">
        <v>0</v>
      </c>
      <c r="L278" s="6">
        <v>0</v>
      </c>
      <c r="M278" s="6">
        <v>0</v>
      </c>
      <c r="N278" s="3" t="s">
        <v>19</v>
      </c>
      <c r="O278" s="6">
        <v>0</v>
      </c>
      <c r="P278" s="6">
        <f>J278-L278</f>
        <v>35000</v>
      </c>
    </row>
    <row r="279" spans="1:16" x14ac:dyDescent="0.25">
      <c r="A279" s="3" t="s">
        <v>517</v>
      </c>
      <c r="B279" s="4" t="s">
        <v>518</v>
      </c>
      <c r="C279" s="3" t="s">
        <v>19</v>
      </c>
      <c r="D279" s="3" t="s">
        <v>19</v>
      </c>
      <c r="E279" s="3" t="s">
        <v>25</v>
      </c>
      <c r="F279" s="3" t="s">
        <v>19</v>
      </c>
      <c r="G279" s="3" t="s">
        <v>153</v>
      </c>
      <c r="H279" s="5">
        <v>1</v>
      </c>
      <c r="I279" s="3" t="s">
        <v>19</v>
      </c>
      <c r="J279" s="6">
        <v>35000</v>
      </c>
      <c r="K279" s="6">
        <v>0</v>
      </c>
      <c r="L279" s="6">
        <v>0</v>
      </c>
      <c r="M279" s="6">
        <v>0</v>
      </c>
      <c r="N279" s="3" t="s">
        <v>19</v>
      </c>
      <c r="O279" s="6">
        <v>0</v>
      </c>
      <c r="P279" s="6">
        <f>J279-L279</f>
        <v>35000</v>
      </c>
    </row>
    <row r="280" spans="1:16" x14ac:dyDescent="0.25">
      <c r="A280" s="3" t="s">
        <v>519</v>
      </c>
      <c r="B280" s="4" t="s">
        <v>520</v>
      </c>
      <c r="C280" s="3" t="s">
        <v>19</v>
      </c>
      <c r="D280" s="3" t="s">
        <v>19</v>
      </c>
      <c r="E280" s="3" t="s">
        <v>25</v>
      </c>
      <c r="F280" s="3" t="s">
        <v>19</v>
      </c>
      <c r="G280" s="3" t="s">
        <v>153</v>
      </c>
      <c r="H280" s="5">
        <v>1</v>
      </c>
      <c r="I280" s="3" t="s">
        <v>19</v>
      </c>
      <c r="J280" s="6">
        <v>35000</v>
      </c>
      <c r="K280" s="6">
        <v>0</v>
      </c>
      <c r="L280" s="6">
        <v>0</v>
      </c>
      <c r="M280" s="6">
        <v>0</v>
      </c>
      <c r="N280" s="3" t="s">
        <v>19</v>
      </c>
      <c r="O280" s="6">
        <v>0</v>
      </c>
      <c r="P280" s="6">
        <f>J280-L280</f>
        <v>35000</v>
      </c>
    </row>
    <row r="281" spans="1:16" x14ac:dyDescent="0.25">
      <c r="A281" s="3" t="s">
        <v>521</v>
      </c>
      <c r="B281" s="4" t="s">
        <v>522</v>
      </c>
      <c r="C281" s="3" t="s">
        <v>19</v>
      </c>
      <c r="D281" s="3" t="s">
        <v>19</v>
      </c>
      <c r="E281" s="3" t="s">
        <v>25</v>
      </c>
      <c r="F281" s="3" t="s">
        <v>19</v>
      </c>
      <c r="G281" s="3" t="s">
        <v>523</v>
      </c>
      <c r="H281" s="5">
        <v>1</v>
      </c>
      <c r="I281" s="3" t="s">
        <v>19</v>
      </c>
      <c r="J281" s="6">
        <v>40000</v>
      </c>
      <c r="K281" s="6">
        <v>0</v>
      </c>
      <c r="L281" s="6">
        <v>0</v>
      </c>
      <c r="M281" s="6">
        <v>0</v>
      </c>
      <c r="N281" s="3" t="s">
        <v>19</v>
      </c>
      <c r="O281" s="6">
        <v>0</v>
      </c>
      <c r="P281" s="6">
        <f>J281-L281</f>
        <v>40000</v>
      </c>
    </row>
    <row r="282" spans="1:16" x14ac:dyDescent="0.25">
      <c r="A282" s="3" t="s">
        <v>521</v>
      </c>
      <c r="B282" s="4" t="s">
        <v>522</v>
      </c>
      <c r="C282" s="3" t="s">
        <v>19</v>
      </c>
      <c r="D282" s="3" t="s">
        <v>19</v>
      </c>
      <c r="E282" s="3" t="s">
        <v>25</v>
      </c>
      <c r="F282" s="3" t="s">
        <v>19</v>
      </c>
      <c r="G282" s="3" t="s">
        <v>160</v>
      </c>
      <c r="H282" s="5">
        <v>2</v>
      </c>
      <c r="I282" s="3" t="s">
        <v>19</v>
      </c>
      <c r="J282" s="6">
        <v>34000</v>
      </c>
      <c r="K282" s="6">
        <v>0</v>
      </c>
      <c r="L282" s="6">
        <v>0</v>
      </c>
      <c r="M282" s="6">
        <v>0</v>
      </c>
      <c r="N282" s="3" t="s">
        <v>19</v>
      </c>
      <c r="O282" s="6">
        <v>0</v>
      </c>
      <c r="P282" s="6">
        <f>J282-L282</f>
        <v>34000</v>
      </c>
    </row>
    <row r="283" spans="1:16" x14ac:dyDescent="0.25">
      <c r="A283" s="3" t="s">
        <v>524</v>
      </c>
      <c r="B283" s="4" t="s">
        <v>525</v>
      </c>
      <c r="C283" s="3" t="s">
        <v>19</v>
      </c>
      <c r="D283" s="3" t="s">
        <v>19</v>
      </c>
      <c r="E283" s="3" t="s">
        <v>25</v>
      </c>
      <c r="F283" s="3" t="s">
        <v>19</v>
      </c>
      <c r="G283" s="3" t="s">
        <v>170</v>
      </c>
      <c r="H283" s="5">
        <v>1</v>
      </c>
      <c r="I283" s="3" t="s">
        <v>19</v>
      </c>
      <c r="J283" s="6">
        <v>40000</v>
      </c>
      <c r="K283" s="6">
        <v>0</v>
      </c>
      <c r="L283" s="6">
        <v>0</v>
      </c>
      <c r="M283" s="6">
        <v>0</v>
      </c>
      <c r="N283" s="3" t="s">
        <v>19</v>
      </c>
      <c r="O283" s="6">
        <v>0</v>
      </c>
      <c r="P283" s="6">
        <f>J283-L283</f>
        <v>40000</v>
      </c>
    </row>
    <row r="284" spans="1:16" x14ac:dyDescent="0.25">
      <c r="A284" s="3" t="s">
        <v>524</v>
      </c>
      <c r="B284" s="4" t="s">
        <v>525</v>
      </c>
      <c r="C284" s="3" t="s">
        <v>19</v>
      </c>
      <c r="D284" s="3" t="s">
        <v>19</v>
      </c>
      <c r="E284" s="3" t="s">
        <v>25</v>
      </c>
      <c r="F284" s="3" t="s">
        <v>19</v>
      </c>
      <c r="G284" s="3" t="s">
        <v>160</v>
      </c>
      <c r="H284" s="5">
        <v>1</v>
      </c>
      <c r="I284" s="3" t="s">
        <v>19</v>
      </c>
      <c r="J284" s="6">
        <v>17000</v>
      </c>
      <c r="K284" s="6">
        <v>0</v>
      </c>
      <c r="L284" s="6">
        <v>0</v>
      </c>
      <c r="M284" s="6">
        <v>0</v>
      </c>
      <c r="N284" s="3" t="s">
        <v>19</v>
      </c>
      <c r="O284" s="6">
        <v>0</v>
      </c>
      <c r="P284" s="6">
        <f>J284-L284</f>
        <v>17000</v>
      </c>
    </row>
    <row r="285" spans="1:16" x14ac:dyDescent="0.25">
      <c r="A285" s="3" t="s">
        <v>526</v>
      </c>
      <c r="B285" s="4" t="s">
        <v>527</v>
      </c>
      <c r="C285" s="3" t="s">
        <v>19</v>
      </c>
      <c r="D285" s="3" t="s">
        <v>19</v>
      </c>
      <c r="E285" s="3" t="s">
        <v>25</v>
      </c>
      <c r="F285" s="3" t="s">
        <v>19</v>
      </c>
      <c r="G285" s="3" t="s">
        <v>140</v>
      </c>
      <c r="H285" s="5">
        <v>1</v>
      </c>
      <c r="I285" s="3" t="s">
        <v>19</v>
      </c>
      <c r="J285" s="6">
        <v>28000</v>
      </c>
      <c r="K285" s="6">
        <v>0</v>
      </c>
      <c r="L285" s="6">
        <v>0</v>
      </c>
      <c r="M285" s="6">
        <v>0</v>
      </c>
      <c r="N285" s="3" t="s">
        <v>19</v>
      </c>
      <c r="O285" s="6">
        <v>0</v>
      </c>
      <c r="P285" s="6">
        <f>J285-L285</f>
        <v>28000</v>
      </c>
    </row>
    <row r="286" spans="1:16" x14ac:dyDescent="0.25">
      <c r="A286" s="3" t="s">
        <v>528</v>
      </c>
      <c r="B286" s="4" t="s">
        <v>529</v>
      </c>
      <c r="C286" s="3" t="s">
        <v>19</v>
      </c>
      <c r="D286" s="3" t="s">
        <v>19</v>
      </c>
      <c r="E286" s="3" t="s">
        <v>25</v>
      </c>
      <c r="F286" s="3" t="s">
        <v>19</v>
      </c>
      <c r="G286" s="3" t="s">
        <v>140</v>
      </c>
      <c r="H286" s="5">
        <v>1</v>
      </c>
      <c r="I286" s="3" t="s">
        <v>19</v>
      </c>
      <c r="J286" s="6">
        <v>28000</v>
      </c>
      <c r="K286" s="6">
        <v>0</v>
      </c>
      <c r="L286" s="6">
        <v>0</v>
      </c>
      <c r="M286" s="6">
        <v>0</v>
      </c>
      <c r="N286" s="3" t="s">
        <v>19</v>
      </c>
      <c r="O286" s="6">
        <v>0</v>
      </c>
      <c r="P286" s="6">
        <f>J286-L286</f>
        <v>28000</v>
      </c>
    </row>
    <row r="287" spans="1:16" x14ac:dyDescent="0.25">
      <c r="A287" s="3" t="s">
        <v>528</v>
      </c>
      <c r="B287" s="4" t="s">
        <v>529</v>
      </c>
      <c r="C287" s="3" t="s">
        <v>19</v>
      </c>
      <c r="D287" s="3" t="s">
        <v>19</v>
      </c>
      <c r="E287" s="3" t="s">
        <v>25</v>
      </c>
      <c r="F287" s="3" t="s">
        <v>19</v>
      </c>
      <c r="G287" s="3" t="s">
        <v>139</v>
      </c>
      <c r="H287" s="5">
        <v>1</v>
      </c>
      <c r="I287" s="3" t="s">
        <v>19</v>
      </c>
      <c r="J287" s="6">
        <v>30000</v>
      </c>
      <c r="K287" s="6">
        <v>0</v>
      </c>
      <c r="L287" s="6">
        <v>0</v>
      </c>
      <c r="M287" s="6">
        <v>0</v>
      </c>
      <c r="N287" s="3" t="s">
        <v>19</v>
      </c>
      <c r="O287" s="6">
        <v>0</v>
      </c>
      <c r="P287" s="6">
        <f>J287-L287</f>
        <v>30000</v>
      </c>
    </row>
    <row r="288" spans="1:16" x14ac:dyDescent="0.25">
      <c r="A288" s="3" t="s">
        <v>530</v>
      </c>
      <c r="B288" s="4" t="s">
        <v>531</v>
      </c>
      <c r="C288" s="3" t="s">
        <v>19</v>
      </c>
      <c r="D288" s="3" t="s">
        <v>19</v>
      </c>
      <c r="E288" s="3" t="s">
        <v>25</v>
      </c>
      <c r="F288" s="3" t="s">
        <v>19</v>
      </c>
      <c r="G288" s="3" t="s">
        <v>160</v>
      </c>
      <c r="H288" s="5">
        <v>1</v>
      </c>
      <c r="I288" s="3" t="s">
        <v>19</v>
      </c>
      <c r="J288" s="6">
        <v>17000</v>
      </c>
      <c r="K288" s="6">
        <v>0</v>
      </c>
      <c r="L288" s="6">
        <v>0</v>
      </c>
      <c r="M288" s="6">
        <v>0</v>
      </c>
      <c r="N288" s="3" t="s">
        <v>19</v>
      </c>
      <c r="O288" s="6">
        <v>0</v>
      </c>
      <c r="P288" s="6">
        <f>J288-L288</f>
        <v>17000</v>
      </c>
    </row>
    <row r="289" spans="1:16" x14ac:dyDescent="0.25">
      <c r="A289" s="3" t="s">
        <v>530</v>
      </c>
      <c r="B289" s="4" t="s">
        <v>531</v>
      </c>
      <c r="C289" s="3" t="s">
        <v>19</v>
      </c>
      <c r="D289" s="3" t="s">
        <v>19</v>
      </c>
      <c r="E289" s="3" t="s">
        <v>25</v>
      </c>
      <c r="F289" s="3" t="s">
        <v>19</v>
      </c>
      <c r="G289" s="3" t="s">
        <v>179</v>
      </c>
      <c r="H289" s="5">
        <v>1</v>
      </c>
      <c r="I289" s="3" t="s">
        <v>19</v>
      </c>
      <c r="J289" s="6">
        <v>40000</v>
      </c>
      <c r="K289" s="6">
        <v>0</v>
      </c>
      <c r="L289" s="6">
        <v>0</v>
      </c>
      <c r="M289" s="6">
        <v>0</v>
      </c>
      <c r="N289" s="3" t="s">
        <v>19</v>
      </c>
      <c r="O289" s="6">
        <v>0</v>
      </c>
      <c r="P289" s="6">
        <f>J289-L289</f>
        <v>40000</v>
      </c>
    </row>
    <row r="290" spans="1:16" x14ac:dyDescent="0.25">
      <c r="A290" s="3" t="s">
        <v>532</v>
      </c>
      <c r="B290" s="4" t="s">
        <v>533</v>
      </c>
      <c r="C290" s="3" t="s">
        <v>19</v>
      </c>
      <c r="D290" s="3" t="s">
        <v>19</v>
      </c>
      <c r="E290" s="3" t="s">
        <v>25</v>
      </c>
      <c r="F290" s="3" t="s">
        <v>19</v>
      </c>
      <c r="G290" s="3" t="s">
        <v>133</v>
      </c>
      <c r="H290" s="5">
        <v>1</v>
      </c>
      <c r="I290" s="3" t="s">
        <v>19</v>
      </c>
      <c r="J290" s="6">
        <v>25000</v>
      </c>
      <c r="K290" s="6">
        <v>0</v>
      </c>
      <c r="L290" s="6">
        <v>0</v>
      </c>
      <c r="M290" s="6">
        <v>0</v>
      </c>
      <c r="N290" s="3" t="s">
        <v>19</v>
      </c>
      <c r="O290" s="6">
        <v>0</v>
      </c>
      <c r="P290" s="6">
        <f>J290-L290</f>
        <v>25000</v>
      </c>
    </row>
    <row r="291" ht="18" customHeight="1" spans="1:16" x14ac:dyDescent="0.25">
      <c r="A291" s="7" t="s">
        <v>34</v>
      </c>
      <c r="B291" s="7"/>
      <c r="C291" s="7"/>
      <c r="D291" s="7"/>
      <c r="E291" s="7"/>
      <c r="F291" s="7"/>
      <c r="G291" s="7"/>
      <c r="H291" s="8">
        <f>SUM(H254:H290)</f>
        <v>41</v>
      </c>
      <c r="I291" s="7"/>
      <c r="J291" s="9">
        <f>SUM(J254:J290)</f>
        <v>1247000</v>
      </c>
      <c r="K291" s="9">
        <f>SUM(K254:K290)</f>
        <v>0</v>
      </c>
      <c r="L291" s="9">
        <f>SUM(L254:L290)</f>
        <v>0</v>
      </c>
      <c r="M291" s="9">
        <f>SUM(M254:M290)</f>
        <v>0</v>
      </c>
      <c r="N291" s="7"/>
      <c r="O291" s="9">
        <f>SUM(O254:O290)</f>
        <v>0</v>
      </c>
      <c r="P291" s="9">
        <f>SUM(P254:P290)</f>
        <v>1247000</v>
      </c>
    </row>
    <row r="295" ht="15.75" customHeight="1" spans="1:16" x14ac:dyDescent="0.25">
      <c r="A295" s="1" t="s">
        <v>124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39.4" customHeight="1" spans="1:16" x14ac:dyDescent="0.25">
      <c r="A296" s="2" t="s">
        <v>1</v>
      </c>
      <c r="B296" s="2" t="s">
        <v>2</v>
      </c>
      <c r="C296" s="2" t="s">
        <v>3</v>
      </c>
      <c r="D296" s="2" t="s">
        <v>4</v>
      </c>
      <c r="E296" s="2" t="s">
        <v>5</v>
      </c>
      <c r="F296" s="2" t="s">
        <v>6</v>
      </c>
      <c r="G296" s="2" t="s">
        <v>7</v>
      </c>
      <c r="H296" s="2" t="s">
        <v>8</v>
      </c>
      <c r="I296" s="2" t="s">
        <v>9</v>
      </c>
      <c r="J296" s="2" t="s">
        <v>10</v>
      </c>
      <c r="K296" s="2" t="s">
        <v>11</v>
      </c>
      <c r="L296" s="2" t="s">
        <v>12</v>
      </c>
      <c r="M296" s="2" t="s">
        <v>13</v>
      </c>
      <c r="N296" s="2" t="s">
        <v>14</v>
      </c>
      <c r="O296" s="2" t="s">
        <v>15</v>
      </c>
      <c r="P296" s="2" t="s">
        <v>16</v>
      </c>
    </row>
    <row r="297" spans="1:16" x14ac:dyDescent="0.25">
      <c r="A297" s="3" t="s">
        <v>534</v>
      </c>
      <c r="B297" s="4" t="s">
        <v>535</v>
      </c>
      <c r="C297" s="3" t="s">
        <v>19</v>
      </c>
      <c r="D297" s="3" t="s">
        <v>19</v>
      </c>
      <c r="E297" s="3" t="s">
        <v>20</v>
      </c>
      <c r="F297" s="3" t="s">
        <v>19</v>
      </c>
      <c r="G297" s="3" t="s">
        <v>234</v>
      </c>
      <c r="H297" s="5">
        <v>1</v>
      </c>
      <c r="I297" s="3" t="s">
        <v>19</v>
      </c>
      <c r="J297" s="6">
        <v>40000</v>
      </c>
      <c r="K297" s="6">
        <v>0</v>
      </c>
      <c r="L297" s="6">
        <v>0</v>
      </c>
      <c r="M297" s="6">
        <v>0</v>
      </c>
      <c r="N297" s="3" t="s">
        <v>19</v>
      </c>
      <c r="O297" s="6">
        <v>0</v>
      </c>
      <c r="P297" s="6">
        <f>J297-L297</f>
        <v>40000</v>
      </c>
    </row>
    <row r="298" spans="1:16" x14ac:dyDescent="0.25">
      <c r="A298" s="3" t="s">
        <v>536</v>
      </c>
      <c r="B298" s="4" t="s">
        <v>537</v>
      </c>
      <c r="C298" s="3" t="s">
        <v>19</v>
      </c>
      <c r="D298" s="3" t="s">
        <v>19</v>
      </c>
      <c r="E298" s="3" t="s">
        <v>20</v>
      </c>
      <c r="F298" s="3" t="s">
        <v>19</v>
      </c>
      <c r="G298" s="3" t="s">
        <v>140</v>
      </c>
      <c r="H298" s="5">
        <v>1</v>
      </c>
      <c r="I298" s="3" t="s">
        <v>19</v>
      </c>
      <c r="J298" s="6">
        <v>28000</v>
      </c>
      <c r="K298" s="6">
        <v>0</v>
      </c>
      <c r="L298" s="6">
        <v>0</v>
      </c>
      <c r="M298" s="6">
        <v>0</v>
      </c>
      <c r="N298" s="3" t="s">
        <v>19</v>
      </c>
      <c r="O298" s="6">
        <v>0</v>
      </c>
      <c r="P298" s="6">
        <f>J298-L298</f>
        <v>28000</v>
      </c>
    </row>
    <row r="299" spans="1:16" x14ac:dyDescent="0.25">
      <c r="A299" s="3" t="s">
        <v>538</v>
      </c>
      <c r="B299" s="4" t="s">
        <v>539</v>
      </c>
      <c r="C299" s="3" t="s">
        <v>19</v>
      </c>
      <c r="D299" s="3" t="s">
        <v>19</v>
      </c>
      <c r="E299" s="3" t="s">
        <v>20</v>
      </c>
      <c r="F299" s="3" t="s">
        <v>19</v>
      </c>
      <c r="G299" s="3" t="s">
        <v>140</v>
      </c>
      <c r="H299" s="5">
        <v>1</v>
      </c>
      <c r="I299" s="3" t="s">
        <v>19</v>
      </c>
      <c r="J299" s="6">
        <v>28000</v>
      </c>
      <c r="K299" s="6">
        <v>0</v>
      </c>
      <c r="L299" s="6">
        <v>0</v>
      </c>
      <c r="M299" s="6">
        <v>0</v>
      </c>
      <c r="N299" s="3" t="s">
        <v>19</v>
      </c>
      <c r="O299" s="6">
        <v>0</v>
      </c>
      <c r="P299" s="6">
        <f>J299-L299</f>
        <v>28000</v>
      </c>
    </row>
    <row r="300" spans="1:16" x14ac:dyDescent="0.25">
      <c r="A300" s="3" t="s">
        <v>540</v>
      </c>
      <c r="B300" s="4" t="s">
        <v>541</v>
      </c>
      <c r="C300" s="3" t="s">
        <v>19</v>
      </c>
      <c r="D300" s="3" t="s">
        <v>19</v>
      </c>
      <c r="E300" s="3" t="s">
        <v>20</v>
      </c>
      <c r="F300" s="3" t="s">
        <v>19</v>
      </c>
      <c r="G300" s="3" t="s">
        <v>179</v>
      </c>
      <c r="H300" s="5">
        <v>3</v>
      </c>
      <c r="I300" s="3" t="s">
        <v>19</v>
      </c>
      <c r="J300" s="6">
        <v>120000</v>
      </c>
      <c r="K300" s="6">
        <v>0</v>
      </c>
      <c r="L300" s="6">
        <v>0</v>
      </c>
      <c r="M300" s="6">
        <v>0</v>
      </c>
      <c r="N300" s="3" t="s">
        <v>19</v>
      </c>
      <c r="O300" s="6">
        <v>0</v>
      </c>
      <c r="P300" s="6">
        <f>J300-L300</f>
        <v>120000</v>
      </c>
    </row>
    <row r="301" spans="1:16" x14ac:dyDescent="0.25">
      <c r="A301" s="3" t="s">
        <v>540</v>
      </c>
      <c r="B301" s="4" t="s">
        <v>541</v>
      </c>
      <c r="C301" s="3" t="s">
        <v>19</v>
      </c>
      <c r="D301" s="3" t="s">
        <v>19</v>
      </c>
      <c r="E301" s="3" t="s">
        <v>20</v>
      </c>
      <c r="F301" s="3" t="s">
        <v>19</v>
      </c>
      <c r="G301" s="3" t="s">
        <v>173</v>
      </c>
      <c r="H301" s="5">
        <v>1</v>
      </c>
      <c r="I301" s="3" t="s">
        <v>19</v>
      </c>
      <c r="J301" s="6">
        <v>40000</v>
      </c>
      <c r="K301" s="6">
        <v>0</v>
      </c>
      <c r="L301" s="6">
        <v>0</v>
      </c>
      <c r="M301" s="6">
        <v>0</v>
      </c>
      <c r="N301" s="3" t="s">
        <v>19</v>
      </c>
      <c r="O301" s="6">
        <v>0</v>
      </c>
      <c r="P301" s="6">
        <f>J301-L301</f>
        <v>40000</v>
      </c>
    </row>
    <row r="302" spans="1:16" x14ac:dyDescent="0.25">
      <c r="A302" s="3" t="s">
        <v>542</v>
      </c>
      <c r="B302" s="4" t="s">
        <v>543</v>
      </c>
      <c r="C302" s="3" t="s">
        <v>19</v>
      </c>
      <c r="D302" s="3" t="s">
        <v>19</v>
      </c>
      <c r="E302" s="3" t="s">
        <v>20</v>
      </c>
      <c r="F302" s="3" t="s">
        <v>19</v>
      </c>
      <c r="G302" s="3" t="s">
        <v>140</v>
      </c>
      <c r="H302" s="5">
        <v>1</v>
      </c>
      <c r="I302" s="3" t="s">
        <v>19</v>
      </c>
      <c r="J302" s="6">
        <v>28000</v>
      </c>
      <c r="K302" s="6">
        <v>0</v>
      </c>
      <c r="L302" s="6">
        <v>0</v>
      </c>
      <c r="M302" s="6">
        <v>0</v>
      </c>
      <c r="N302" s="3" t="s">
        <v>19</v>
      </c>
      <c r="O302" s="6">
        <v>0</v>
      </c>
      <c r="P302" s="6">
        <f>J302-L302</f>
        <v>28000</v>
      </c>
    </row>
    <row r="303" spans="1:16" x14ac:dyDescent="0.25">
      <c r="A303" s="3" t="s">
        <v>544</v>
      </c>
      <c r="B303" s="4" t="s">
        <v>545</v>
      </c>
      <c r="C303" s="3" t="s">
        <v>19</v>
      </c>
      <c r="D303" s="3" t="s">
        <v>19</v>
      </c>
      <c r="E303" s="3" t="s">
        <v>52</v>
      </c>
      <c r="F303" s="3" t="s">
        <v>19</v>
      </c>
      <c r="G303" s="3" t="s">
        <v>186</v>
      </c>
      <c r="H303" s="5">
        <v>1</v>
      </c>
      <c r="I303" s="3" t="s">
        <v>19</v>
      </c>
      <c r="J303" s="6">
        <v>25000</v>
      </c>
      <c r="K303" s="6">
        <v>0</v>
      </c>
      <c r="L303" s="6">
        <v>0</v>
      </c>
      <c r="M303" s="6">
        <v>0</v>
      </c>
      <c r="N303" s="3" t="s">
        <v>19</v>
      </c>
      <c r="O303" s="6">
        <v>0</v>
      </c>
      <c r="P303" s="6">
        <f>J303-L303</f>
        <v>25000</v>
      </c>
    </row>
    <row r="304" spans="1:16" x14ac:dyDescent="0.25">
      <c r="A304" s="3" t="s">
        <v>546</v>
      </c>
      <c r="B304" s="4" t="s">
        <v>547</v>
      </c>
      <c r="C304" s="3" t="s">
        <v>19</v>
      </c>
      <c r="D304" s="3" t="s">
        <v>19</v>
      </c>
      <c r="E304" s="3" t="s">
        <v>20</v>
      </c>
      <c r="F304" s="3" t="s">
        <v>19</v>
      </c>
      <c r="G304" s="3" t="s">
        <v>160</v>
      </c>
      <c r="H304" s="5">
        <v>1</v>
      </c>
      <c r="I304" s="3" t="s">
        <v>19</v>
      </c>
      <c r="J304" s="6">
        <v>17000</v>
      </c>
      <c r="K304" s="6">
        <v>0</v>
      </c>
      <c r="L304" s="6">
        <v>0</v>
      </c>
      <c r="M304" s="6">
        <v>0</v>
      </c>
      <c r="N304" s="3" t="s">
        <v>19</v>
      </c>
      <c r="O304" s="6">
        <v>0</v>
      </c>
      <c r="P304" s="6">
        <f>J304-L304</f>
        <v>17000</v>
      </c>
    </row>
    <row r="305" spans="1:16" x14ac:dyDescent="0.25">
      <c r="A305" s="3" t="s">
        <v>548</v>
      </c>
      <c r="B305" s="4" t="s">
        <v>549</v>
      </c>
      <c r="C305" s="3" t="s">
        <v>19</v>
      </c>
      <c r="D305" s="3" t="s">
        <v>19</v>
      </c>
      <c r="E305" s="3" t="s">
        <v>20</v>
      </c>
      <c r="F305" s="3" t="s">
        <v>19</v>
      </c>
      <c r="G305" s="3" t="s">
        <v>186</v>
      </c>
      <c r="H305" s="5">
        <v>1</v>
      </c>
      <c r="I305" s="3" t="s">
        <v>19</v>
      </c>
      <c r="J305" s="6">
        <v>25000</v>
      </c>
      <c r="K305" s="6">
        <v>0</v>
      </c>
      <c r="L305" s="6">
        <v>0</v>
      </c>
      <c r="M305" s="6">
        <v>0</v>
      </c>
      <c r="N305" s="3" t="s">
        <v>19</v>
      </c>
      <c r="O305" s="6">
        <v>0</v>
      </c>
      <c r="P305" s="6">
        <f>J305-L305</f>
        <v>25000</v>
      </c>
    </row>
    <row r="306" spans="1:16" x14ac:dyDescent="0.25">
      <c r="A306" s="3" t="s">
        <v>550</v>
      </c>
      <c r="B306" s="4" t="s">
        <v>551</v>
      </c>
      <c r="C306" s="3" t="s">
        <v>19</v>
      </c>
      <c r="D306" s="3" t="s">
        <v>19</v>
      </c>
      <c r="E306" s="3" t="s">
        <v>20</v>
      </c>
      <c r="F306" s="3" t="s">
        <v>19</v>
      </c>
      <c r="G306" s="3" t="s">
        <v>140</v>
      </c>
      <c r="H306" s="5">
        <v>1</v>
      </c>
      <c r="I306" s="3" t="s">
        <v>19</v>
      </c>
      <c r="J306" s="6">
        <v>28000</v>
      </c>
      <c r="K306" s="6">
        <v>0</v>
      </c>
      <c r="L306" s="6">
        <v>0</v>
      </c>
      <c r="M306" s="6">
        <v>0</v>
      </c>
      <c r="N306" s="3" t="s">
        <v>19</v>
      </c>
      <c r="O306" s="6">
        <v>0</v>
      </c>
      <c r="P306" s="6">
        <f>J306-L306</f>
        <v>28000</v>
      </c>
    </row>
    <row r="307" spans="1:16" x14ac:dyDescent="0.25">
      <c r="A307" s="3" t="s">
        <v>552</v>
      </c>
      <c r="B307" s="4" t="s">
        <v>553</v>
      </c>
      <c r="C307" s="3" t="s">
        <v>19</v>
      </c>
      <c r="D307" s="3" t="s">
        <v>19</v>
      </c>
      <c r="E307" s="3" t="s">
        <v>20</v>
      </c>
      <c r="F307" s="3" t="s">
        <v>19</v>
      </c>
      <c r="G307" s="3" t="s">
        <v>160</v>
      </c>
      <c r="H307" s="5">
        <v>1</v>
      </c>
      <c r="I307" s="3" t="s">
        <v>19</v>
      </c>
      <c r="J307" s="6">
        <v>17000</v>
      </c>
      <c r="K307" s="6">
        <v>0</v>
      </c>
      <c r="L307" s="6">
        <v>0</v>
      </c>
      <c r="M307" s="6">
        <v>0</v>
      </c>
      <c r="N307" s="3" t="s">
        <v>19</v>
      </c>
      <c r="O307" s="6">
        <v>0</v>
      </c>
      <c r="P307" s="6">
        <f>J307-L307</f>
        <v>17000</v>
      </c>
    </row>
    <row r="308" spans="1:16" x14ac:dyDescent="0.25">
      <c r="A308" s="3" t="s">
        <v>552</v>
      </c>
      <c r="B308" s="4" t="s">
        <v>553</v>
      </c>
      <c r="C308" s="3" t="s">
        <v>19</v>
      </c>
      <c r="D308" s="3" t="s">
        <v>19</v>
      </c>
      <c r="E308" s="3" t="s">
        <v>20</v>
      </c>
      <c r="F308" s="3" t="s">
        <v>19</v>
      </c>
      <c r="G308" s="3" t="s">
        <v>140</v>
      </c>
      <c r="H308" s="5">
        <v>1</v>
      </c>
      <c r="I308" s="3" t="s">
        <v>19</v>
      </c>
      <c r="J308" s="6">
        <v>28000</v>
      </c>
      <c r="K308" s="6">
        <v>0</v>
      </c>
      <c r="L308" s="6">
        <v>0</v>
      </c>
      <c r="M308" s="6">
        <v>0</v>
      </c>
      <c r="N308" s="3" t="s">
        <v>19</v>
      </c>
      <c r="O308" s="6">
        <v>0</v>
      </c>
      <c r="P308" s="6">
        <f>J308-L308</f>
        <v>28000</v>
      </c>
    </row>
    <row r="309" spans="1:16" x14ac:dyDescent="0.25">
      <c r="A309" s="3" t="s">
        <v>554</v>
      </c>
      <c r="B309" s="4" t="s">
        <v>555</v>
      </c>
      <c r="C309" s="3" t="s">
        <v>19</v>
      </c>
      <c r="D309" s="3" t="s">
        <v>19</v>
      </c>
      <c r="E309" s="3" t="s">
        <v>20</v>
      </c>
      <c r="F309" s="3" t="s">
        <v>19</v>
      </c>
      <c r="G309" s="3" t="s">
        <v>338</v>
      </c>
      <c r="H309" s="5">
        <v>1</v>
      </c>
      <c r="I309" s="3" t="s">
        <v>19</v>
      </c>
      <c r="J309" s="6">
        <v>35000</v>
      </c>
      <c r="K309" s="6">
        <v>0</v>
      </c>
      <c r="L309" s="6">
        <v>0</v>
      </c>
      <c r="M309" s="6">
        <v>0</v>
      </c>
      <c r="N309" s="3" t="s">
        <v>19</v>
      </c>
      <c r="O309" s="6">
        <v>0</v>
      </c>
      <c r="P309" s="6">
        <f>J309-L309</f>
        <v>35000</v>
      </c>
    </row>
    <row r="310" spans="1:16" x14ac:dyDescent="0.25">
      <c r="A310" s="3" t="s">
        <v>556</v>
      </c>
      <c r="B310" s="4" t="s">
        <v>557</v>
      </c>
      <c r="C310" s="3" t="s">
        <v>19</v>
      </c>
      <c r="D310" s="3" t="s">
        <v>19</v>
      </c>
      <c r="E310" s="3" t="s">
        <v>20</v>
      </c>
      <c r="F310" s="3" t="s">
        <v>19</v>
      </c>
      <c r="G310" s="3" t="s">
        <v>139</v>
      </c>
      <c r="H310" s="5">
        <v>1</v>
      </c>
      <c r="I310" s="3" t="s">
        <v>19</v>
      </c>
      <c r="J310" s="6">
        <v>30000</v>
      </c>
      <c r="K310" s="6">
        <v>0</v>
      </c>
      <c r="L310" s="6">
        <v>0</v>
      </c>
      <c r="M310" s="6">
        <v>0</v>
      </c>
      <c r="N310" s="3" t="s">
        <v>19</v>
      </c>
      <c r="O310" s="6">
        <v>0</v>
      </c>
      <c r="P310" s="6">
        <f>J310-L310</f>
        <v>30000</v>
      </c>
    </row>
    <row r="311" spans="1:16" x14ac:dyDescent="0.25">
      <c r="A311" s="3" t="s">
        <v>558</v>
      </c>
      <c r="B311" s="4" t="s">
        <v>559</v>
      </c>
      <c r="C311" s="3" t="s">
        <v>19</v>
      </c>
      <c r="D311" s="3" t="s">
        <v>19</v>
      </c>
      <c r="E311" s="3" t="s">
        <v>20</v>
      </c>
      <c r="F311" s="3" t="s">
        <v>19</v>
      </c>
      <c r="G311" s="3" t="s">
        <v>143</v>
      </c>
      <c r="H311" s="5">
        <v>1</v>
      </c>
      <c r="I311" s="3" t="s">
        <v>19</v>
      </c>
      <c r="J311" s="6">
        <v>30000</v>
      </c>
      <c r="K311" s="6">
        <v>0</v>
      </c>
      <c r="L311" s="6">
        <v>0</v>
      </c>
      <c r="M311" s="6">
        <v>0</v>
      </c>
      <c r="N311" s="3" t="s">
        <v>19</v>
      </c>
      <c r="O311" s="6">
        <v>0</v>
      </c>
      <c r="P311" s="6">
        <f>J311-L311</f>
        <v>30000</v>
      </c>
    </row>
    <row r="312" spans="1:16" x14ac:dyDescent="0.25">
      <c r="A312" s="3" t="s">
        <v>560</v>
      </c>
      <c r="B312" s="4" t="s">
        <v>561</v>
      </c>
      <c r="C312" s="3" t="s">
        <v>19</v>
      </c>
      <c r="D312" s="3" t="s">
        <v>19</v>
      </c>
      <c r="E312" s="3" t="s">
        <v>20</v>
      </c>
      <c r="F312" s="3" t="s">
        <v>19</v>
      </c>
      <c r="G312" s="3" t="s">
        <v>179</v>
      </c>
      <c r="H312" s="5">
        <v>1</v>
      </c>
      <c r="I312" s="3" t="s">
        <v>19</v>
      </c>
      <c r="J312" s="6">
        <v>40000</v>
      </c>
      <c r="K312" s="6">
        <v>0</v>
      </c>
      <c r="L312" s="6">
        <v>0</v>
      </c>
      <c r="M312" s="6">
        <v>0</v>
      </c>
      <c r="N312" s="3" t="s">
        <v>19</v>
      </c>
      <c r="O312" s="6">
        <v>0</v>
      </c>
      <c r="P312" s="6">
        <f>J312-L312</f>
        <v>40000</v>
      </c>
    </row>
    <row r="313" spans="1:16" x14ac:dyDescent="0.25">
      <c r="A313" s="3" t="s">
        <v>562</v>
      </c>
      <c r="B313" s="4" t="s">
        <v>563</v>
      </c>
      <c r="C313" s="3" t="s">
        <v>19</v>
      </c>
      <c r="D313" s="3" t="s">
        <v>19</v>
      </c>
      <c r="E313" s="3" t="s">
        <v>20</v>
      </c>
      <c r="F313" s="3" t="s">
        <v>19</v>
      </c>
      <c r="G313" s="3" t="s">
        <v>139</v>
      </c>
      <c r="H313" s="5">
        <v>1</v>
      </c>
      <c r="I313" s="3" t="s">
        <v>19</v>
      </c>
      <c r="J313" s="6">
        <v>30000</v>
      </c>
      <c r="K313" s="6">
        <v>0</v>
      </c>
      <c r="L313" s="6">
        <v>0</v>
      </c>
      <c r="M313" s="6">
        <v>0</v>
      </c>
      <c r="N313" s="3" t="s">
        <v>19</v>
      </c>
      <c r="O313" s="6">
        <v>0</v>
      </c>
      <c r="P313" s="6">
        <f>J313-L313</f>
        <v>30000</v>
      </c>
    </row>
    <row r="314" spans="1:16" x14ac:dyDescent="0.25">
      <c r="A314" s="3" t="s">
        <v>564</v>
      </c>
      <c r="B314" s="4" t="s">
        <v>565</v>
      </c>
      <c r="C314" s="3" t="s">
        <v>19</v>
      </c>
      <c r="D314" s="3" t="s">
        <v>19</v>
      </c>
      <c r="E314" s="3" t="s">
        <v>20</v>
      </c>
      <c r="F314" s="3" t="s">
        <v>19</v>
      </c>
      <c r="G314" s="3" t="s">
        <v>139</v>
      </c>
      <c r="H314" s="5">
        <v>1</v>
      </c>
      <c r="I314" s="3" t="s">
        <v>19</v>
      </c>
      <c r="J314" s="6">
        <v>30000</v>
      </c>
      <c r="K314" s="6">
        <v>0</v>
      </c>
      <c r="L314" s="6">
        <v>0</v>
      </c>
      <c r="M314" s="6">
        <v>0</v>
      </c>
      <c r="N314" s="3" t="s">
        <v>19</v>
      </c>
      <c r="O314" s="6">
        <v>0</v>
      </c>
      <c r="P314" s="6">
        <f>J314-L314</f>
        <v>30000</v>
      </c>
    </row>
    <row r="315" spans="1:16" x14ac:dyDescent="0.25">
      <c r="A315" s="3" t="s">
        <v>564</v>
      </c>
      <c r="B315" s="4" t="s">
        <v>565</v>
      </c>
      <c r="C315" s="3" t="s">
        <v>19</v>
      </c>
      <c r="D315" s="3" t="s">
        <v>19</v>
      </c>
      <c r="E315" s="3" t="s">
        <v>20</v>
      </c>
      <c r="F315" s="3" t="s">
        <v>19</v>
      </c>
      <c r="G315" s="3" t="s">
        <v>140</v>
      </c>
      <c r="H315" s="5">
        <v>1</v>
      </c>
      <c r="I315" s="3" t="s">
        <v>19</v>
      </c>
      <c r="J315" s="6">
        <v>28000</v>
      </c>
      <c r="K315" s="6">
        <v>0</v>
      </c>
      <c r="L315" s="6">
        <v>0</v>
      </c>
      <c r="M315" s="6">
        <v>0</v>
      </c>
      <c r="N315" s="3" t="s">
        <v>19</v>
      </c>
      <c r="O315" s="6">
        <v>0</v>
      </c>
      <c r="P315" s="6">
        <f>J315-L315</f>
        <v>28000</v>
      </c>
    </row>
    <row r="316" spans="1:16" x14ac:dyDescent="0.25">
      <c r="A316" s="3" t="s">
        <v>566</v>
      </c>
      <c r="B316" s="4" t="s">
        <v>567</v>
      </c>
      <c r="C316" s="3" t="s">
        <v>19</v>
      </c>
      <c r="D316" s="3" t="s">
        <v>19</v>
      </c>
      <c r="E316" s="3" t="s">
        <v>20</v>
      </c>
      <c r="F316" s="3" t="s">
        <v>19</v>
      </c>
      <c r="G316" s="3" t="s">
        <v>140</v>
      </c>
      <c r="H316" s="5">
        <v>1</v>
      </c>
      <c r="I316" s="3" t="s">
        <v>19</v>
      </c>
      <c r="J316" s="6">
        <v>28000</v>
      </c>
      <c r="K316" s="6">
        <v>0</v>
      </c>
      <c r="L316" s="6">
        <v>0</v>
      </c>
      <c r="M316" s="6">
        <v>0</v>
      </c>
      <c r="N316" s="3" t="s">
        <v>19</v>
      </c>
      <c r="O316" s="6">
        <v>0</v>
      </c>
      <c r="P316" s="6">
        <f>J316-L316</f>
        <v>28000</v>
      </c>
    </row>
    <row r="317" spans="1:16" x14ac:dyDescent="0.25">
      <c r="A317" s="3" t="s">
        <v>568</v>
      </c>
      <c r="B317" s="4" t="s">
        <v>569</v>
      </c>
      <c r="C317" s="3" t="s">
        <v>19</v>
      </c>
      <c r="D317" s="3" t="s">
        <v>19</v>
      </c>
      <c r="E317" s="3" t="s">
        <v>20</v>
      </c>
      <c r="F317" s="3" t="s">
        <v>19</v>
      </c>
      <c r="G317" s="3" t="s">
        <v>139</v>
      </c>
      <c r="H317" s="5">
        <v>2</v>
      </c>
      <c r="I317" s="3" t="s">
        <v>19</v>
      </c>
      <c r="J317" s="6">
        <v>60000</v>
      </c>
      <c r="K317" s="6">
        <v>0</v>
      </c>
      <c r="L317" s="6">
        <v>0</v>
      </c>
      <c r="M317" s="6">
        <v>0</v>
      </c>
      <c r="N317" s="3" t="s">
        <v>19</v>
      </c>
      <c r="O317" s="6">
        <v>0</v>
      </c>
      <c r="P317" s="6">
        <f>J317-L317</f>
        <v>60000</v>
      </c>
    </row>
    <row r="318" spans="1:16" x14ac:dyDescent="0.25">
      <c r="A318" s="3" t="s">
        <v>570</v>
      </c>
      <c r="B318" s="4" t="s">
        <v>571</v>
      </c>
      <c r="C318" s="3" t="s">
        <v>19</v>
      </c>
      <c r="D318" s="3" t="s">
        <v>19</v>
      </c>
      <c r="E318" s="3" t="s">
        <v>20</v>
      </c>
      <c r="F318" s="3" t="s">
        <v>19</v>
      </c>
      <c r="G318" s="3" t="s">
        <v>153</v>
      </c>
      <c r="H318" s="5">
        <v>2</v>
      </c>
      <c r="I318" s="3" t="s">
        <v>19</v>
      </c>
      <c r="J318" s="6">
        <v>70000</v>
      </c>
      <c r="K318" s="6">
        <v>0</v>
      </c>
      <c r="L318" s="6">
        <v>0</v>
      </c>
      <c r="M318" s="6">
        <v>0</v>
      </c>
      <c r="N318" s="3" t="s">
        <v>19</v>
      </c>
      <c r="O318" s="6">
        <v>0</v>
      </c>
      <c r="P318" s="6">
        <f>J318-L318</f>
        <v>70000</v>
      </c>
    </row>
    <row r="319" spans="1:16" x14ac:dyDescent="0.25">
      <c r="A319" s="3" t="s">
        <v>572</v>
      </c>
      <c r="B319" s="4" t="s">
        <v>573</v>
      </c>
      <c r="C319" s="3" t="s">
        <v>19</v>
      </c>
      <c r="D319" s="3" t="s">
        <v>19</v>
      </c>
      <c r="E319" s="3" t="s">
        <v>20</v>
      </c>
      <c r="F319" s="3" t="s">
        <v>19</v>
      </c>
      <c r="G319" s="3" t="s">
        <v>153</v>
      </c>
      <c r="H319" s="5">
        <v>1</v>
      </c>
      <c r="I319" s="3" t="s">
        <v>19</v>
      </c>
      <c r="J319" s="6">
        <v>35000</v>
      </c>
      <c r="K319" s="6">
        <v>0</v>
      </c>
      <c r="L319" s="6">
        <v>0</v>
      </c>
      <c r="M319" s="6">
        <v>0</v>
      </c>
      <c r="N319" s="3" t="s">
        <v>19</v>
      </c>
      <c r="O319" s="6">
        <v>0</v>
      </c>
      <c r="P319" s="6">
        <f>J319-L319</f>
        <v>35000</v>
      </c>
    </row>
    <row r="320" spans="1:16" x14ac:dyDescent="0.25">
      <c r="A320" s="3" t="s">
        <v>574</v>
      </c>
      <c r="B320" s="4" t="s">
        <v>575</v>
      </c>
      <c r="C320" s="3" t="s">
        <v>19</v>
      </c>
      <c r="D320" s="3" t="s">
        <v>19</v>
      </c>
      <c r="E320" s="3" t="s">
        <v>20</v>
      </c>
      <c r="F320" s="3" t="s">
        <v>19</v>
      </c>
      <c r="G320" s="3" t="s">
        <v>140</v>
      </c>
      <c r="H320" s="5">
        <v>1</v>
      </c>
      <c r="I320" s="3" t="s">
        <v>19</v>
      </c>
      <c r="J320" s="6">
        <v>28000</v>
      </c>
      <c r="K320" s="6">
        <v>0</v>
      </c>
      <c r="L320" s="6">
        <v>0</v>
      </c>
      <c r="M320" s="6">
        <v>0</v>
      </c>
      <c r="N320" s="3" t="s">
        <v>19</v>
      </c>
      <c r="O320" s="6">
        <v>0</v>
      </c>
      <c r="P320" s="6">
        <f>J320-L320</f>
        <v>28000</v>
      </c>
    </row>
    <row r="321" spans="1:16" x14ac:dyDescent="0.25">
      <c r="A321" s="3" t="s">
        <v>574</v>
      </c>
      <c r="B321" s="4" t="s">
        <v>575</v>
      </c>
      <c r="C321" s="3" t="s">
        <v>19</v>
      </c>
      <c r="D321" s="3" t="s">
        <v>19</v>
      </c>
      <c r="E321" s="3" t="s">
        <v>20</v>
      </c>
      <c r="F321" s="3" t="s">
        <v>19</v>
      </c>
      <c r="G321" s="3" t="s">
        <v>234</v>
      </c>
      <c r="H321" s="5">
        <v>1</v>
      </c>
      <c r="I321" s="3" t="s">
        <v>19</v>
      </c>
      <c r="J321" s="6">
        <v>40000</v>
      </c>
      <c r="K321" s="6">
        <v>0</v>
      </c>
      <c r="L321" s="6">
        <v>0</v>
      </c>
      <c r="M321" s="6">
        <v>0</v>
      </c>
      <c r="N321" s="3" t="s">
        <v>19</v>
      </c>
      <c r="O321" s="6">
        <v>0</v>
      </c>
      <c r="P321" s="6">
        <f>J321-L321</f>
        <v>40000</v>
      </c>
    </row>
    <row r="322" spans="1:16" x14ac:dyDescent="0.25">
      <c r="A322" s="3" t="s">
        <v>576</v>
      </c>
      <c r="B322" s="4" t="s">
        <v>577</v>
      </c>
      <c r="C322" s="3" t="s">
        <v>19</v>
      </c>
      <c r="D322" s="3" t="s">
        <v>19</v>
      </c>
      <c r="E322" s="3" t="s">
        <v>20</v>
      </c>
      <c r="F322" s="3" t="s">
        <v>19</v>
      </c>
      <c r="G322" s="3" t="s">
        <v>136</v>
      </c>
      <c r="H322" s="5">
        <v>1</v>
      </c>
      <c r="I322" s="3" t="s">
        <v>19</v>
      </c>
      <c r="J322" s="6">
        <v>25000</v>
      </c>
      <c r="K322" s="6">
        <v>0</v>
      </c>
      <c r="L322" s="6">
        <v>0</v>
      </c>
      <c r="M322" s="6">
        <v>0</v>
      </c>
      <c r="N322" s="3" t="s">
        <v>19</v>
      </c>
      <c r="O322" s="6">
        <v>0</v>
      </c>
      <c r="P322" s="6">
        <f>J322-L322</f>
        <v>25000</v>
      </c>
    </row>
    <row r="323" spans="1:16" x14ac:dyDescent="0.25">
      <c r="A323" s="3" t="s">
        <v>578</v>
      </c>
      <c r="B323" s="4" t="s">
        <v>579</v>
      </c>
      <c r="C323" s="3" t="s">
        <v>19</v>
      </c>
      <c r="D323" s="3" t="s">
        <v>19</v>
      </c>
      <c r="E323" s="3" t="s">
        <v>20</v>
      </c>
      <c r="F323" s="3" t="s">
        <v>19</v>
      </c>
      <c r="G323" s="3" t="s">
        <v>143</v>
      </c>
      <c r="H323" s="5">
        <v>1</v>
      </c>
      <c r="I323" s="3" t="s">
        <v>19</v>
      </c>
      <c r="J323" s="6">
        <v>30000</v>
      </c>
      <c r="K323" s="6">
        <v>0</v>
      </c>
      <c r="L323" s="6">
        <v>0</v>
      </c>
      <c r="M323" s="6">
        <v>0</v>
      </c>
      <c r="N323" s="3" t="s">
        <v>19</v>
      </c>
      <c r="O323" s="6">
        <v>0</v>
      </c>
      <c r="P323" s="6">
        <f>J323-L323</f>
        <v>30000</v>
      </c>
    </row>
    <row r="324" spans="1:16" x14ac:dyDescent="0.25">
      <c r="A324" s="3" t="s">
        <v>580</v>
      </c>
      <c r="B324" s="4" t="s">
        <v>581</v>
      </c>
      <c r="C324" s="3" t="s">
        <v>19</v>
      </c>
      <c r="D324" s="3" t="s">
        <v>19</v>
      </c>
      <c r="E324" s="3" t="s">
        <v>20</v>
      </c>
      <c r="F324" s="3" t="s">
        <v>19</v>
      </c>
      <c r="G324" s="3" t="s">
        <v>140</v>
      </c>
      <c r="H324" s="5">
        <v>1</v>
      </c>
      <c r="I324" s="3" t="s">
        <v>19</v>
      </c>
      <c r="J324" s="6">
        <v>28000</v>
      </c>
      <c r="K324" s="6">
        <v>0</v>
      </c>
      <c r="L324" s="6">
        <v>0</v>
      </c>
      <c r="M324" s="6">
        <v>0</v>
      </c>
      <c r="N324" s="3" t="s">
        <v>19</v>
      </c>
      <c r="O324" s="6">
        <v>0</v>
      </c>
      <c r="P324" s="6">
        <f>J324-L324</f>
        <v>28000</v>
      </c>
    </row>
    <row r="325" spans="1:16" x14ac:dyDescent="0.25">
      <c r="A325" s="3" t="s">
        <v>582</v>
      </c>
      <c r="B325" s="4" t="s">
        <v>583</v>
      </c>
      <c r="C325" s="3" t="s">
        <v>19</v>
      </c>
      <c r="D325" s="3" t="s">
        <v>19</v>
      </c>
      <c r="E325" s="3" t="s">
        <v>20</v>
      </c>
      <c r="F325" s="3" t="s">
        <v>19</v>
      </c>
      <c r="G325" s="3" t="s">
        <v>140</v>
      </c>
      <c r="H325" s="5">
        <v>2</v>
      </c>
      <c r="I325" s="3" t="s">
        <v>19</v>
      </c>
      <c r="J325" s="6">
        <v>56000</v>
      </c>
      <c r="K325" s="6">
        <v>0</v>
      </c>
      <c r="L325" s="6">
        <v>0</v>
      </c>
      <c r="M325" s="6">
        <v>0</v>
      </c>
      <c r="N325" s="3" t="s">
        <v>19</v>
      </c>
      <c r="O325" s="6">
        <v>0</v>
      </c>
      <c r="P325" s="6">
        <f>J325-L325</f>
        <v>56000</v>
      </c>
    </row>
    <row r="326" spans="1:16" x14ac:dyDescent="0.25">
      <c r="A326" s="3" t="s">
        <v>584</v>
      </c>
      <c r="B326" s="4" t="s">
        <v>585</v>
      </c>
      <c r="C326" s="3" t="s">
        <v>19</v>
      </c>
      <c r="D326" s="3" t="s">
        <v>19</v>
      </c>
      <c r="E326" s="3" t="s">
        <v>20</v>
      </c>
      <c r="F326" s="3" t="s">
        <v>19</v>
      </c>
      <c r="G326" s="3" t="s">
        <v>153</v>
      </c>
      <c r="H326" s="5">
        <v>1</v>
      </c>
      <c r="I326" s="3" t="s">
        <v>19</v>
      </c>
      <c r="J326" s="6">
        <v>35000</v>
      </c>
      <c r="K326" s="6">
        <v>0</v>
      </c>
      <c r="L326" s="6">
        <v>0</v>
      </c>
      <c r="M326" s="6">
        <v>0</v>
      </c>
      <c r="N326" s="3" t="s">
        <v>19</v>
      </c>
      <c r="O326" s="6">
        <v>0</v>
      </c>
      <c r="P326" s="6">
        <f>J326-L326</f>
        <v>35000</v>
      </c>
    </row>
    <row r="327" spans="1:16" x14ac:dyDescent="0.25">
      <c r="A327" s="3" t="s">
        <v>586</v>
      </c>
      <c r="B327" s="4" t="s">
        <v>587</v>
      </c>
      <c r="C327" s="3" t="s">
        <v>19</v>
      </c>
      <c r="D327" s="3" t="s">
        <v>19</v>
      </c>
      <c r="E327" s="3" t="s">
        <v>20</v>
      </c>
      <c r="F327" s="3" t="s">
        <v>19</v>
      </c>
      <c r="G327" s="3" t="s">
        <v>133</v>
      </c>
      <c r="H327" s="5">
        <v>1</v>
      </c>
      <c r="I327" s="3" t="s">
        <v>19</v>
      </c>
      <c r="J327" s="6">
        <v>25000</v>
      </c>
      <c r="K327" s="6">
        <v>0</v>
      </c>
      <c r="L327" s="6">
        <v>0</v>
      </c>
      <c r="M327" s="6">
        <v>0</v>
      </c>
      <c r="N327" s="3" t="s">
        <v>19</v>
      </c>
      <c r="O327" s="6">
        <v>0</v>
      </c>
      <c r="P327" s="6">
        <f>J327-L327</f>
        <v>25000</v>
      </c>
    </row>
    <row r="328" spans="1:16" x14ac:dyDescent="0.25">
      <c r="A328" s="3" t="s">
        <v>588</v>
      </c>
      <c r="B328" s="4" t="s">
        <v>589</v>
      </c>
      <c r="C328" s="3" t="s">
        <v>19</v>
      </c>
      <c r="D328" s="3" t="s">
        <v>19</v>
      </c>
      <c r="E328" s="3" t="s">
        <v>20</v>
      </c>
      <c r="F328" s="3" t="s">
        <v>19</v>
      </c>
      <c r="G328" s="3" t="s">
        <v>139</v>
      </c>
      <c r="H328" s="5">
        <v>1</v>
      </c>
      <c r="I328" s="3" t="s">
        <v>19</v>
      </c>
      <c r="J328" s="6">
        <v>30000</v>
      </c>
      <c r="K328" s="6">
        <v>0</v>
      </c>
      <c r="L328" s="6">
        <v>0</v>
      </c>
      <c r="M328" s="6">
        <v>0</v>
      </c>
      <c r="N328" s="3" t="s">
        <v>19</v>
      </c>
      <c r="O328" s="6">
        <v>0</v>
      </c>
      <c r="P328" s="6">
        <f>J328-L328</f>
        <v>30000</v>
      </c>
    </row>
    <row r="329" spans="1:16" x14ac:dyDescent="0.25">
      <c r="A329" s="3" t="s">
        <v>588</v>
      </c>
      <c r="B329" s="4" t="s">
        <v>589</v>
      </c>
      <c r="C329" s="3" t="s">
        <v>19</v>
      </c>
      <c r="D329" s="3" t="s">
        <v>19</v>
      </c>
      <c r="E329" s="3" t="s">
        <v>20</v>
      </c>
      <c r="F329" s="3" t="s">
        <v>19</v>
      </c>
      <c r="G329" s="3" t="s">
        <v>160</v>
      </c>
      <c r="H329" s="5">
        <v>1</v>
      </c>
      <c r="I329" s="3" t="s">
        <v>19</v>
      </c>
      <c r="J329" s="6">
        <v>17000</v>
      </c>
      <c r="K329" s="6">
        <v>0</v>
      </c>
      <c r="L329" s="6">
        <v>0</v>
      </c>
      <c r="M329" s="6">
        <v>0</v>
      </c>
      <c r="N329" s="3" t="s">
        <v>19</v>
      </c>
      <c r="O329" s="6">
        <v>0</v>
      </c>
      <c r="P329" s="6">
        <f>J329-L329</f>
        <v>17000</v>
      </c>
    </row>
    <row r="330" spans="1:16" x14ac:dyDescent="0.25">
      <c r="A330" s="3" t="s">
        <v>590</v>
      </c>
      <c r="B330" s="4" t="s">
        <v>591</v>
      </c>
      <c r="C330" s="3" t="s">
        <v>19</v>
      </c>
      <c r="D330" s="3" t="s">
        <v>19</v>
      </c>
      <c r="E330" s="3" t="s">
        <v>20</v>
      </c>
      <c r="F330" s="3" t="s">
        <v>19</v>
      </c>
      <c r="G330" s="3" t="s">
        <v>140</v>
      </c>
      <c r="H330" s="5">
        <v>1</v>
      </c>
      <c r="I330" s="3" t="s">
        <v>19</v>
      </c>
      <c r="J330" s="6">
        <v>28000</v>
      </c>
      <c r="K330" s="6">
        <v>0</v>
      </c>
      <c r="L330" s="6">
        <v>0</v>
      </c>
      <c r="M330" s="6">
        <v>0</v>
      </c>
      <c r="N330" s="3" t="s">
        <v>19</v>
      </c>
      <c r="O330" s="6">
        <v>0</v>
      </c>
      <c r="P330" s="6">
        <f>J330-L330</f>
        <v>28000</v>
      </c>
    </row>
    <row r="331" spans="1:16" x14ac:dyDescent="0.25">
      <c r="A331" s="3" t="s">
        <v>592</v>
      </c>
      <c r="B331" s="4" t="s">
        <v>593</v>
      </c>
      <c r="C331" s="3" t="s">
        <v>19</v>
      </c>
      <c r="D331" s="3" t="s">
        <v>19</v>
      </c>
      <c r="E331" s="3" t="s">
        <v>20</v>
      </c>
      <c r="F331" s="3" t="s">
        <v>19</v>
      </c>
      <c r="G331" s="3" t="s">
        <v>139</v>
      </c>
      <c r="H331" s="5">
        <v>1</v>
      </c>
      <c r="I331" s="3" t="s">
        <v>19</v>
      </c>
      <c r="J331" s="6">
        <v>30000</v>
      </c>
      <c r="K331" s="6">
        <v>0</v>
      </c>
      <c r="L331" s="6">
        <v>0</v>
      </c>
      <c r="M331" s="6">
        <v>0</v>
      </c>
      <c r="N331" s="3" t="s">
        <v>19</v>
      </c>
      <c r="O331" s="6">
        <v>0</v>
      </c>
      <c r="P331" s="6">
        <f>J331-L331</f>
        <v>30000</v>
      </c>
    </row>
    <row r="332" spans="1:16" x14ac:dyDescent="0.25">
      <c r="A332" s="3" t="s">
        <v>594</v>
      </c>
      <c r="B332" s="4" t="s">
        <v>595</v>
      </c>
      <c r="C332" s="3" t="s">
        <v>19</v>
      </c>
      <c r="D332" s="3" t="s">
        <v>19</v>
      </c>
      <c r="E332" s="3" t="s">
        <v>20</v>
      </c>
      <c r="F332" s="3" t="s">
        <v>19</v>
      </c>
      <c r="G332" s="3" t="s">
        <v>249</v>
      </c>
      <c r="H332" s="5">
        <v>1</v>
      </c>
      <c r="I332" s="3" t="s">
        <v>19</v>
      </c>
      <c r="J332" s="6">
        <v>25000</v>
      </c>
      <c r="K332" s="6">
        <v>0</v>
      </c>
      <c r="L332" s="6">
        <v>0</v>
      </c>
      <c r="M332" s="6">
        <v>0</v>
      </c>
      <c r="N332" s="3" t="s">
        <v>19</v>
      </c>
      <c r="O332" s="6">
        <v>0</v>
      </c>
      <c r="P332" s="6">
        <f>J332-L332</f>
        <v>25000</v>
      </c>
    </row>
    <row r="333" spans="1:16" x14ac:dyDescent="0.25">
      <c r="A333" s="3" t="s">
        <v>596</v>
      </c>
      <c r="B333" s="4" t="s">
        <v>597</v>
      </c>
      <c r="C333" s="3" t="s">
        <v>19</v>
      </c>
      <c r="D333" s="3" t="s">
        <v>19</v>
      </c>
      <c r="E333" s="3" t="s">
        <v>20</v>
      </c>
      <c r="F333" s="3" t="s">
        <v>19</v>
      </c>
      <c r="G333" s="3" t="s">
        <v>186</v>
      </c>
      <c r="H333" s="5">
        <v>1</v>
      </c>
      <c r="I333" s="3" t="s">
        <v>19</v>
      </c>
      <c r="J333" s="6">
        <v>25000</v>
      </c>
      <c r="K333" s="6">
        <v>0</v>
      </c>
      <c r="L333" s="6">
        <v>0</v>
      </c>
      <c r="M333" s="6">
        <v>0</v>
      </c>
      <c r="N333" s="3" t="s">
        <v>19</v>
      </c>
      <c r="O333" s="6">
        <v>0</v>
      </c>
      <c r="P333" s="6">
        <f>J333-L333</f>
        <v>25000</v>
      </c>
    </row>
    <row r="334" spans="1:16" x14ac:dyDescent="0.25">
      <c r="A334" s="3" t="s">
        <v>598</v>
      </c>
      <c r="B334" s="4" t="s">
        <v>599</v>
      </c>
      <c r="C334" s="3" t="s">
        <v>19</v>
      </c>
      <c r="D334" s="3" t="s">
        <v>19</v>
      </c>
      <c r="E334" s="3" t="s">
        <v>25</v>
      </c>
      <c r="F334" s="3" t="s">
        <v>19</v>
      </c>
      <c r="G334" s="3" t="s">
        <v>186</v>
      </c>
      <c r="H334" s="5">
        <v>1</v>
      </c>
      <c r="I334" s="3" t="s">
        <v>19</v>
      </c>
      <c r="J334" s="6">
        <v>25000</v>
      </c>
      <c r="K334" s="6">
        <v>0</v>
      </c>
      <c r="L334" s="6">
        <v>0</v>
      </c>
      <c r="M334" s="6">
        <v>0</v>
      </c>
      <c r="N334" s="3" t="s">
        <v>19</v>
      </c>
      <c r="O334" s="6">
        <v>0</v>
      </c>
      <c r="P334" s="6">
        <f>J334-L334</f>
        <v>25000</v>
      </c>
    </row>
    <row r="335" spans="1:16" x14ac:dyDescent="0.25">
      <c r="A335" s="3" t="s">
        <v>600</v>
      </c>
      <c r="B335" s="4" t="s">
        <v>601</v>
      </c>
      <c r="C335" s="3" t="s">
        <v>19</v>
      </c>
      <c r="D335" s="3" t="s">
        <v>19</v>
      </c>
      <c r="E335" s="3" t="s">
        <v>25</v>
      </c>
      <c r="F335" s="3" t="s">
        <v>19</v>
      </c>
      <c r="G335" s="3" t="s">
        <v>186</v>
      </c>
      <c r="H335" s="5">
        <v>1</v>
      </c>
      <c r="I335" s="3" t="s">
        <v>19</v>
      </c>
      <c r="J335" s="6">
        <v>25000</v>
      </c>
      <c r="K335" s="6">
        <v>0</v>
      </c>
      <c r="L335" s="6">
        <v>0</v>
      </c>
      <c r="M335" s="6">
        <v>0</v>
      </c>
      <c r="N335" s="3" t="s">
        <v>19</v>
      </c>
      <c r="O335" s="6">
        <v>0</v>
      </c>
      <c r="P335" s="6">
        <f>J335-L335</f>
        <v>25000</v>
      </c>
    </row>
    <row r="336" spans="1:16" x14ac:dyDescent="0.25">
      <c r="A336" s="3" t="s">
        <v>602</v>
      </c>
      <c r="B336" s="4" t="s">
        <v>603</v>
      </c>
      <c r="C336" s="3" t="s">
        <v>19</v>
      </c>
      <c r="D336" s="3" t="s">
        <v>19</v>
      </c>
      <c r="E336" s="3" t="s">
        <v>25</v>
      </c>
      <c r="F336" s="3" t="s">
        <v>19</v>
      </c>
      <c r="G336" s="3" t="s">
        <v>186</v>
      </c>
      <c r="H336" s="5">
        <v>2</v>
      </c>
      <c r="I336" s="3" t="s">
        <v>19</v>
      </c>
      <c r="J336" s="6">
        <v>50000</v>
      </c>
      <c r="K336" s="6">
        <v>0</v>
      </c>
      <c r="L336" s="6">
        <v>0</v>
      </c>
      <c r="M336" s="6">
        <v>0</v>
      </c>
      <c r="N336" s="3" t="s">
        <v>19</v>
      </c>
      <c r="O336" s="6">
        <v>0</v>
      </c>
      <c r="P336" s="6">
        <f>J336-L336</f>
        <v>50000</v>
      </c>
    </row>
    <row r="337" spans="1:16" x14ac:dyDescent="0.25">
      <c r="A337" s="3" t="s">
        <v>604</v>
      </c>
      <c r="B337" s="4" t="s">
        <v>605</v>
      </c>
      <c r="C337" s="3" t="s">
        <v>19</v>
      </c>
      <c r="D337" s="3" t="s">
        <v>19</v>
      </c>
      <c r="E337" s="3" t="s">
        <v>25</v>
      </c>
      <c r="F337" s="3" t="s">
        <v>19</v>
      </c>
      <c r="G337" s="3" t="s">
        <v>179</v>
      </c>
      <c r="H337" s="5">
        <v>1</v>
      </c>
      <c r="I337" s="3" t="s">
        <v>19</v>
      </c>
      <c r="J337" s="6">
        <v>40000</v>
      </c>
      <c r="K337" s="6">
        <v>0</v>
      </c>
      <c r="L337" s="6">
        <v>0</v>
      </c>
      <c r="M337" s="6">
        <v>0</v>
      </c>
      <c r="N337" s="3" t="s">
        <v>19</v>
      </c>
      <c r="O337" s="6">
        <v>0</v>
      </c>
      <c r="P337" s="6">
        <f>J337-L337</f>
        <v>40000</v>
      </c>
    </row>
    <row r="338" spans="1:16" x14ac:dyDescent="0.25">
      <c r="A338" s="3" t="s">
        <v>604</v>
      </c>
      <c r="B338" s="4" t="s">
        <v>605</v>
      </c>
      <c r="C338" s="3" t="s">
        <v>19</v>
      </c>
      <c r="D338" s="3" t="s">
        <v>19</v>
      </c>
      <c r="E338" s="3" t="s">
        <v>25</v>
      </c>
      <c r="F338" s="3" t="s">
        <v>19</v>
      </c>
      <c r="G338" s="3" t="s">
        <v>249</v>
      </c>
      <c r="H338" s="5">
        <v>1</v>
      </c>
      <c r="I338" s="3" t="s">
        <v>19</v>
      </c>
      <c r="J338" s="6">
        <v>25000</v>
      </c>
      <c r="K338" s="6">
        <v>0</v>
      </c>
      <c r="L338" s="6">
        <v>0</v>
      </c>
      <c r="M338" s="6">
        <v>0</v>
      </c>
      <c r="N338" s="3" t="s">
        <v>19</v>
      </c>
      <c r="O338" s="6">
        <v>0</v>
      </c>
      <c r="P338" s="6">
        <f>J338-L338</f>
        <v>25000</v>
      </c>
    </row>
    <row r="339" spans="1:16" x14ac:dyDescent="0.25">
      <c r="A339" s="3" t="s">
        <v>604</v>
      </c>
      <c r="B339" s="4" t="s">
        <v>605</v>
      </c>
      <c r="C339" s="3" t="s">
        <v>19</v>
      </c>
      <c r="D339" s="3" t="s">
        <v>19</v>
      </c>
      <c r="E339" s="3" t="s">
        <v>25</v>
      </c>
      <c r="F339" s="3" t="s">
        <v>19</v>
      </c>
      <c r="G339" s="3" t="s">
        <v>133</v>
      </c>
      <c r="H339" s="5">
        <v>1</v>
      </c>
      <c r="I339" s="3" t="s">
        <v>19</v>
      </c>
      <c r="J339" s="6">
        <v>25000</v>
      </c>
      <c r="K339" s="6">
        <v>0</v>
      </c>
      <c r="L339" s="6">
        <v>0</v>
      </c>
      <c r="M339" s="6">
        <v>0</v>
      </c>
      <c r="N339" s="3" t="s">
        <v>19</v>
      </c>
      <c r="O339" s="6">
        <v>0</v>
      </c>
      <c r="P339" s="6">
        <f>J339-L339</f>
        <v>25000</v>
      </c>
    </row>
    <row r="340" spans="1:16" x14ac:dyDescent="0.25">
      <c r="A340" s="3" t="s">
        <v>604</v>
      </c>
      <c r="B340" s="4" t="s">
        <v>605</v>
      </c>
      <c r="C340" s="3" t="s">
        <v>19</v>
      </c>
      <c r="D340" s="3" t="s">
        <v>19</v>
      </c>
      <c r="E340" s="3" t="s">
        <v>25</v>
      </c>
      <c r="F340" s="3" t="s">
        <v>19</v>
      </c>
      <c r="G340" s="3" t="s">
        <v>186</v>
      </c>
      <c r="H340" s="5">
        <v>1</v>
      </c>
      <c r="I340" s="3" t="s">
        <v>19</v>
      </c>
      <c r="J340" s="6">
        <v>25000</v>
      </c>
      <c r="K340" s="6">
        <v>0</v>
      </c>
      <c r="L340" s="6">
        <v>0</v>
      </c>
      <c r="M340" s="6">
        <v>0</v>
      </c>
      <c r="N340" s="3" t="s">
        <v>19</v>
      </c>
      <c r="O340" s="6">
        <v>0</v>
      </c>
      <c r="P340" s="6">
        <f>J340-L340</f>
        <v>25000</v>
      </c>
    </row>
    <row r="341" spans="1:16" x14ac:dyDescent="0.25">
      <c r="A341" s="3" t="s">
        <v>606</v>
      </c>
      <c r="B341" s="4" t="s">
        <v>607</v>
      </c>
      <c r="C341" s="3" t="s">
        <v>19</v>
      </c>
      <c r="D341" s="3" t="s">
        <v>19</v>
      </c>
      <c r="E341" s="3" t="s">
        <v>25</v>
      </c>
      <c r="F341" s="3" t="s">
        <v>19</v>
      </c>
      <c r="G341" s="3" t="s">
        <v>140</v>
      </c>
      <c r="H341" s="5">
        <v>1</v>
      </c>
      <c r="I341" s="3" t="s">
        <v>19</v>
      </c>
      <c r="J341" s="6">
        <v>28000</v>
      </c>
      <c r="K341" s="6">
        <v>0</v>
      </c>
      <c r="L341" s="6">
        <v>0</v>
      </c>
      <c r="M341" s="6">
        <v>0</v>
      </c>
      <c r="N341" s="3" t="s">
        <v>19</v>
      </c>
      <c r="O341" s="6">
        <v>0</v>
      </c>
      <c r="P341" s="6">
        <f>J341-L341</f>
        <v>28000</v>
      </c>
    </row>
    <row r="342" spans="1:16" x14ac:dyDescent="0.25">
      <c r="A342" s="3" t="s">
        <v>608</v>
      </c>
      <c r="B342" s="4" t="s">
        <v>609</v>
      </c>
      <c r="C342" s="3" t="s">
        <v>19</v>
      </c>
      <c r="D342" s="3" t="s">
        <v>19</v>
      </c>
      <c r="E342" s="3" t="s">
        <v>25</v>
      </c>
      <c r="F342" s="3" t="s">
        <v>19</v>
      </c>
      <c r="G342" s="3" t="s">
        <v>338</v>
      </c>
      <c r="H342" s="5">
        <v>4</v>
      </c>
      <c r="I342" s="3" t="s">
        <v>19</v>
      </c>
      <c r="J342" s="6">
        <v>140000</v>
      </c>
      <c r="K342" s="6">
        <v>0</v>
      </c>
      <c r="L342" s="6">
        <v>0</v>
      </c>
      <c r="M342" s="6">
        <v>0</v>
      </c>
      <c r="N342" s="3" t="s">
        <v>19</v>
      </c>
      <c r="O342" s="6">
        <v>0</v>
      </c>
      <c r="P342" s="6">
        <f>J342-L342</f>
        <v>140000</v>
      </c>
    </row>
    <row r="343" spans="1:16" x14ac:dyDescent="0.25">
      <c r="A343" s="3" t="s">
        <v>610</v>
      </c>
      <c r="B343" s="4" t="s">
        <v>611</v>
      </c>
      <c r="C343" s="3" t="s">
        <v>19</v>
      </c>
      <c r="D343" s="3" t="s">
        <v>19</v>
      </c>
      <c r="E343" s="3" t="s">
        <v>25</v>
      </c>
      <c r="F343" s="3" t="s">
        <v>19</v>
      </c>
      <c r="G343" s="3" t="s">
        <v>160</v>
      </c>
      <c r="H343" s="5">
        <v>2</v>
      </c>
      <c r="I343" s="3" t="s">
        <v>19</v>
      </c>
      <c r="J343" s="6">
        <v>34000</v>
      </c>
      <c r="K343" s="6">
        <v>0</v>
      </c>
      <c r="L343" s="6">
        <v>0</v>
      </c>
      <c r="M343" s="6">
        <v>0</v>
      </c>
      <c r="N343" s="3" t="s">
        <v>19</v>
      </c>
      <c r="O343" s="6">
        <v>0</v>
      </c>
      <c r="P343" s="6">
        <f>J343-L343</f>
        <v>34000</v>
      </c>
    </row>
    <row r="344" spans="1:16" x14ac:dyDescent="0.25">
      <c r="A344" s="3" t="s">
        <v>612</v>
      </c>
      <c r="B344" s="4" t="s">
        <v>613</v>
      </c>
      <c r="C344" s="3" t="s">
        <v>19</v>
      </c>
      <c r="D344" s="3" t="s">
        <v>19</v>
      </c>
      <c r="E344" s="3" t="s">
        <v>25</v>
      </c>
      <c r="F344" s="3" t="s">
        <v>19</v>
      </c>
      <c r="G344" s="3" t="s">
        <v>160</v>
      </c>
      <c r="H344" s="5">
        <v>2</v>
      </c>
      <c r="I344" s="3" t="s">
        <v>19</v>
      </c>
      <c r="J344" s="6">
        <v>34000</v>
      </c>
      <c r="K344" s="6">
        <v>0</v>
      </c>
      <c r="L344" s="6">
        <v>0</v>
      </c>
      <c r="M344" s="6">
        <v>0</v>
      </c>
      <c r="N344" s="3" t="s">
        <v>19</v>
      </c>
      <c r="O344" s="6">
        <v>0</v>
      </c>
      <c r="P344" s="6">
        <f>J344-L344</f>
        <v>34000</v>
      </c>
    </row>
    <row r="345" spans="1:16" x14ac:dyDescent="0.25">
      <c r="A345" s="3" t="s">
        <v>614</v>
      </c>
      <c r="B345" s="4" t="s">
        <v>615</v>
      </c>
      <c r="C345" s="3" t="s">
        <v>19</v>
      </c>
      <c r="D345" s="3" t="s">
        <v>19</v>
      </c>
      <c r="E345" s="3" t="s">
        <v>25</v>
      </c>
      <c r="F345" s="3" t="s">
        <v>19</v>
      </c>
      <c r="G345" s="3" t="s">
        <v>186</v>
      </c>
      <c r="H345" s="5">
        <v>1</v>
      </c>
      <c r="I345" s="3" t="s">
        <v>19</v>
      </c>
      <c r="J345" s="6">
        <v>25000</v>
      </c>
      <c r="K345" s="6">
        <v>0</v>
      </c>
      <c r="L345" s="6">
        <v>0</v>
      </c>
      <c r="M345" s="6">
        <v>0</v>
      </c>
      <c r="N345" s="3" t="s">
        <v>19</v>
      </c>
      <c r="O345" s="6">
        <v>0</v>
      </c>
      <c r="P345" s="6">
        <f>J345-L345</f>
        <v>25000</v>
      </c>
    </row>
    <row r="346" spans="1:16" x14ac:dyDescent="0.25">
      <c r="A346" s="3" t="s">
        <v>616</v>
      </c>
      <c r="B346" s="4" t="s">
        <v>617</v>
      </c>
      <c r="C346" s="3" t="s">
        <v>19</v>
      </c>
      <c r="D346" s="3" t="s">
        <v>19</v>
      </c>
      <c r="E346" s="3" t="s">
        <v>25</v>
      </c>
      <c r="F346" s="3" t="s">
        <v>19</v>
      </c>
      <c r="G346" s="3" t="s">
        <v>160</v>
      </c>
      <c r="H346" s="5">
        <v>1</v>
      </c>
      <c r="I346" s="3" t="s">
        <v>19</v>
      </c>
      <c r="J346" s="6">
        <v>17000</v>
      </c>
      <c r="K346" s="6">
        <v>0</v>
      </c>
      <c r="L346" s="6">
        <v>0</v>
      </c>
      <c r="M346" s="6">
        <v>0</v>
      </c>
      <c r="N346" s="3" t="s">
        <v>19</v>
      </c>
      <c r="O346" s="6">
        <v>0</v>
      </c>
      <c r="P346" s="6">
        <f>J346-L346</f>
        <v>17000</v>
      </c>
    </row>
    <row r="347" spans="1:16" x14ac:dyDescent="0.25">
      <c r="A347" s="3" t="s">
        <v>616</v>
      </c>
      <c r="B347" s="4" t="s">
        <v>617</v>
      </c>
      <c r="C347" s="3" t="s">
        <v>19</v>
      </c>
      <c r="D347" s="3" t="s">
        <v>19</v>
      </c>
      <c r="E347" s="3" t="s">
        <v>25</v>
      </c>
      <c r="F347" s="3" t="s">
        <v>19</v>
      </c>
      <c r="G347" s="3" t="s">
        <v>140</v>
      </c>
      <c r="H347" s="5">
        <v>1</v>
      </c>
      <c r="I347" s="3" t="s">
        <v>19</v>
      </c>
      <c r="J347" s="6">
        <v>28000</v>
      </c>
      <c r="K347" s="6">
        <v>0</v>
      </c>
      <c r="L347" s="6">
        <v>0</v>
      </c>
      <c r="M347" s="6">
        <v>0</v>
      </c>
      <c r="N347" s="3" t="s">
        <v>19</v>
      </c>
      <c r="O347" s="6">
        <v>0</v>
      </c>
      <c r="P347" s="6">
        <f>J347-L347</f>
        <v>28000</v>
      </c>
    </row>
    <row r="348" ht="18" customHeight="1" spans="1:16" x14ac:dyDescent="0.25">
      <c r="A348" s="7" t="s">
        <v>34</v>
      </c>
      <c r="B348" s="7"/>
      <c r="C348" s="7"/>
      <c r="D348" s="7"/>
      <c r="E348" s="7"/>
      <c r="F348" s="7"/>
      <c r="G348" s="7"/>
      <c r="H348" s="8">
        <f>SUM(H297:H347)</f>
        <v>62</v>
      </c>
      <c r="I348" s="7"/>
      <c r="J348" s="9">
        <f>SUM(J297:J347)</f>
        <v>1783000</v>
      </c>
      <c r="K348" s="9">
        <f>SUM(K297:K347)</f>
        <v>0</v>
      </c>
      <c r="L348" s="9">
        <f>SUM(L297:L347)</f>
        <v>0</v>
      </c>
      <c r="M348" s="9">
        <f>SUM(M297:M347)</f>
        <v>0</v>
      </c>
      <c r="N348" s="7"/>
      <c r="O348" s="9">
        <f>SUM(O297:O347)</f>
        <v>0</v>
      </c>
      <c r="P348" s="9">
        <f>SUM(P297:P347)</f>
        <v>1783000</v>
      </c>
    </row>
  </sheetData>
  <mergeCells count="18">
    <mergeCell ref="A1:P1"/>
    <mergeCell ref="A31:G31"/>
    <mergeCell ref="A35:P35"/>
    <mergeCell ref="A71:G71"/>
    <mergeCell ref="A75:P75"/>
    <mergeCell ref="A111:G111"/>
    <mergeCell ref="A115:P115"/>
    <mergeCell ref="A142:G142"/>
    <mergeCell ref="A146:P146"/>
    <mergeCell ref="A184:G184"/>
    <mergeCell ref="A188:P188"/>
    <mergeCell ref="A217:G217"/>
    <mergeCell ref="A221:P221"/>
    <mergeCell ref="A248:G248"/>
    <mergeCell ref="A252:P252"/>
    <mergeCell ref="A291:G291"/>
    <mergeCell ref="A295:P295"/>
    <mergeCell ref="A348:G34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0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618</v>
      </c>
      <c r="B3" s="4" t="s">
        <v>619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620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621</v>
      </c>
      <c r="B4" s="4" t="s">
        <v>622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623</v>
      </c>
      <c r="H4" s="5">
        <v>1</v>
      </c>
      <c r="I4" s="3" t="s">
        <v>19</v>
      </c>
      <c r="J4" s="6">
        <v>30000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30000</v>
      </c>
    </row>
    <row r="5" spans="1:16" x14ac:dyDescent="0.25">
      <c r="A5" s="3" t="s">
        <v>624</v>
      </c>
      <c r="B5" s="4" t="s">
        <v>625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620</v>
      </c>
      <c r="H5" s="5">
        <v>2</v>
      </c>
      <c r="I5" s="3" t="s">
        <v>19</v>
      </c>
      <c r="J5" s="6">
        <v>100000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100000</v>
      </c>
    </row>
    <row r="6" spans="1:16" x14ac:dyDescent="0.25">
      <c r="A6" s="3" t="s">
        <v>626</v>
      </c>
      <c r="B6" s="4" t="s">
        <v>627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623</v>
      </c>
      <c r="H6" s="5">
        <v>4</v>
      </c>
      <c r="I6" s="3" t="s">
        <v>19</v>
      </c>
      <c r="J6" s="6">
        <v>120000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120000</v>
      </c>
    </row>
    <row r="7" spans="1:16" x14ac:dyDescent="0.25">
      <c r="A7" s="3" t="s">
        <v>628</v>
      </c>
      <c r="B7" s="4" t="s">
        <v>629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620</v>
      </c>
      <c r="H7" s="5">
        <v>4</v>
      </c>
      <c r="I7" s="3" t="s">
        <v>19</v>
      </c>
      <c r="J7" s="6">
        <v>200000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200000</v>
      </c>
    </row>
    <row r="8" spans="1:16" x14ac:dyDescent="0.25">
      <c r="A8" s="3" t="s">
        <v>630</v>
      </c>
      <c r="B8" s="4" t="s">
        <v>631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620</v>
      </c>
      <c r="H8" s="5">
        <v>3</v>
      </c>
      <c r="I8" s="3" t="s">
        <v>19</v>
      </c>
      <c r="J8" s="6">
        <v>150000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150000</v>
      </c>
    </row>
    <row r="9" spans="1:16" x14ac:dyDescent="0.25">
      <c r="A9" s="3" t="s">
        <v>632</v>
      </c>
      <c r="B9" s="4" t="s">
        <v>633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620</v>
      </c>
      <c r="H9" s="5">
        <v>2</v>
      </c>
      <c r="I9" s="3" t="s">
        <v>19</v>
      </c>
      <c r="J9" s="6">
        <v>100000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100000</v>
      </c>
    </row>
    <row r="10" spans="1:16" x14ac:dyDescent="0.25">
      <c r="A10" s="3" t="s">
        <v>634</v>
      </c>
      <c r="B10" s="4" t="s">
        <v>635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620</v>
      </c>
      <c r="H10" s="5">
        <v>1</v>
      </c>
      <c r="I10" s="3" t="s">
        <v>19</v>
      </c>
      <c r="J10" s="6">
        <v>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50000</v>
      </c>
    </row>
    <row r="11" spans="1:16" x14ac:dyDescent="0.25">
      <c r="A11" s="3" t="s">
        <v>636</v>
      </c>
      <c r="B11" s="4" t="s">
        <v>637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623</v>
      </c>
      <c r="H11" s="5">
        <v>2</v>
      </c>
      <c r="I11" s="3" t="s">
        <v>19</v>
      </c>
      <c r="J11" s="6">
        <v>60000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</v>
      </c>
    </row>
    <row r="12" spans="1:16" x14ac:dyDescent="0.25">
      <c r="A12" s="3" t="s">
        <v>638</v>
      </c>
      <c r="B12" s="4" t="s">
        <v>639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620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spans="1:16" x14ac:dyDescent="0.25">
      <c r="A13" s="3" t="s">
        <v>640</v>
      </c>
      <c r="B13" s="4" t="s">
        <v>641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620</v>
      </c>
      <c r="H13" s="5">
        <v>1</v>
      </c>
      <c r="I13" s="3" t="s">
        <v>19</v>
      </c>
      <c r="J13" s="6">
        <v>50000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50000</v>
      </c>
    </row>
    <row r="14" spans="1:16" x14ac:dyDescent="0.25">
      <c r="A14" s="3" t="s">
        <v>642</v>
      </c>
      <c r="B14" s="4" t="s">
        <v>643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620</v>
      </c>
      <c r="H14" s="5">
        <v>8</v>
      </c>
      <c r="I14" s="3" t="s">
        <v>19</v>
      </c>
      <c r="J14" s="6">
        <v>400000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400000</v>
      </c>
    </row>
    <row r="15" spans="1:16" x14ac:dyDescent="0.25">
      <c r="A15" s="3" t="s">
        <v>644</v>
      </c>
      <c r="B15" s="4" t="s">
        <v>645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620</v>
      </c>
      <c r="H15" s="5">
        <v>2</v>
      </c>
      <c r="I15" s="3" t="s">
        <v>19</v>
      </c>
      <c r="J15" s="6">
        <v>100000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100000</v>
      </c>
    </row>
    <row r="16" spans="1:16" x14ac:dyDescent="0.25">
      <c r="A16" s="3" t="s">
        <v>646</v>
      </c>
      <c r="B16" s="4" t="s">
        <v>647</v>
      </c>
      <c r="C16" s="3" t="s">
        <v>19</v>
      </c>
      <c r="D16" s="3" t="s">
        <v>19</v>
      </c>
      <c r="E16" s="3" t="s">
        <v>25</v>
      </c>
      <c r="F16" s="3" t="s">
        <v>19</v>
      </c>
      <c r="G16" s="3" t="s">
        <v>620</v>
      </c>
      <c r="H16" s="5">
        <v>1</v>
      </c>
      <c r="I16" s="3" t="s">
        <v>19</v>
      </c>
      <c r="J16" s="6">
        <v>50000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50000</v>
      </c>
    </row>
    <row r="17" spans="1:16" x14ac:dyDescent="0.25">
      <c r="A17" s="3" t="s">
        <v>648</v>
      </c>
      <c r="B17" s="4" t="s">
        <v>649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620</v>
      </c>
      <c r="H17" s="5">
        <v>2</v>
      </c>
      <c r="I17" s="3" t="s">
        <v>19</v>
      </c>
      <c r="J17" s="6">
        <v>100000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100000</v>
      </c>
    </row>
    <row r="18" spans="1:16" x14ac:dyDescent="0.25">
      <c r="A18" s="3" t="s">
        <v>648</v>
      </c>
      <c r="B18" s="4" t="s">
        <v>649</v>
      </c>
      <c r="C18" s="3" t="s">
        <v>19</v>
      </c>
      <c r="D18" s="3" t="s">
        <v>19</v>
      </c>
      <c r="E18" s="3" t="s">
        <v>25</v>
      </c>
      <c r="F18" s="3" t="s">
        <v>19</v>
      </c>
      <c r="G18" s="3" t="s">
        <v>623</v>
      </c>
      <c r="H18" s="5">
        <v>2</v>
      </c>
      <c r="I18" s="3" t="s">
        <v>19</v>
      </c>
      <c r="J18" s="6">
        <v>60000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60000</v>
      </c>
    </row>
    <row r="19" spans="1:16" x14ac:dyDescent="0.25">
      <c r="A19" s="3" t="s">
        <v>184</v>
      </c>
      <c r="B19" s="4" t="s">
        <v>185</v>
      </c>
      <c r="C19" s="3" t="s">
        <v>19</v>
      </c>
      <c r="D19" s="3" t="s">
        <v>19</v>
      </c>
      <c r="E19" s="3" t="s">
        <v>25</v>
      </c>
      <c r="F19" s="3" t="s">
        <v>19</v>
      </c>
      <c r="G19" s="3" t="s">
        <v>623</v>
      </c>
      <c r="H19" s="5">
        <v>1</v>
      </c>
      <c r="I19" s="3" t="s">
        <v>19</v>
      </c>
      <c r="J19" s="6">
        <v>30000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30000</v>
      </c>
    </row>
    <row r="20" spans="1:16" x14ac:dyDescent="0.25">
      <c r="A20" s="3" t="s">
        <v>184</v>
      </c>
      <c r="B20" s="4" t="s">
        <v>185</v>
      </c>
      <c r="C20" s="3" t="s">
        <v>19</v>
      </c>
      <c r="D20" s="3" t="s">
        <v>19</v>
      </c>
      <c r="E20" s="3" t="s">
        <v>25</v>
      </c>
      <c r="F20" s="3" t="s">
        <v>19</v>
      </c>
      <c r="G20" s="3" t="s">
        <v>620</v>
      </c>
      <c r="H20" s="5">
        <v>1</v>
      </c>
      <c r="I20" s="3" t="s">
        <v>19</v>
      </c>
      <c r="J20" s="6">
        <v>50000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50000</v>
      </c>
    </row>
    <row r="21" ht="18" customHeight="1" spans="1:16" x14ac:dyDescent="0.25">
      <c r="A21" s="7" t="s">
        <v>34</v>
      </c>
      <c r="B21" s="7"/>
      <c r="C21" s="7"/>
      <c r="D21" s="7"/>
      <c r="E21" s="7"/>
      <c r="F21" s="7"/>
      <c r="G21" s="7"/>
      <c r="H21" s="8">
        <f>SUM(H3:H20)</f>
        <v>39</v>
      </c>
      <c r="I21" s="7"/>
      <c r="J21" s="9">
        <f>SUM(J3:J20)</f>
        <v>1750000</v>
      </c>
      <c r="K21" s="9">
        <f>SUM(K3:K20)</f>
        <v>0</v>
      </c>
      <c r="L21" s="9">
        <f>SUM(L3:L20)</f>
        <v>0</v>
      </c>
      <c r="M21" s="9">
        <f>SUM(M3:M20)</f>
        <v>0</v>
      </c>
      <c r="N21" s="7"/>
      <c r="O21" s="9">
        <f>SUM(O3:O20)</f>
        <v>0</v>
      </c>
      <c r="P21" s="9">
        <f>SUM(P3:P20)</f>
        <v>1750000</v>
      </c>
    </row>
    <row r="25" ht="15.75" customHeight="1" spans="1:16" x14ac:dyDescent="0.25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39.4" customHeight="1" spans="1:1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</row>
    <row r="27" spans="1:16" x14ac:dyDescent="0.25">
      <c r="A27" s="3" t="s">
        <v>650</v>
      </c>
      <c r="B27" s="4" t="s">
        <v>651</v>
      </c>
      <c r="C27" s="3" t="s">
        <v>19</v>
      </c>
      <c r="D27" s="3" t="s">
        <v>19</v>
      </c>
      <c r="E27" s="3" t="s">
        <v>20</v>
      </c>
      <c r="F27" s="3" t="s">
        <v>19</v>
      </c>
      <c r="G27" s="3" t="s">
        <v>620</v>
      </c>
      <c r="H27" s="5">
        <v>4</v>
      </c>
      <c r="I27" s="3" t="s">
        <v>19</v>
      </c>
      <c r="J27" s="6">
        <v>200000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200000</v>
      </c>
    </row>
    <row r="28" spans="1:16" x14ac:dyDescent="0.25">
      <c r="A28" s="3" t="s">
        <v>652</v>
      </c>
      <c r="B28" s="4" t="s">
        <v>653</v>
      </c>
      <c r="C28" s="3" t="s">
        <v>19</v>
      </c>
      <c r="D28" s="3" t="s">
        <v>19</v>
      </c>
      <c r="E28" s="3" t="s">
        <v>20</v>
      </c>
      <c r="F28" s="3" t="s">
        <v>19</v>
      </c>
      <c r="G28" s="3" t="s">
        <v>623</v>
      </c>
      <c r="H28" s="5">
        <v>1</v>
      </c>
      <c r="I28" s="3" t="s">
        <v>19</v>
      </c>
      <c r="J28" s="6">
        <v>30000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30000</v>
      </c>
    </row>
    <row r="29" spans="1:16" x14ac:dyDescent="0.25">
      <c r="A29" s="3" t="s">
        <v>654</v>
      </c>
      <c r="B29" s="4" t="s">
        <v>655</v>
      </c>
      <c r="C29" s="3" t="s">
        <v>19</v>
      </c>
      <c r="D29" s="3" t="s">
        <v>19</v>
      </c>
      <c r="E29" s="3" t="s">
        <v>20</v>
      </c>
      <c r="F29" s="3" t="s">
        <v>19</v>
      </c>
      <c r="G29" s="3" t="s">
        <v>620</v>
      </c>
      <c r="H29" s="5">
        <v>1</v>
      </c>
      <c r="I29" s="3" t="s">
        <v>19</v>
      </c>
      <c r="J29" s="6">
        <v>50000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50000</v>
      </c>
    </row>
    <row r="30" spans="1:16" x14ac:dyDescent="0.25">
      <c r="A30" s="3" t="s">
        <v>656</v>
      </c>
      <c r="B30" s="4" t="s">
        <v>657</v>
      </c>
      <c r="C30" s="3" t="s">
        <v>19</v>
      </c>
      <c r="D30" s="3" t="s">
        <v>19</v>
      </c>
      <c r="E30" s="3" t="s">
        <v>20</v>
      </c>
      <c r="F30" s="3" t="s">
        <v>19</v>
      </c>
      <c r="G30" s="3" t="s">
        <v>623</v>
      </c>
      <c r="H30" s="5">
        <v>2</v>
      </c>
      <c r="I30" s="3" t="s">
        <v>19</v>
      </c>
      <c r="J30" s="6">
        <v>60000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60000</v>
      </c>
    </row>
    <row r="31" spans="1:16" x14ac:dyDescent="0.25">
      <c r="A31" s="3" t="s">
        <v>658</v>
      </c>
      <c r="B31" s="4" t="s">
        <v>659</v>
      </c>
      <c r="C31" s="3" t="s">
        <v>19</v>
      </c>
      <c r="D31" s="3" t="s">
        <v>19</v>
      </c>
      <c r="E31" s="3" t="s">
        <v>20</v>
      </c>
      <c r="F31" s="3" t="s">
        <v>19</v>
      </c>
      <c r="G31" s="3" t="s">
        <v>623</v>
      </c>
      <c r="H31" s="5">
        <v>1</v>
      </c>
      <c r="I31" s="3" t="s">
        <v>19</v>
      </c>
      <c r="J31" s="6">
        <v>30000</v>
      </c>
      <c r="K31" s="6">
        <v>0</v>
      </c>
      <c r="L31" s="6">
        <v>0</v>
      </c>
      <c r="M31" s="6">
        <v>0</v>
      </c>
      <c r="N31" s="3" t="s">
        <v>19</v>
      </c>
      <c r="O31" s="6">
        <v>0</v>
      </c>
      <c r="P31" s="6">
        <f>J31-L31</f>
        <v>30000</v>
      </c>
    </row>
    <row r="32" spans="1:16" x14ac:dyDescent="0.25">
      <c r="A32" s="3" t="s">
        <v>193</v>
      </c>
      <c r="B32" s="4" t="s">
        <v>194</v>
      </c>
      <c r="C32" s="3" t="s">
        <v>19</v>
      </c>
      <c r="D32" s="3" t="s">
        <v>19</v>
      </c>
      <c r="E32" s="3" t="s">
        <v>20</v>
      </c>
      <c r="F32" s="3" t="s">
        <v>19</v>
      </c>
      <c r="G32" s="3" t="s">
        <v>620</v>
      </c>
      <c r="H32" s="5">
        <v>1</v>
      </c>
      <c r="I32" s="3" t="s">
        <v>19</v>
      </c>
      <c r="J32" s="6">
        <v>50000</v>
      </c>
      <c r="K32" s="6">
        <v>0</v>
      </c>
      <c r="L32" s="6">
        <v>0</v>
      </c>
      <c r="M32" s="6">
        <v>0</v>
      </c>
      <c r="N32" s="3" t="s">
        <v>19</v>
      </c>
      <c r="O32" s="6">
        <v>0</v>
      </c>
      <c r="P32" s="6">
        <f>J32-L32</f>
        <v>50000</v>
      </c>
    </row>
    <row r="33" spans="1:16" x14ac:dyDescent="0.25">
      <c r="A33" s="3" t="s">
        <v>660</v>
      </c>
      <c r="B33" s="4" t="s">
        <v>661</v>
      </c>
      <c r="C33" s="3" t="s">
        <v>19</v>
      </c>
      <c r="D33" s="3" t="s">
        <v>19</v>
      </c>
      <c r="E33" s="3" t="s">
        <v>20</v>
      </c>
      <c r="F33" s="3" t="s">
        <v>19</v>
      </c>
      <c r="G33" s="3" t="s">
        <v>620</v>
      </c>
      <c r="H33" s="5">
        <v>1</v>
      </c>
      <c r="I33" s="3" t="s">
        <v>19</v>
      </c>
      <c r="J33" s="6">
        <v>50000</v>
      </c>
      <c r="K33" s="6">
        <v>0</v>
      </c>
      <c r="L33" s="6">
        <v>0</v>
      </c>
      <c r="M33" s="6">
        <v>0</v>
      </c>
      <c r="N33" s="3" t="s">
        <v>19</v>
      </c>
      <c r="O33" s="6">
        <v>0</v>
      </c>
      <c r="P33" s="6">
        <f>J33-L33</f>
        <v>50000</v>
      </c>
    </row>
    <row r="34" spans="1:16" x14ac:dyDescent="0.25">
      <c r="A34" s="3" t="s">
        <v>662</v>
      </c>
      <c r="B34" s="4" t="s">
        <v>663</v>
      </c>
      <c r="C34" s="3" t="s">
        <v>19</v>
      </c>
      <c r="D34" s="3" t="s">
        <v>19</v>
      </c>
      <c r="E34" s="3" t="s">
        <v>20</v>
      </c>
      <c r="F34" s="3" t="s">
        <v>19</v>
      </c>
      <c r="G34" s="3" t="s">
        <v>623</v>
      </c>
      <c r="H34" s="5">
        <v>1</v>
      </c>
      <c r="I34" s="3" t="s">
        <v>19</v>
      </c>
      <c r="J34" s="6">
        <v>30000</v>
      </c>
      <c r="K34" s="6">
        <v>0</v>
      </c>
      <c r="L34" s="6">
        <v>0</v>
      </c>
      <c r="M34" s="6">
        <v>0</v>
      </c>
      <c r="N34" s="3" t="s">
        <v>19</v>
      </c>
      <c r="O34" s="6">
        <v>0</v>
      </c>
      <c r="P34" s="6">
        <f>J34-L34</f>
        <v>30000</v>
      </c>
    </row>
    <row r="35" spans="1:16" x14ac:dyDescent="0.25">
      <c r="A35" s="3" t="s">
        <v>664</v>
      </c>
      <c r="B35" s="4" t="s">
        <v>665</v>
      </c>
      <c r="C35" s="3" t="s">
        <v>19</v>
      </c>
      <c r="D35" s="3" t="s">
        <v>19</v>
      </c>
      <c r="E35" s="3" t="s">
        <v>20</v>
      </c>
      <c r="F35" s="3" t="s">
        <v>19</v>
      </c>
      <c r="G35" s="3" t="s">
        <v>620</v>
      </c>
      <c r="H35" s="5">
        <v>1</v>
      </c>
      <c r="I35" s="3" t="s">
        <v>19</v>
      </c>
      <c r="J35" s="6">
        <v>50000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50000</v>
      </c>
    </row>
    <row r="36" spans="1:16" x14ac:dyDescent="0.25">
      <c r="A36" s="3" t="s">
        <v>666</v>
      </c>
      <c r="B36" s="4" t="s">
        <v>667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623</v>
      </c>
      <c r="H36" s="5">
        <v>4</v>
      </c>
      <c r="I36" s="3" t="s">
        <v>19</v>
      </c>
      <c r="J36" s="6">
        <v>120000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120000</v>
      </c>
    </row>
    <row r="37" spans="1:16" x14ac:dyDescent="0.25">
      <c r="A37" s="3" t="s">
        <v>668</v>
      </c>
      <c r="B37" s="4" t="s">
        <v>669</v>
      </c>
      <c r="C37" s="3" t="s">
        <v>19</v>
      </c>
      <c r="D37" s="3" t="s">
        <v>19</v>
      </c>
      <c r="E37" s="3" t="s">
        <v>20</v>
      </c>
      <c r="F37" s="3" t="s">
        <v>19</v>
      </c>
      <c r="G37" s="3" t="s">
        <v>620</v>
      </c>
      <c r="H37" s="5">
        <v>2</v>
      </c>
      <c r="I37" s="3" t="s">
        <v>19</v>
      </c>
      <c r="J37" s="6">
        <v>100000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100000</v>
      </c>
    </row>
    <row r="38" spans="1:16" x14ac:dyDescent="0.25">
      <c r="A38" s="3" t="s">
        <v>670</v>
      </c>
      <c r="B38" s="4" t="s">
        <v>671</v>
      </c>
      <c r="C38" s="3" t="s">
        <v>19</v>
      </c>
      <c r="D38" s="3" t="s">
        <v>19</v>
      </c>
      <c r="E38" s="3" t="s">
        <v>20</v>
      </c>
      <c r="F38" s="3" t="s">
        <v>19</v>
      </c>
      <c r="G38" s="3" t="s">
        <v>620</v>
      </c>
      <c r="H38" s="5">
        <v>1</v>
      </c>
      <c r="I38" s="3" t="s">
        <v>19</v>
      </c>
      <c r="J38" s="6">
        <v>50000</v>
      </c>
      <c r="K38" s="6">
        <v>0</v>
      </c>
      <c r="L38" s="6">
        <v>0</v>
      </c>
      <c r="M38" s="6">
        <v>0</v>
      </c>
      <c r="N38" s="3" t="s">
        <v>19</v>
      </c>
      <c r="O38" s="6">
        <v>0</v>
      </c>
      <c r="P38" s="6">
        <f>J38-L38</f>
        <v>50000</v>
      </c>
    </row>
    <row r="39" spans="1:16" x14ac:dyDescent="0.25">
      <c r="A39" s="3" t="s">
        <v>672</v>
      </c>
      <c r="B39" s="4" t="s">
        <v>673</v>
      </c>
      <c r="C39" s="3" t="s">
        <v>19</v>
      </c>
      <c r="D39" s="3" t="s">
        <v>19</v>
      </c>
      <c r="E39" s="3" t="s">
        <v>20</v>
      </c>
      <c r="F39" s="3" t="s">
        <v>19</v>
      </c>
      <c r="G39" s="3" t="s">
        <v>620</v>
      </c>
      <c r="H39" s="5">
        <v>3</v>
      </c>
      <c r="I39" s="3" t="s">
        <v>19</v>
      </c>
      <c r="J39" s="6">
        <v>150000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150000</v>
      </c>
    </row>
    <row r="40" spans="1:16" x14ac:dyDescent="0.25">
      <c r="A40" s="3" t="s">
        <v>220</v>
      </c>
      <c r="B40" s="4" t="s">
        <v>221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620</v>
      </c>
      <c r="H40" s="5">
        <v>1</v>
      </c>
      <c r="I40" s="3" t="s">
        <v>19</v>
      </c>
      <c r="J40" s="6">
        <v>50000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50000</v>
      </c>
    </row>
    <row r="41" spans="1:16" x14ac:dyDescent="0.25">
      <c r="A41" s="3" t="s">
        <v>674</v>
      </c>
      <c r="B41" s="4" t="s">
        <v>675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623</v>
      </c>
      <c r="H41" s="5">
        <v>1</v>
      </c>
      <c r="I41" s="3" t="s">
        <v>19</v>
      </c>
      <c r="J41" s="6">
        <v>30000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30000</v>
      </c>
    </row>
    <row r="42" spans="1:16" x14ac:dyDescent="0.25">
      <c r="A42" s="3" t="s">
        <v>676</v>
      </c>
      <c r="B42" s="4" t="s">
        <v>677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620</v>
      </c>
      <c r="H42" s="5">
        <v>2</v>
      </c>
      <c r="I42" s="3" t="s">
        <v>19</v>
      </c>
      <c r="J42" s="6">
        <v>100000</v>
      </c>
      <c r="K42" s="6">
        <v>0</v>
      </c>
      <c r="L42" s="6">
        <v>0</v>
      </c>
      <c r="M42" s="6">
        <v>0</v>
      </c>
      <c r="N42" s="3" t="s">
        <v>19</v>
      </c>
      <c r="O42" s="6">
        <v>0</v>
      </c>
      <c r="P42" s="6">
        <f>J42-L42</f>
        <v>100000</v>
      </c>
    </row>
    <row r="43" spans="1:16" x14ac:dyDescent="0.25">
      <c r="A43" s="3" t="s">
        <v>678</v>
      </c>
      <c r="B43" s="4" t="s">
        <v>679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620</v>
      </c>
      <c r="H43" s="5">
        <v>1</v>
      </c>
      <c r="I43" s="3" t="s">
        <v>19</v>
      </c>
      <c r="J43" s="6">
        <v>50000</v>
      </c>
      <c r="K43" s="6">
        <v>0</v>
      </c>
      <c r="L43" s="6">
        <v>0</v>
      </c>
      <c r="M43" s="6">
        <v>0</v>
      </c>
      <c r="N43" s="3" t="s">
        <v>19</v>
      </c>
      <c r="O43" s="6">
        <v>0</v>
      </c>
      <c r="P43" s="6">
        <f>J43-L43</f>
        <v>50000</v>
      </c>
    </row>
    <row r="44" spans="1:16" x14ac:dyDescent="0.25">
      <c r="A44" s="3" t="s">
        <v>680</v>
      </c>
      <c r="B44" s="4" t="s">
        <v>681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623</v>
      </c>
      <c r="H44" s="5">
        <v>2</v>
      </c>
      <c r="I44" s="3" t="s">
        <v>19</v>
      </c>
      <c r="J44" s="6">
        <v>60000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60000</v>
      </c>
    </row>
    <row r="45" spans="1:16" x14ac:dyDescent="0.25">
      <c r="A45" s="3" t="s">
        <v>682</v>
      </c>
      <c r="B45" s="4" t="s">
        <v>683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620</v>
      </c>
      <c r="H45" s="5">
        <v>1</v>
      </c>
      <c r="I45" s="3" t="s">
        <v>19</v>
      </c>
      <c r="J45" s="6">
        <v>50000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50000</v>
      </c>
    </row>
    <row r="46" spans="1:16" x14ac:dyDescent="0.25">
      <c r="A46" s="3" t="s">
        <v>226</v>
      </c>
      <c r="B46" s="4" t="s">
        <v>227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623</v>
      </c>
      <c r="H46" s="5">
        <v>4</v>
      </c>
      <c r="I46" s="3" t="s">
        <v>19</v>
      </c>
      <c r="J46" s="6">
        <v>120000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120000</v>
      </c>
    </row>
    <row r="47" spans="1:16" x14ac:dyDescent="0.25">
      <c r="A47" s="3" t="s">
        <v>684</v>
      </c>
      <c r="B47" s="4" t="s">
        <v>685</v>
      </c>
      <c r="C47" s="3" t="s">
        <v>19</v>
      </c>
      <c r="D47" s="3" t="s">
        <v>19</v>
      </c>
      <c r="E47" s="3" t="s">
        <v>25</v>
      </c>
      <c r="F47" s="3" t="s">
        <v>19</v>
      </c>
      <c r="G47" s="3" t="s">
        <v>620</v>
      </c>
      <c r="H47" s="5">
        <v>1</v>
      </c>
      <c r="I47" s="3" t="s">
        <v>19</v>
      </c>
      <c r="J47" s="6">
        <v>50000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50000</v>
      </c>
    </row>
    <row r="48" spans="1:16" x14ac:dyDescent="0.25">
      <c r="A48" s="3" t="s">
        <v>686</v>
      </c>
      <c r="B48" s="4" t="s">
        <v>687</v>
      </c>
      <c r="C48" s="3" t="s">
        <v>19</v>
      </c>
      <c r="D48" s="3" t="s">
        <v>19</v>
      </c>
      <c r="E48" s="3" t="s">
        <v>25</v>
      </c>
      <c r="F48" s="3" t="s">
        <v>19</v>
      </c>
      <c r="G48" s="3" t="s">
        <v>620</v>
      </c>
      <c r="H48" s="5">
        <v>2</v>
      </c>
      <c r="I48" s="3" t="s">
        <v>19</v>
      </c>
      <c r="J48" s="6">
        <v>100000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100000</v>
      </c>
    </row>
    <row r="49" spans="1:16" x14ac:dyDescent="0.25">
      <c r="A49" s="3" t="s">
        <v>686</v>
      </c>
      <c r="B49" s="4" t="s">
        <v>687</v>
      </c>
      <c r="C49" s="3" t="s">
        <v>19</v>
      </c>
      <c r="D49" s="3" t="s">
        <v>19</v>
      </c>
      <c r="E49" s="3" t="s">
        <v>25</v>
      </c>
      <c r="F49" s="3" t="s">
        <v>19</v>
      </c>
      <c r="G49" s="3" t="s">
        <v>623</v>
      </c>
      <c r="H49" s="5">
        <v>2</v>
      </c>
      <c r="I49" s="3" t="s">
        <v>19</v>
      </c>
      <c r="J49" s="6">
        <v>60000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60000</v>
      </c>
    </row>
    <row r="50" spans="1:16" x14ac:dyDescent="0.25">
      <c r="A50" s="3" t="s">
        <v>688</v>
      </c>
      <c r="B50" s="4" t="s">
        <v>689</v>
      </c>
      <c r="C50" s="3" t="s">
        <v>19</v>
      </c>
      <c r="D50" s="3" t="s">
        <v>19</v>
      </c>
      <c r="E50" s="3" t="s">
        <v>25</v>
      </c>
      <c r="F50" s="3" t="s">
        <v>19</v>
      </c>
      <c r="G50" s="3" t="s">
        <v>623</v>
      </c>
      <c r="H50" s="5">
        <v>1</v>
      </c>
      <c r="I50" s="3" t="s">
        <v>19</v>
      </c>
      <c r="J50" s="6">
        <v>30000</v>
      </c>
      <c r="K50" s="6">
        <v>0</v>
      </c>
      <c r="L50" s="6">
        <v>0</v>
      </c>
      <c r="M50" s="6">
        <v>0</v>
      </c>
      <c r="N50" s="3" t="s">
        <v>19</v>
      </c>
      <c r="O50" s="6">
        <v>0</v>
      </c>
      <c r="P50" s="6">
        <f>J50-L50</f>
        <v>30000</v>
      </c>
    </row>
    <row r="51" spans="1:16" x14ac:dyDescent="0.25">
      <c r="A51" s="3" t="s">
        <v>688</v>
      </c>
      <c r="B51" s="4" t="s">
        <v>689</v>
      </c>
      <c r="C51" s="3" t="s">
        <v>19</v>
      </c>
      <c r="D51" s="3" t="s">
        <v>19</v>
      </c>
      <c r="E51" s="3" t="s">
        <v>25</v>
      </c>
      <c r="F51" s="3" t="s">
        <v>19</v>
      </c>
      <c r="G51" s="3" t="s">
        <v>620</v>
      </c>
      <c r="H51" s="5">
        <v>3</v>
      </c>
      <c r="I51" s="3" t="s">
        <v>19</v>
      </c>
      <c r="J51" s="6">
        <v>150000</v>
      </c>
      <c r="K51" s="6">
        <v>0</v>
      </c>
      <c r="L51" s="6">
        <v>0</v>
      </c>
      <c r="M51" s="6">
        <v>0</v>
      </c>
      <c r="N51" s="3" t="s">
        <v>19</v>
      </c>
      <c r="O51" s="6">
        <v>0</v>
      </c>
      <c r="P51" s="6">
        <f>J51-L51</f>
        <v>150000</v>
      </c>
    </row>
    <row r="52" ht="18" customHeight="1" spans="1:16" x14ac:dyDescent="0.25">
      <c r="A52" s="7" t="s">
        <v>34</v>
      </c>
      <c r="B52" s="7"/>
      <c r="C52" s="7"/>
      <c r="D52" s="7"/>
      <c r="E52" s="7"/>
      <c r="F52" s="7"/>
      <c r="G52" s="7"/>
      <c r="H52" s="8">
        <f>SUM(H27:H51)</f>
        <v>44</v>
      </c>
      <c r="I52" s="7"/>
      <c r="J52" s="9">
        <f>SUM(J27:J51)</f>
        <v>1820000</v>
      </c>
      <c r="K52" s="9">
        <f>SUM(K27:K51)</f>
        <v>0</v>
      </c>
      <c r="L52" s="9">
        <f>SUM(L27:L51)</f>
        <v>0</v>
      </c>
      <c r="M52" s="9">
        <f>SUM(M27:M51)</f>
        <v>0</v>
      </c>
      <c r="N52" s="7"/>
      <c r="O52" s="9">
        <f>SUM(O27:O51)</f>
        <v>0</v>
      </c>
      <c r="P52" s="9">
        <f>SUM(P27:P51)</f>
        <v>1820000</v>
      </c>
    </row>
    <row r="56" ht="15.75" customHeight="1" spans="1:16" x14ac:dyDescent="0.25">
      <c r="A56" s="1" t="s">
        <v>53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39.4" customHeight="1" spans="1:16" x14ac:dyDescent="0.2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 t="s">
        <v>6</v>
      </c>
      <c r="G57" s="2" t="s">
        <v>7</v>
      </c>
      <c r="H57" s="2" t="s">
        <v>8</v>
      </c>
      <c r="I57" s="2" t="s">
        <v>9</v>
      </c>
      <c r="J57" s="2" t="s">
        <v>10</v>
      </c>
      <c r="K57" s="2" t="s">
        <v>11</v>
      </c>
      <c r="L57" s="2" t="s">
        <v>12</v>
      </c>
      <c r="M57" s="2" t="s">
        <v>13</v>
      </c>
      <c r="N57" s="2" t="s">
        <v>14</v>
      </c>
      <c r="O57" s="2" t="s">
        <v>15</v>
      </c>
      <c r="P57" s="2" t="s">
        <v>16</v>
      </c>
    </row>
    <row r="58" spans="1:16" x14ac:dyDescent="0.25">
      <c r="A58" s="3" t="s">
        <v>690</v>
      </c>
      <c r="B58" s="4" t="s">
        <v>691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623</v>
      </c>
      <c r="H58" s="5">
        <v>2</v>
      </c>
      <c r="I58" s="3" t="s">
        <v>19</v>
      </c>
      <c r="J58" s="6">
        <v>60000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60000</v>
      </c>
    </row>
    <row r="59" spans="1:16" x14ac:dyDescent="0.25">
      <c r="A59" s="3" t="s">
        <v>692</v>
      </c>
      <c r="B59" s="4" t="s">
        <v>693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623</v>
      </c>
      <c r="H59" s="5">
        <v>1</v>
      </c>
      <c r="I59" s="3" t="s">
        <v>19</v>
      </c>
      <c r="J59" s="6">
        <v>30000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30000</v>
      </c>
    </row>
    <row r="60" spans="1:16" x14ac:dyDescent="0.25">
      <c r="A60" s="3" t="s">
        <v>694</v>
      </c>
      <c r="B60" s="4" t="s">
        <v>695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623</v>
      </c>
      <c r="H60" s="5">
        <v>1</v>
      </c>
      <c r="I60" s="3" t="s">
        <v>19</v>
      </c>
      <c r="J60" s="6">
        <v>30000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30000</v>
      </c>
    </row>
    <row r="61" spans="1:16" x14ac:dyDescent="0.25">
      <c r="A61" s="3" t="s">
        <v>696</v>
      </c>
      <c r="B61" s="4" t="s">
        <v>697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620</v>
      </c>
      <c r="H61" s="5">
        <v>1</v>
      </c>
      <c r="I61" s="3" t="s">
        <v>19</v>
      </c>
      <c r="J61" s="6">
        <v>50000</v>
      </c>
      <c r="K61" s="6">
        <v>0</v>
      </c>
      <c r="L61" s="6">
        <v>0</v>
      </c>
      <c r="M61" s="6">
        <v>0</v>
      </c>
      <c r="N61" s="3" t="s">
        <v>19</v>
      </c>
      <c r="O61" s="6">
        <v>0</v>
      </c>
      <c r="P61" s="6">
        <f>J61-L61</f>
        <v>50000</v>
      </c>
    </row>
    <row r="62" spans="1:16" x14ac:dyDescent="0.25">
      <c r="A62" s="3" t="s">
        <v>698</v>
      </c>
      <c r="B62" s="4" t="s">
        <v>699</v>
      </c>
      <c r="C62" s="3" t="s">
        <v>19</v>
      </c>
      <c r="D62" s="3" t="s">
        <v>19</v>
      </c>
      <c r="E62" s="3" t="s">
        <v>20</v>
      </c>
      <c r="F62" s="3" t="s">
        <v>19</v>
      </c>
      <c r="G62" s="3" t="s">
        <v>620</v>
      </c>
      <c r="H62" s="5">
        <v>1</v>
      </c>
      <c r="I62" s="3" t="s">
        <v>19</v>
      </c>
      <c r="J62" s="6">
        <v>50000</v>
      </c>
      <c r="K62" s="6">
        <v>0</v>
      </c>
      <c r="L62" s="6">
        <v>0</v>
      </c>
      <c r="M62" s="6">
        <v>0</v>
      </c>
      <c r="N62" s="3" t="s">
        <v>19</v>
      </c>
      <c r="O62" s="6">
        <v>0</v>
      </c>
      <c r="P62" s="6">
        <f>J62-L62</f>
        <v>50000</v>
      </c>
    </row>
    <row r="63" spans="1:16" x14ac:dyDescent="0.25">
      <c r="A63" s="3" t="s">
        <v>700</v>
      </c>
      <c r="B63" s="4" t="s">
        <v>701</v>
      </c>
      <c r="C63" s="3" t="s">
        <v>19</v>
      </c>
      <c r="D63" s="3" t="s">
        <v>19</v>
      </c>
      <c r="E63" s="3" t="s">
        <v>20</v>
      </c>
      <c r="F63" s="3" t="s">
        <v>19</v>
      </c>
      <c r="G63" s="3" t="s">
        <v>620</v>
      </c>
      <c r="H63" s="5">
        <v>2</v>
      </c>
      <c r="I63" s="3" t="s">
        <v>19</v>
      </c>
      <c r="J63" s="6">
        <v>100000</v>
      </c>
      <c r="K63" s="6">
        <v>0</v>
      </c>
      <c r="L63" s="6">
        <v>0</v>
      </c>
      <c r="M63" s="6">
        <v>0</v>
      </c>
      <c r="N63" s="3" t="s">
        <v>19</v>
      </c>
      <c r="O63" s="6">
        <v>0</v>
      </c>
      <c r="P63" s="6">
        <f>J63-L63</f>
        <v>100000</v>
      </c>
    </row>
    <row r="64" spans="1:16" x14ac:dyDescent="0.25">
      <c r="A64" s="3" t="s">
        <v>702</v>
      </c>
      <c r="B64" s="4" t="s">
        <v>703</v>
      </c>
      <c r="C64" s="3" t="s">
        <v>19</v>
      </c>
      <c r="D64" s="3" t="s">
        <v>19</v>
      </c>
      <c r="E64" s="3" t="s">
        <v>20</v>
      </c>
      <c r="F64" s="3" t="s">
        <v>19</v>
      </c>
      <c r="G64" s="3" t="s">
        <v>620</v>
      </c>
      <c r="H64" s="5">
        <v>2</v>
      </c>
      <c r="I64" s="3" t="s">
        <v>19</v>
      </c>
      <c r="J64" s="6">
        <v>100000</v>
      </c>
      <c r="K64" s="6">
        <v>0</v>
      </c>
      <c r="L64" s="6">
        <v>0</v>
      </c>
      <c r="M64" s="6">
        <v>0</v>
      </c>
      <c r="N64" s="3" t="s">
        <v>19</v>
      </c>
      <c r="O64" s="6">
        <v>0</v>
      </c>
      <c r="P64" s="6">
        <f>J64-L64</f>
        <v>100000</v>
      </c>
    </row>
    <row r="65" spans="1:16" x14ac:dyDescent="0.25">
      <c r="A65" s="3" t="s">
        <v>704</v>
      </c>
      <c r="B65" s="4" t="s">
        <v>705</v>
      </c>
      <c r="C65" s="3" t="s">
        <v>19</v>
      </c>
      <c r="D65" s="3" t="s">
        <v>19</v>
      </c>
      <c r="E65" s="3" t="s">
        <v>20</v>
      </c>
      <c r="F65" s="3" t="s">
        <v>19</v>
      </c>
      <c r="G65" s="3" t="s">
        <v>620</v>
      </c>
      <c r="H65" s="5">
        <v>1</v>
      </c>
      <c r="I65" s="3" t="s">
        <v>19</v>
      </c>
      <c r="J65" s="6">
        <v>50000</v>
      </c>
      <c r="K65" s="6">
        <v>0</v>
      </c>
      <c r="L65" s="6">
        <v>0</v>
      </c>
      <c r="M65" s="6">
        <v>0</v>
      </c>
      <c r="N65" s="3" t="s">
        <v>19</v>
      </c>
      <c r="O65" s="6">
        <v>0</v>
      </c>
      <c r="P65" s="6">
        <f>J65-L65</f>
        <v>50000</v>
      </c>
    </row>
    <row r="66" spans="1:16" x14ac:dyDescent="0.25">
      <c r="A66" s="3" t="s">
        <v>706</v>
      </c>
      <c r="B66" s="4" t="s">
        <v>707</v>
      </c>
      <c r="C66" s="3" t="s">
        <v>19</v>
      </c>
      <c r="D66" s="3" t="s">
        <v>19</v>
      </c>
      <c r="E66" s="3" t="s">
        <v>20</v>
      </c>
      <c r="F66" s="3" t="s">
        <v>19</v>
      </c>
      <c r="G66" s="3" t="s">
        <v>620</v>
      </c>
      <c r="H66" s="5">
        <v>1</v>
      </c>
      <c r="I66" s="3" t="s">
        <v>19</v>
      </c>
      <c r="J66" s="6">
        <v>50000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50000</v>
      </c>
    </row>
    <row r="67" spans="1:16" x14ac:dyDescent="0.25">
      <c r="A67" s="3" t="s">
        <v>708</v>
      </c>
      <c r="B67" s="4" t="s">
        <v>709</v>
      </c>
      <c r="C67" s="3" t="s">
        <v>19</v>
      </c>
      <c r="D67" s="3" t="s">
        <v>19</v>
      </c>
      <c r="E67" s="3" t="s">
        <v>20</v>
      </c>
      <c r="F67" s="3" t="s">
        <v>19</v>
      </c>
      <c r="G67" s="3" t="s">
        <v>623</v>
      </c>
      <c r="H67" s="5">
        <v>3</v>
      </c>
      <c r="I67" s="3" t="s">
        <v>19</v>
      </c>
      <c r="J67" s="6">
        <v>90000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90000</v>
      </c>
    </row>
    <row r="68" spans="1:16" x14ac:dyDescent="0.25">
      <c r="A68" s="3" t="s">
        <v>268</v>
      </c>
      <c r="B68" s="4" t="s">
        <v>269</v>
      </c>
      <c r="C68" s="3" t="s">
        <v>19</v>
      </c>
      <c r="D68" s="3" t="s">
        <v>19</v>
      </c>
      <c r="E68" s="3" t="s">
        <v>20</v>
      </c>
      <c r="F68" s="3" t="s">
        <v>19</v>
      </c>
      <c r="G68" s="3" t="s">
        <v>623</v>
      </c>
      <c r="H68" s="5">
        <v>1</v>
      </c>
      <c r="I68" s="3" t="s">
        <v>19</v>
      </c>
      <c r="J68" s="6">
        <v>30000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30000</v>
      </c>
    </row>
    <row r="69" spans="1:16" x14ac:dyDescent="0.25">
      <c r="A69" s="3" t="s">
        <v>710</v>
      </c>
      <c r="B69" s="4" t="s">
        <v>711</v>
      </c>
      <c r="C69" s="3" t="s">
        <v>19</v>
      </c>
      <c r="D69" s="3" t="s">
        <v>19</v>
      </c>
      <c r="E69" s="3" t="s">
        <v>20</v>
      </c>
      <c r="F69" s="3" t="s">
        <v>19</v>
      </c>
      <c r="G69" s="3" t="s">
        <v>620</v>
      </c>
      <c r="H69" s="5">
        <v>3</v>
      </c>
      <c r="I69" s="3" t="s">
        <v>19</v>
      </c>
      <c r="J69" s="6">
        <v>150000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150000</v>
      </c>
    </row>
    <row r="70" spans="1:16" x14ac:dyDescent="0.25">
      <c r="A70" s="3" t="s">
        <v>712</v>
      </c>
      <c r="B70" s="4" t="s">
        <v>713</v>
      </c>
      <c r="C70" s="3" t="s">
        <v>19</v>
      </c>
      <c r="D70" s="3" t="s">
        <v>19</v>
      </c>
      <c r="E70" s="3" t="s">
        <v>20</v>
      </c>
      <c r="F70" s="3" t="s">
        <v>19</v>
      </c>
      <c r="G70" s="3" t="s">
        <v>623</v>
      </c>
      <c r="H70" s="5">
        <v>1</v>
      </c>
      <c r="I70" s="3" t="s">
        <v>19</v>
      </c>
      <c r="J70" s="6">
        <v>30000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30000</v>
      </c>
    </row>
    <row r="71" spans="1:16" x14ac:dyDescent="0.25">
      <c r="A71" s="3" t="s">
        <v>714</v>
      </c>
      <c r="B71" s="4" t="s">
        <v>715</v>
      </c>
      <c r="C71" s="3" t="s">
        <v>19</v>
      </c>
      <c r="D71" s="3" t="s">
        <v>19</v>
      </c>
      <c r="E71" s="3" t="s">
        <v>20</v>
      </c>
      <c r="F71" s="3" t="s">
        <v>19</v>
      </c>
      <c r="G71" s="3" t="s">
        <v>623</v>
      </c>
      <c r="H71" s="5">
        <v>2</v>
      </c>
      <c r="I71" s="3" t="s">
        <v>19</v>
      </c>
      <c r="J71" s="6">
        <v>60000</v>
      </c>
      <c r="K71" s="6">
        <v>0</v>
      </c>
      <c r="L71" s="6">
        <v>0</v>
      </c>
      <c r="M71" s="6">
        <v>0</v>
      </c>
      <c r="N71" s="3" t="s">
        <v>19</v>
      </c>
      <c r="O71" s="6">
        <v>0</v>
      </c>
      <c r="P71" s="6">
        <f>J71-L71</f>
        <v>60000</v>
      </c>
    </row>
    <row r="72" spans="1:16" x14ac:dyDescent="0.25">
      <c r="A72" s="3" t="s">
        <v>716</v>
      </c>
      <c r="B72" s="4" t="s">
        <v>717</v>
      </c>
      <c r="C72" s="3" t="s">
        <v>19</v>
      </c>
      <c r="D72" s="3" t="s">
        <v>19</v>
      </c>
      <c r="E72" s="3" t="s">
        <v>20</v>
      </c>
      <c r="F72" s="3" t="s">
        <v>19</v>
      </c>
      <c r="G72" s="3" t="s">
        <v>620</v>
      </c>
      <c r="H72" s="5">
        <v>1</v>
      </c>
      <c r="I72" s="3" t="s">
        <v>19</v>
      </c>
      <c r="J72" s="6">
        <v>50000</v>
      </c>
      <c r="K72" s="6">
        <v>0</v>
      </c>
      <c r="L72" s="6">
        <v>0</v>
      </c>
      <c r="M72" s="6">
        <v>0</v>
      </c>
      <c r="N72" s="3" t="s">
        <v>19</v>
      </c>
      <c r="O72" s="6">
        <v>0</v>
      </c>
      <c r="P72" s="6">
        <f>J72-L72</f>
        <v>50000</v>
      </c>
    </row>
    <row r="73" spans="1:16" x14ac:dyDescent="0.25">
      <c r="A73" s="3" t="s">
        <v>718</v>
      </c>
      <c r="B73" s="4" t="s">
        <v>719</v>
      </c>
      <c r="C73" s="3" t="s">
        <v>19</v>
      </c>
      <c r="D73" s="3" t="s">
        <v>19</v>
      </c>
      <c r="E73" s="3" t="s">
        <v>20</v>
      </c>
      <c r="F73" s="3" t="s">
        <v>19</v>
      </c>
      <c r="G73" s="3" t="s">
        <v>623</v>
      </c>
      <c r="H73" s="5">
        <v>1</v>
      </c>
      <c r="I73" s="3" t="s">
        <v>19</v>
      </c>
      <c r="J73" s="6">
        <v>30000</v>
      </c>
      <c r="K73" s="6">
        <v>0</v>
      </c>
      <c r="L73" s="6">
        <v>0</v>
      </c>
      <c r="M73" s="6">
        <v>0</v>
      </c>
      <c r="N73" s="3" t="s">
        <v>19</v>
      </c>
      <c r="O73" s="6">
        <v>0</v>
      </c>
      <c r="P73" s="6">
        <f>J73-L73</f>
        <v>30000</v>
      </c>
    </row>
    <row r="74" spans="1:16" x14ac:dyDescent="0.25">
      <c r="A74" s="3" t="s">
        <v>720</v>
      </c>
      <c r="B74" s="4" t="s">
        <v>721</v>
      </c>
      <c r="C74" s="3" t="s">
        <v>19</v>
      </c>
      <c r="D74" s="3" t="s">
        <v>19</v>
      </c>
      <c r="E74" s="3" t="s">
        <v>20</v>
      </c>
      <c r="F74" s="3" t="s">
        <v>19</v>
      </c>
      <c r="G74" s="3" t="s">
        <v>623</v>
      </c>
      <c r="H74" s="5">
        <v>1</v>
      </c>
      <c r="I74" s="3" t="s">
        <v>19</v>
      </c>
      <c r="J74" s="6">
        <v>30000</v>
      </c>
      <c r="K74" s="6">
        <v>0</v>
      </c>
      <c r="L74" s="6">
        <v>0</v>
      </c>
      <c r="M74" s="6">
        <v>0</v>
      </c>
      <c r="N74" s="3" t="s">
        <v>19</v>
      </c>
      <c r="O74" s="6">
        <v>0</v>
      </c>
      <c r="P74" s="6">
        <f>J74-L74</f>
        <v>30000</v>
      </c>
    </row>
    <row r="75" spans="1:16" x14ac:dyDescent="0.25">
      <c r="A75" s="3" t="s">
        <v>722</v>
      </c>
      <c r="B75" s="4" t="s">
        <v>723</v>
      </c>
      <c r="C75" s="3" t="s">
        <v>19</v>
      </c>
      <c r="D75" s="3" t="s">
        <v>19</v>
      </c>
      <c r="E75" s="3" t="s">
        <v>20</v>
      </c>
      <c r="F75" s="3" t="s">
        <v>19</v>
      </c>
      <c r="G75" s="3" t="s">
        <v>620</v>
      </c>
      <c r="H75" s="5">
        <v>1</v>
      </c>
      <c r="I75" s="3" t="s">
        <v>19</v>
      </c>
      <c r="J75" s="6">
        <v>50000</v>
      </c>
      <c r="K75" s="6">
        <v>0</v>
      </c>
      <c r="L75" s="6">
        <v>0</v>
      </c>
      <c r="M75" s="6">
        <v>0</v>
      </c>
      <c r="N75" s="3" t="s">
        <v>19</v>
      </c>
      <c r="O75" s="6">
        <v>0</v>
      </c>
      <c r="P75" s="6">
        <f>J75-L75</f>
        <v>50000</v>
      </c>
    </row>
    <row r="76" spans="1:16" x14ac:dyDescent="0.25">
      <c r="A76" s="3" t="s">
        <v>724</v>
      </c>
      <c r="B76" s="4" t="s">
        <v>725</v>
      </c>
      <c r="C76" s="3" t="s">
        <v>19</v>
      </c>
      <c r="D76" s="3" t="s">
        <v>19</v>
      </c>
      <c r="E76" s="3" t="s">
        <v>20</v>
      </c>
      <c r="F76" s="3" t="s">
        <v>19</v>
      </c>
      <c r="G76" s="3" t="s">
        <v>620</v>
      </c>
      <c r="H76" s="5">
        <v>1</v>
      </c>
      <c r="I76" s="3" t="s">
        <v>19</v>
      </c>
      <c r="J76" s="6">
        <v>50000</v>
      </c>
      <c r="K76" s="6">
        <v>0</v>
      </c>
      <c r="L76" s="6">
        <v>0</v>
      </c>
      <c r="M76" s="6">
        <v>0</v>
      </c>
      <c r="N76" s="3" t="s">
        <v>19</v>
      </c>
      <c r="O76" s="6">
        <v>0</v>
      </c>
      <c r="P76" s="6">
        <f>J76-L76</f>
        <v>50000</v>
      </c>
    </row>
    <row r="77" spans="1:16" x14ac:dyDescent="0.25">
      <c r="A77" s="3" t="s">
        <v>726</v>
      </c>
      <c r="B77" s="4" t="s">
        <v>727</v>
      </c>
      <c r="C77" s="3" t="s">
        <v>19</v>
      </c>
      <c r="D77" s="3" t="s">
        <v>19</v>
      </c>
      <c r="E77" s="3" t="s">
        <v>25</v>
      </c>
      <c r="F77" s="3" t="s">
        <v>19</v>
      </c>
      <c r="G77" s="3" t="s">
        <v>620</v>
      </c>
      <c r="H77" s="5">
        <v>1</v>
      </c>
      <c r="I77" s="3" t="s">
        <v>19</v>
      </c>
      <c r="J77" s="6">
        <v>50000</v>
      </c>
      <c r="K77" s="6">
        <v>0</v>
      </c>
      <c r="L77" s="6">
        <v>0</v>
      </c>
      <c r="M77" s="6">
        <v>0</v>
      </c>
      <c r="N77" s="3" t="s">
        <v>19</v>
      </c>
      <c r="O77" s="6">
        <v>0</v>
      </c>
      <c r="P77" s="6">
        <f>J77-L77</f>
        <v>50000</v>
      </c>
    </row>
    <row r="78" spans="1:16" x14ac:dyDescent="0.25">
      <c r="A78" s="3" t="s">
        <v>728</v>
      </c>
      <c r="B78" s="4" t="s">
        <v>729</v>
      </c>
      <c r="C78" s="3" t="s">
        <v>19</v>
      </c>
      <c r="D78" s="3" t="s">
        <v>19</v>
      </c>
      <c r="E78" s="3" t="s">
        <v>25</v>
      </c>
      <c r="F78" s="3" t="s">
        <v>19</v>
      </c>
      <c r="G78" s="3" t="s">
        <v>620</v>
      </c>
      <c r="H78" s="5">
        <v>1</v>
      </c>
      <c r="I78" s="3" t="s">
        <v>19</v>
      </c>
      <c r="J78" s="6">
        <v>50000</v>
      </c>
      <c r="K78" s="6">
        <v>0</v>
      </c>
      <c r="L78" s="6">
        <v>0</v>
      </c>
      <c r="M78" s="6">
        <v>0</v>
      </c>
      <c r="N78" s="3" t="s">
        <v>19</v>
      </c>
      <c r="O78" s="6">
        <v>0</v>
      </c>
      <c r="P78" s="6">
        <f>J78-L78</f>
        <v>50000</v>
      </c>
    </row>
    <row r="79" spans="1:16" x14ac:dyDescent="0.25">
      <c r="A79" s="3" t="s">
        <v>730</v>
      </c>
      <c r="B79" s="4" t="s">
        <v>731</v>
      </c>
      <c r="C79" s="3" t="s">
        <v>19</v>
      </c>
      <c r="D79" s="3" t="s">
        <v>19</v>
      </c>
      <c r="E79" s="3" t="s">
        <v>25</v>
      </c>
      <c r="F79" s="3" t="s">
        <v>19</v>
      </c>
      <c r="G79" s="3" t="s">
        <v>620</v>
      </c>
      <c r="H79" s="5">
        <v>1</v>
      </c>
      <c r="I79" s="3" t="s">
        <v>19</v>
      </c>
      <c r="J79" s="6">
        <v>50000</v>
      </c>
      <c r="K79" s="6">
        <v>0</v>
      </c>
      <c r="L79" s="6">
        <v>0</v>
      </c>
      <c r="M79" s="6">
        <v>0</v>
      </c>
      <c r="N79" s="3" t="s">
        <v>19</v>
      </c>
      <c r="O79" s="6">
        <v>0</v>
      </c>
      <c r="P79" s="6">
        <f>J79-L79</f>
        <v>50000</v>
      </c>
    </row>
    <row r="80" spans="1:16" x14ac:dyDescent="0.25">
      <c r="A80" s="3" t="s">
        <v>732</v>
      </c>
      <c r="B80" s="4" t="s">
        <v>733</v>
      </c>
      <c r="C80" s="3" t="s">
        <v>19</v>
      </c>
      <c r="D80" s="3" t="s">
        <v>19</v>
      </c>
      <c r="E80" s="3" t="s">
        <v>25</v>
      </c>
      <c r="F80" s="3" t="s">
        <v>19</v>
      </c>
      <c r="G80" s="3" t="s">
        <v>620</v>
      </c>
      <c r="H80" s="5">
        <v>1</v>
      </c>
      <c r="I80" s="3" t="s">
        <v>19</v>
      </c>
      <c r="J80" s="6">
        <v>50000</v>
      </c>
      <c r="K80" s="6">
        <v>0</v>
      </c>
      <c r="L80" s="6">
        <v>0</v>
      </c>
      <c r="M80" s="6">
        <v>0</v>
      </c>
      <c r="N80" s="3" t="s">
        <v>19</v>
      </c>
      <c r="O80" s="6">
        <v>0</v>
      </c>
      <c r="P80" s="6">
        <f>J80-L80</f>
        <v>50000</v>
      </c>
    </row>
    <row r="81" ht="18" customHeight="1" spans="1:16" x14ac:dyDescent="0.25">
      <c r="A81" s="7" t="s">
        <v>34</v>
      </c>
      <c r="B81" s="7"/>
      <c r="C81" s="7"/>
      <c r="D81" s="7"/>
      <c r="E81" s="7"/>
      <c r="F81" s="7"/>
      <c r="G81" s="7"/>
      <c r="H81" s="8">
        <f>SUM(H58:H80)</f>
        <v>31</v>
      </c>
      <c r="I81" s="7"/>
      <c r="J81" s="9">
        <f>SUM(J58:J80)</f>
        <v>1290000</v>
      </c>
      <c r="K81" s="9">
        <f>SUM(K58:K80)</f>
        <v>0</v>
      </c>
      <c r="L81" s="9">
        <f>SUM(L58:L80)</f>
        <v>0</v>
      </c>
      <c r="M81" s="9">
        <f>SUM(M58:M80)</f>
        <v>0</v>
      </c>
      <c r="N81" s="7"/>
      <c r="O81" s="9">
        <f>SUM(O58:O80)</f>
        <v>0</v>
      </c>
      <c r="P81" s="9">
        <f>SUM(P58:P80)</f>
        <v>1290000</v>
      </c>
    </row>
    <row r="85" ht="15.75" customHeight="1" spans="1:16" x14ac:dyDescent="0.25">
      <c r="A85" s="1" t="s">
        <v>60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39.4" customHeight="1" spans="1:16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2" t="s">
        <v>9</v>
      </c>
      <c r="J86" s="2" t="s">
        <v>10</v>
      </c>
      <c r="K86" s="2" t="s">
        <v>11</v>
      </c>
      <c r="L86" s="2" t="s">
        <v>12</v>
      </c>
      <c r="M86" s="2" t="s">
        <v>13</v>
      </c>
      <c r="N86" s="2" t="s">
        <v>14</v>
      </c>
      <c r="O86" s="2" t="s">
        <v>15</v>
      </c>
      <c r="P86" s="2" t="s">
        <v>16</v>
      </c>
    </row>
    <row r="87" spans="1:16" x14ac:dyDescent="0.25">
      <c r="A87" s="3" t="s">
        <v>734</v>
      </c>
      <c r="B87" s="4" t="s">
        <v>735</v>
      </c>
      <c r="C87" s="3" t="s">
        <v>19</v>
      </c>
      <c r="D87" s="3" t="s">
        <v>19</v>
      </c>
      <c r="E87" s="3" t="s">
        <v>52</v>
      </c>
      <c r="F87" s="3" t="s">
        <v>19</v>
      </c>
      <c r="G87" s="3" t="s">
        <v>620</v>
      </c>
      <c r="H87" s="5">
        <v>1</v>
      </c>
      <c r="I87" s="3" t="s">
        <v>19</v>
      </c>
      <c r="J87" s="6">
        <v>50000</v>
      </c>
      <c r="K87" s="6">
        <v>0</v>
      </c>
      <c r="L87" s="6">
        <v>0</v>
      </c>
      <c r="M87" s="6">
        <v>0</v>
      </c>
      <c r="N87" s="3" t="s">
        <v>19</v>
      </c>
      <c r="O87" s="6">
        <v>0</v>
      </c>
      <c r="P87" s="6">
        <f>J87-L87</f>
        <v>50000</v>
      </c>
    </row>
    <row r="88" spans="1:16" x14ac:dyDescent="0.25">
      <c r="A88" s="3" t="s">
        <v>329</v>
      </c>
      <c r="B88" s="4" t="s">
        <v>330</v>
      </c>
      <c r="C88" s="3" t="s">
        <v>19</v>
      </c>
      <c r="D88" s="3" t="s">
        <v>19</v>
      </c>
      <c r="E88" s="3" t="s">
        <v>52</v>
      </c>
      <c r="F88" s="3" t="s">
        <v>19</v>
      </c>
      <c r="G88" s="3" t="s">
        <v>623</v>
      </c>
      <c r="H88" s="5">
        <v>1</v>
      </c>
      <c r="I88" s="3" t="s">
        <v>19</v>
      </c>
      <c r="J88" s="6">
        <v>30000</v>
      </c>
      <c r="K88" s="6">
        <v>0</v>
      </c>
      <c r="L88" s="6">
        <v>0</v>
      </c>
      <c r="M88" s="6">
        <v>0</v>
      </c>
      <c r="N88" s="3" t="s">
        <v>19</v>
      </c>
      <c r="O88" s="6">
        <v>0</v>
      </c>
      <c r="P88" s="6">
        <f>J88-L88</f>
        <v>30000</v>
      </c>
    </row>
    <row r="89" spans="1:16" x14ac:dyDescent="0.25">
      <c r="A89" s="3" t="s">
        <v>736</v>
      </c>
      <c r="B89" s="4" t="s">
        <v>737</v>
      </c>
      <c r="C89" s="3" t="s">
        <v>19</v>
      </c>
      <c r="D89" s="3" t="s">
        <v>19</v>
      </c>
      <c r="E89" s="3" t="s">
        <v>52</v>
      </c>
      <c r="F89" s="3" t="s">
        <v>19</v>
      </c>
      <c r="G89" s="3" t="s">
        <v>623</v>
      </c>
      <c r="H89" s="5">
        <v>1</v>
      </c>
      <c r="I89" s="3" t="s">
        <v>19</v>
      </c>
      <c r="J89" s="6">
        <v>30000</v>
      </c>
      <c r="K89" s="6">
        <v>0</v>
      </c>
      <c r="L89" s="6">
        <v>0</v>
      </c>
      <c r="M89" s="6">
        <v>0</v>
      </c>
      <c r="N89" s="3" t="s">
        <v>19</v>
      </c>
      <c r="O89" s="6">
        <v>0</v>
      </c>
      <c r="P89" s="6">
        <f>J89-L89</f>
        <v>30000</v>
      </c>
    </row>
    <row r="90" spans="1:16" x14ac:dyDescent="0.25">
      <c r="A90" s="3" t="s">
        <v>738</v>
      </c>
      <c r="B90" s="4" t="s">
        <v>739</v>
      </c>
      <c r="C90" s="3" t="s">
        <v>19</v>
      </c>
      <c r="D90" s="3" t="s">
        <v>19</v>
      </c>
      <c r="E90" s="3" t="s">
        <v>52</v>
      </c>
      <c r="F90" s="3" t="s">
        <v>19</v>
      </c>
      <c r="G90" s="3" t="s">
        <v>623</v>
      </c>
      <c r="H90" s="5">
        <v>2</v>
      </c>
      <c r="I90" s="3" t="s">
        <v>19</v>
      </c>
      <c r="J90" s="6">
        <v>60000</v>
      </c>
      <c r="K90" s="6">
        <v>0</v>
      </c>
      <c r="L90" s="6">
        <v>0</v>
      </c>
      <c r="M90" s="6">
        <v>0</v>
      </c>
      <c r="N90" s="3" t="s">
        <v>19</v>
      </c>
      <c r="O90" s="6">
        <v>0</v>
      </c>
      <c r="P90" s="6">
        <f>J90-L90</f>
        <v>60000</v>
      </c>
    </row>
    <row r="91" spans="1:16" x14ac:dyDescent="0.25">
      <c r="A91" s="3" t="s">
        <v>740</v>
      </c>
      <c r="B91" s="4" t="s">
        <v>741</v>
      </c>
      <c r="C91" s="3" t="s">
        <v>19</v>
      </c>
      <c r="D91" s="3" t="s">
        <v>19</v>
      </c>
      <c r="E91" s="3" t="s">
        <v>52</v>
      </c>
      <c r="F91" s="3" t="s">
        <v>19</v>
      </c>
      <c r="G91" s="3" t="s">
        <v>620</v>
      </c>
      <c r="H91" s="5">
        <v>1</v>
      </c>
      <c r="I91" s="3" t="s">
        <v>19</v>
      </c>
      <c r="J91" s="6">
        <v>50000</v>
      </c>
      <c r="K91" s="6">
        <v>0</v>
      </c>
      <c r="L91" s="6">
        <v>0</v>
      </c>
      <c r="M91" s="6">
        <v>0</v>
      </c>
      <c r="N91" s="3" t="s">
        <v>19</v>
      </c>
      <c r="O91" s="6">
        <v>0</v>
      </c>
      <c r="P91" s="6">
        <f>J91-L91</f>
        <v>50000</v>
      </c>
    </row>
    <row r="92" ht="18" customHeight="1" spans="1:16" x14ac:dyDescent="0.25">
      <c r="A92" s="7" t="s">
        <v>34</v>
      </c>
      <c r="B92" s="7"/>
      <c r="C92" s="7"/>
      <c r="D92" s="7"/>
      <c r="E92" s="7"/>
      <c r="F92" s="7"/>
      <c r="G92" s="7"/>
      <c r="H92" s="8">
        <f>SUM(H87:H91)</f>
        <v>6</v>
      </c>
      <c r="I92" s="7"/>
      <c r="J92" s="9">
        <f>SUM(J87:J91)</f>
        <v>220000</v>
      </c>
      <c r="K92" s="9">
        <f>SUM(K87:K91)</f>
        <v>0</v>
      </c>
      <c r="L92" s="9">
        <f>SUM(L87:L91)</f>
        <v>0</v>
      </c>
      <c r="M92" s="9">
        <f>SUM(M87:M91)</f>
        <v>0</v>
      </c>
      <c r="N92" s="7"/>
      <c r="O92" s="9">
        <f>SUM(O87:O91)</f>
        <v>0</v>
      </c>
      <c r="P92" s="9">
        <f>SUM(P87:P91)</f>
        <v>220000</v>
      </c>
    </row>
    <row r="96" ht="15.75" customHeight="1" spans="1:16" x14ac:dyDescent="0.25">
      <c r="A96" s="1" t="s">
        <v>65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39.4" customHeight="1" spans="1:16" x14ac:dyDescent="0.25">
      <c r="A97" s="2" t="s">
        <v>1</v>
      </c>
      <c r="B97" s="2" t="s">
        <v>2</v>
      </c>
      <c r="C97" s="2" t="s">
        <v>3</v>
      </c>
      <c r="D97" s="2" t="s">
        <v>4</v>
      </c>
      <c r="E97" s="2" t="s">
        <v>5</v>
      </c>
      <c r="F97" s="2" t="s">
        <v>6</v>
      </c>
      <c r="G97" s="2" t="s">
        <v>7</v>
      </c>
      <c r="H97" s="2" t="s">
        <v>8</v>
      </c>
      <c r="I97" s="2" t="s">
        <v>9</v>
      </c>
      <c r="J97" s="2" t="s">
        <v>10</v>
      </c>
      <c r="K97" s="2" t="s">
        <v>11</v>
      </c>
      <c r="L97" s="2" t="s">
        <v>12</v>
      </c>
      <c r="M97" s="2" t="s">
        <v>13</v>
      </c>
      <c r="N97" s="2" t="s">
        <v>14</v>
      </c>
      <c r="O97" s="2" t="s">
        <v>15</v>
      </c>
      <c r="P97" s="2" t="s">
        <v>16</v>
      </c>
    </row>
    <row r="98" spans="1:16" x14ac:dyDescent="0.25">
      <c r="A98" s="3" t="s">
        <v>742</v>
      </c>
      <c r="B98" s="4" t="s">
        <v>743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623</v>
      </c>
      <c r="H98" s="5">
        <v>1</v>
      </c>
      <c r="I98" s="3" t="s">
        <v>19</v>
      </c>
      <c r="J98" s="6">
        <v>30000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30000</v>
      </c>
    </row>
    <row r="99" spans="1:16" x14ac:dyDescent="0.25">
      <c r="A99" s="3" t="s">
        <v>744</v>
      </c>
      <c r="B99" s="4" t="s">
        <v>745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623</v>
      </c>
      <c r="H99" s="5">
        <v>1</v>
      </c>
      <c r="I99" s="3" t="s">
        <v>19</v>
      </c>
      <c r="J99" s="6">
        <v>30000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30000</v>
      </c>
    </row>
    <row r="100" spans="1:16" x14ac:dyDescent="0.25">
      <c r="A100" s="3" t="s">
        <v>746</v>
      </c>
      <c r="B100" s="4" t="s">
        <v>747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623</v>
      </c>
      <c r="H100" s="5">
        <v>1</v>
      </c>
      <c r="I100" s="3" t="s">
        <v>19</v>
      </c>
      <c r="J100" s="6">
        <v>30000</v>
      </c>
      <c r="K100" s="6">
        <v>0</v>
      </c>
      <c r="L100" s="6">
        <v>0</v>
      </c>
      <c r="M100" s="6">
        <v>0</v>
      </c>
      <c r="N100" s="3" t="s">
        <v>19</v>
      </c>
      <c r="O100" s="6">
        <v>0</v>
      </c>
      <c r="P100" s="6">
        <f>J100-L100</f>
        <v>30000</v>
      </c>
    </row>
    <row r="101" spans="1:16" x14ac:dyDescent="0.25">
      <c r="A101" s="3" t="s">
        <v>748</v>
      </c>
      <c r="B101" s="4" t="s">
        <v>749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620</v>
      </c>
      <c r="H101" s="5">
        <v>3</v>
      </c>
      <c r="I101" s="3" t="s">
        <v>19</v>
      </c>
      <c r="J101" s="6">
        <v>150000</v>
      </c>
      <c r="K101" s="6">
        <v>0</v>
      </c>
      <c r="L101" s="6">
        <v>0</v>
      </c>
      <c r="M101" s="6">
        <v>0</v>
      </c>
      <c r="N101" s="3" t="s">
        <v>19</v>
      </c>
      <c r="O101" s="6">
        <v>0</v>
      </c>
      <c r="P101" s="6">
        <f>J101-L101</f>
        <v>150000</v>
      </c>
    </row>
    <row r="102" spans="1:16" x14ac:dyDescent="0.25">
      <c r="A102" s="3" t="s">
        <v>750</v>
      </c>
      <c r="B102" s="4" t="s">
        <v>751</v>
      </c>
      <c r="C102" s="3" t="s">
        <v>19</v>
      </c>
      <c r="D102" s="3" t="s">
        <v>19</v>
      </c>
      <c r="E102" s="3" t="s">
        <v>20</v>
      </c>
      <c r="F102" s="3" t="s">
        <v>19</v>
      </c>
      <c r="G102" s="3" t="s">
        <v>623</v>
      </c>
      <c r="H102" s="5">
        <v>1</v>
      </c>
      <c r="I102" s="3" t="s">
        <v>19</v>
      </c>
      <c r="J102" s="6">
        <v>30000</v>
      </c>
      <c r="K102" s="6">
        <v>0</v>
      </c>
      <c r="L102" s="6">
        <v>0</v>
      </c>
      <c r="M102" s="6">
        <v>0</v>
      </c>
      <c r="N102" s="3" t="s">
        <v>19</v>
      </c>
      <c r="O102" s="6">
        <v>0</v>
      </c>
      <c r="P102" s="6">
        <f>J102-L102</f>
        <v>30000</v>
      </c>
    </row>
    <row r="103" spans="1:16" x14ac:dyDescent="0.25">
      <c r="A103" s="3" t="s">
        <v>752</v>
      </c>
      <c r="B103" s="4" t="s">
        <v>753</v>
      </c>
      <c r="C103" s="3" t="s">
        <v>19</v>
      </c>
      <c r="D103" s="3" t="s">
        <v>19</v>
      </c>
      <c r="E103" s="3" t="s">
        <v>20</v>
      </c>
      <c r="F103" s="3" t="s">
        <v>19</v>
      </c>
      <c r="G103" s="3" t="s">
        <v>623</v>
      </c>
      <c r="H103" s="5">
        <v>1</v>
      </c>
      <c r="I103" s="3" t="s">
        <v>19</v>
      </c>
      <c r="J103" s="6">
        <v>30000</v>
      </c>
      <c r="K103" s="6">
        <v>0</v>
      </c>
      <c r="L103" s="6">
        <v>0</v>
      </c>
      <c r="M103" s="6">
        <v>0</v>
      </c>
      <c r="N103" s="3" t="s">
        <v>19</v>
      </c>
      <c r="O103" s="6">
        <v>0</v>
      </c>
      <c r="P103" s="6">
        <f>J103-L103</f>
        <v>30000</v>
      </c>
    </row>
    <row r="104" spans="1:16" x14ac:dyDescent="0.25">
      <c r="A104" s="3" t="s">
        <v>754</v>
      </c>
      <c r="B104" s="4" t="s">
        <v>755</v>
      </c>
      <c r="C104" s="3" t="s">
        <v>19</v>
      </c>
      <c r="D104" s="3" t="s">
        <v>19</v>
      </c>
      <c r="E104" s="3" t="s">
        <v>20</v>
      </c>
      <c r="F104" s="3" t="s">
        <v>19</v>
      </c>
      <c r="G104" s="3" t="s">
        <v>620</v>
      </c>
      <c r="H104" s="5">
        <v>1</v>
      </c>
      <c r="I104" s="3" t="s">
        <v>19</v>
      </c>
      <c r="J104" s="6">
        <v>50000</v>
      </c>
      <c r="K104" s="6">
        <v>0</v>
      </c>
      <c r="L104" s="6">
        <v>0</v>
      </c>
      <c r="M104" s="6">
        <v>0</v>
      </c>
      <c r="N104" s="3" t="s">
        <v>19</v>
      </c>
      <c r="O104" s="6">
        <v>0</v>
      </c>
      <c r="P104" s="6">
        <f>J104-L104</f>
        <v>50000</v>
      </c>
    </row>
    <row r="105" spans="1:16" x14ac:dyDescent="0.25">
      <c r="A105" s="3" t="s">
        <v>756</v>
      </c>
      <c r="B105" s="4" t="s">
        <v>757</v>
      </c>
      <c r="C105" s="3" t="s">
        <v>19</v>
      </c>
      <c r="D105" s="3" t="s">
        <v>19</v>
      </c>
      <c r="E105" s="3" t="s">
        <v>20</v>
      </c>
      <c r="F105" s="3" t="s">
        <v>19</v>
      </c>
      <c r="G105" s="3" t="s">
        <v>620</v>
      </c>
      <c r="H105" s="5">
        <v>7</v>
      </c>
      <c r="I105" s="3" t="s">
        <v>19</v>
      </c>
      <c r="J105" s="6">
        <v>350000</v>
      </c>
      <c r="K105" s="6">
        <v>0</v>
      </c>
      <c r="L105" s="6">
        <v>0</v>
      </c>
      <c r="M105" s="6">
        <v>0</v>
      </c>
      <c r="N105" s="3" t="s">
        <v>19</v>
      </c>
      <c r="O105" s="6">
        <v>0</v>
      </c>
      <c r="P105" s="6">
        <f>J105-L105</f>
        <v>350000</v>
      </c>
    </row>
    <row r="106" spans="1:16" x14ac:dyDescent="0.25">
      <c r="A106" s="3" t="s">
        <v>758</v>
      </c>
      <c r="B106" s="4" t="s">
        <v>759</v>
      </c>
      <c r="C106" s="3" t="s">
        <v>19</v>
      </c>
      <c r="D106" s="3" t="s">
        <v>19</v>
      </c>
      <c r="E106" s="3" t="s">
        <v>52</v>
      </c>
      <c r="F106" s="3" t="s">
        <v>19</v>
      </c>
      <c r="G106" s="3" t="s">
        <v>620</v>
      </c>
      <c r="H106" s="5">
        <v>1</v>
      </c>
      <c r="I106" s="3" t="s">
        <v>19</v>
      </c>
      <c r="J106" s="6">
        <v>50000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50000</v>
      </c>
    </row>
    <row r="107" spans="1:16" x14ac:dyDescent="0.25">
      <c r="A107" s="3" t="s">
        <v>760</v>
      </c>
      <c r="B107" s="4" t="s">
        <v>761</v>
      </c>
      <c r="C107" s="3" t="s">
        <v>19</v>
      </c>
      <c r="D107" s="3" t="s">
        <v>19</v>
      </c>
      <c r="E107" s="3" t="s">
        <v>52</v>
      </c>
      <c r="F107" s="3" t="s">
        <v>19</v>
      </c>
      <c r="G107" s="3" t="s">
        <v>620</v>
      </c>
      <c r="H107" s="5">
        <v>1</v>
      </c>
      <c r="I107" s="3" t="s">
        <v>19</v>
      </c>
      <c r="J107" s="6">
        <v>50000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50000</v>
      </c>
    </row>
    <row r="108" ht="18" customHeight="1" spans="1:16" x14ac:dyDescent="0.25">
      <c r="A108" s="7" t="s">
        <v>34</v>
      </c>
      <c r="B108" s="7"/>
      <c r="C108" s="7"/>
      <c r="D108" s="7"/>
      <c r="E108" s="7"/>
      <c r="F108" s="7"/>
      <c r="G108" s="7"/>
      <c r="H108" s="8">
        <f>SUM(H98:H107)</f>
        <v>18</v>
      </c>
      <c r="I108" s="7"/>
      <c r="J108" s="9">
        <f>SUM(J98:J107)</f>
        <v>800000</v>
      </c>
      <c r="K108" s="9">
        <f>SUM(K98:K107)</f>
        <v>0</v>
      </c>
      <c r="L108" s="9">
        <f>SUM(L98:L107)</f>
        <v>0</v>
      </c>
      <c r="M108" s="9">
        <f>SUM(M98:M107)</f>
        <v>0</v>
      </c>
      <c r="N108" s="7"/>
      <c r="O108" s="9">
        <f>SUM(O98:O107)</f>
        <v>0</v>
      </c>
      <c r="P108" s="9">
        <f>SUM(P98:P107)</f>
        <v>800000</v>
      </c>
    </row>
    <row r="112" ht="15.75" customHeight="1" spans="1:16" x14ac:dyDescent="0.25">
      <c r="A112" s="1" t="s">
        <v>80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39.4" customHeight="1" spans="1:16" x14ac:dyDescent="0.25">
      <c r="A113" s="2" t="s">
        <v>1</v>
      </c>
      <c r="B113" s="2" t="s">
        <v>2</v>
      </c>
      <c r="C113" s="2" t="s">
        <v>3</v>
      </c>
      <c r="D113" s="2" t="s">
        <v>4</v>
      </c>
      <c r="E113" s="2" t="s">
        <v>5</v>
      </c>
      <c r="F113" s="2" t="s">
        <v>6</v>
      </c>
      <c r="G113" s="2" t="s">
        <v>7</v>
      </c>
      <c r="H113" s="2" t="s">
        <v>8</v>
      </c>
      <c r="I113" s="2" t="s">
        <v>9</v>
      </c>
      <c r="J113" s="2" t="s">
        <v>10</v>
      </c>
      <c r="K113" s="2" t="s">
        <v>11</v>
      </c>
      <c r="L113" s="2" t="s">
        <v>12</v>
      </c>
      <c r="M113" s="2" t="s">
        <v>13</v>
      </c>
      <c r="N113" s="2" t="s">
        <v>14</v>
      </c>
      <c r="O113" s="2" t="s">
        <v>15</v>
      </c>
      <c r="P113" s="2" t="s">
        <v>16</v>
      </c>
    </row>
    <row r="114" spans="1:16" x14ac:dyDescent="0.25">
      <c r="A114" s="3" t="s">
        <v>762</v>
      </c>
      <c r="B114" s="4" t="s">
        <v>763</v>
      </c>
      <c r="C114" s="3" t="s">
        <v>19</v>
      </c>
      <c r="D114" s="3" t="s">
        <v>19</v>
      </c>
      <c r="E114" s="3" t="s">
        <v>20</v>
      </c>
      <c r="F114" s="3" t="s">
        <v>19</v>
      </c>
      <c r="G114" s="3" t="s">
        <v>623</v>
      </c>
      <c r="H114" s="5">
        <v>1</v>
      </c>
      <c r="I114" s="3" t="s">
        <v>19</v>
      </c>
      <c r="J114" s="6">
        <v>30000</v>
      </c>
      <c r="K114" s="6">
        <v>0</v>
      </c>
      <c r="L114" s="6">
        <v>0</v>
      </c>
      <c r="M114" s="6">
        <v>0</v>
      </c>
      <c r="N114" s="3" t="s">
        <v>19</v>
      </c>
      <c r="O114" s="6">
        <v>0</v>
      </c>
      <c r="P114" s="6">
        <f>J114-L114</f>
        <v>30000</v>
      </c>
    </row>
    <row r="115" spans="1:16" x14ac:dyDescent="0.25">
      <c r="A115" s="3" t="s">
        <v>764</v>
      </c>
      <c r="B115" s="4" t="s">
        <v>765</v>
      </c>
      <c r="C115" s="3" t="s">
        <v>19</v>
      </c>
      <c r="D115" s="3" t="s">
        <v>19</v>
      </c>
      <c r="E115" s="3" t="s">
        <v>20</v>
      </c>
      <c r="F115" s="3" t="s">
        <v>19</v>
      </c>
      <c r="G115" s="3" t="s">
        <v>623</v>
      </c>
      <c r="H115" s="5">
        <v>1</v>
      </c>
      <c r="I115" s="3" t="s">
        <v>19</v>
      </c>
      <c r="J115" s="6">
        <v>30000</v>
      </c>
      <c r="K115" s="6">
        <v>0</v>
      </c>
      <c r="L115" s="6">
        <v>0</v>
      </c>
      <c r="M115" s="6">
        <v>0</v>
      </c>
      <c r="N115" s="3" t="s">
        <v>19</v>
      </c>
      <c r="O115" s="6">
        <v>0</v>
      </c>
      <c r="P115" s="6">
        <f>J115-L115</f>
        <v>30000</v>
      </c>
    </row>
    <row r="116" spans="1:16" x14ac:dyDescent="0.25">
      <c r="A116" s="3" t="s">
        <v>766</v>
      </c>
      <c r="B116" s="4" t="s">
        <v>767</v>
      </c>
      <c r="C116" s="3" t="s">
        <v>19</v>
      </c>
      <c r="D116" s="3" t="s">
        <v>19</v>
      </c>
      <c r="E116" s="3" t="s">
        <v>20</v>
      </c>
      <c r="F116" s="3" t="s">
        <v>19</v>
      </c>
      <c r="G116" s="3" t="s">
        <v>620</v>
      </c>
      <c r="H116" s="5">
        <v>1</v>
      </c>
      <c r="I116" s="3" t="s">
        <v>19</v>
      </c>
      <c r="J116" s="6">
        <v>50000</v>
      </c>
      <c r="K116" s="6">
        <v>0</v>
      </c>
      <c r="L116" s="6">
        <v>0</v>
      </c>
      <c r="M116" s="6">
        <v>0</v>
      </c>
      <c r="N116" s="3" t="s">
        <v>19</v>
      </c>
      <c r="O116" s="6">
        <v>0</v>
      </c>
      <c r="P116" s="6">
        <f>J116-L116</f>
        <v>50000</v>
      </c>
    </row>
    <row r="117" spans="1:16" x14ac:dyDescent="0.25">
      <c r="A117" s="3" t="s">
        <v>768</v>
      </c>
      <c r="B117" s="4" t="s">
        <v>769</v>
      </c>
      <c r="C117" s="3" t="s">
        <v>19</v>
      </c>
      <c r="D117" s="3" t="s">
        <v>19</v>
      </c>
      <c r="E117" s="3" t="s">
        <v>20</v>
      </c>
      <c r="F117" s="3" t="s">
        <v>19</v>
      </c>
      <c r="G117" s="3" t="s">
        <v>623</v>
      </c>
      <c r="H117" s="5">
        <v>1</v>
      </c>
      <c r="I117" s="3" t="s">
        <v>19</v>
      </c>
      <c r="J117" s="6">
        <v>30000</v>
      </c>
      <c r="K117" s="6">
        <v>0</v>
      </c>
      <c r="L117" s="6">
        <v>0</v>
      </c>
      <c r="M117" s="6">
        <v>0</v>
      </c>
      <c r="N117" s="3" t="s">
        <v>19</v>
      </c>
      <c r="O117" s="6">
        <v>0</v>
      </c>
      <c r="P117" s="6">
        <f>J117-L117</f>
        <v>30000</v>
      </c>
    </row>
    <row r="118" spans="1:16" x14ac:dyDescent="0.25">
      <c r="A118" s="3" t="s">
        <v>770</v>
      </c>
      <c r="B118" s="4" t="s">
        <v>771</v>
      </c>
      <c r="C118" s="3" t="s">
        <v>19</v>
      </c>
      <c r="D118" s="3" t="s">
        <v>19</v>
      </c>
      <c r="E118" s="3" t="s">
        <v>20</v>
      </c>
      <c r="F118" s="3" t="s">
        <v>19</v>
      </c>
      <c r="G118" s="3" t="s">
        <v>620</v>
      </c>
      <c r="H118" s="5">
        <v>1</v>
      </c>
      <c r="I118" s="3" t="s">
        <v>19</v>
      </c>
      <c r="J118" s="6">
        <v>50000</v>
      </c>
      <c r="K118" s="6">
        <v>0</v>
      </c>
      <c r="L118" s="6">
        <v>0</v>
      </c>
      <c r="M118" s="6">
        <v>0</v>
      </c>
      <c r="N118" s="3" t="s">
        <v>19</v>
      </c>
      <c r="O118" s="6">
        <v>0</v>
      </c>
      <c r="P118" s="6">
        <f>J118-L118</f>
        <v>50000</v>
      </c>
    </row>
    <row r="119" spans="1:16" x14ac:dyDescent="0.25">
      <c r="A119" s="3" t="s">
        <v>772</v>
      </c>
      <c r="B119" s="4" t="s">
        <v>773</v>
      </c>
      <c r="C119" s="3" t="s">
        <v>19</v>
      </c>
      <c r="D119" s="3" t="s">
        <v>19</v>
      </c>
      <c r="E119" s="3" t="s">
        <v>20</v>
      </c>
      <c r="F119" s="3" t="s">
        <v>19</v>
      </c>
      <c r="G119" s="3" t="s">
        <v>620</v>
      </c>
      <c r="H119" s="5">
        <v>1</v>
      </c>
      <c r="I119" s="3" t="s">
        <v>19</v>
      </c>
      <c r="J119" s="6">
        <v>50000</v>
      </c>
      <c r="K119" s="6">
        <v>0</v>
      </c>
      <c r="L119" s="6">
        <v>0</v>
      </c>
      <c r="M119" s="6">
        <v>0</v>
      </c>
      <c r="N119" s="3" t="s">
        <v>19</v>
      </c>
      <c r="O119" s="6">
        <v>0</v>
      </c>
      <c r="P119" s="6">
        <f>J119-L119</f>
        <v>50000</v>
      </c>
    </row>
    <row r="120" spans="1:16" x14ac:dyDescent="0.25">
      <c r="A120" s="3" t="s">
        <v>774</v>
      </c>
      <c r="B120" s="4" t="s">
        <v>775</v>
      </c>
      <c r="C120" s="3" t="s">
        <v>19</v>
      </c>
      <c r="D120" s="3" t="s">
        <v>19</v>
      </c>
      <c r="E120" s="3" t="s">
        <v>20</v>
      </c>
      <c r="F120" s="3" t="s">
        <v>19</v>
      </c>
      <c r="G120" s="3" t="s">
        <v>620</v>
      </c>
      <c r="H120" s="5">
        <v>2</v>
      </c>
      <c r="I120" s="3" t="s">
        <v>19</v>
      </c>
      <c r="J120" s="6">
        <v>100000</v>
      </c>
      <c r="K120" s="6">
        <v>0</v>
      </c>
      <c r="L120" s="6">
        <v>0</v>
      </c>
      <c r="M120" s="6">
        <v>0</v>
      </c>
      <c r="N120" s="3" t="s">
        <v>19</v>
      </c>
      <c r="O120" s="6">
        <v>0</v>
      </c>
      <c r="P120" s="6">
        <f>J120-L120</f>
        <v>100000</v>
      </c>
    </row>
    <row r="121" spans="1:16" x14ac:dyDescent="0.25">
      <c r="A121" s="3" t="s">
        <v>776</v>
      </c>
      <c r="B121" s="4" t="s">
        <v>777</v>
      </c>
      <c r="C121" s="3" t="s">
        <v>19</v>
      </c>
      <c r="D121" s="3" t="s">
        <v>19</v>
      </c>
      <c r="E121" s="3" t="s">
        <v>20</v>
      </c>
      <c r="F121" s="3" t="s">
        <v>19</v>
      </c>
      <c r="G121" s="3" t="s">
        <v>620</v>
      </c>
      <c r="H121" s="5">
        <v>1</v>
      </c>
      <c r="I121" s="3" t="s">
        <v>19</v>
      </c>
      <c r="J121" s="6">
        <v>50000</v>
      </c>
      <c r="K121" s="6">
        <v>0</v>
      </c>
      <c r="L121" s="6">
        <v>0</v>
      </c>
      <c r="M121" s="6">
        <v>0</v>
      </c>
      <c r="N121" s="3" t="s">
        <v>19</v>
      </c>
      <c r="O121" s="6">
        <v>0</v>
      </c>
      <c r="P121" s="6">
        <f>J121-L121</f>
        <v>50000</v>
      </c>
    </row>
    <row r="122" spans="1:16" x14ac:dyDescent="0.25">
      <c r="A122" s="3" t="s">
        <v>778</v>
      </c>
      <c r="B122" s="4" t="s">
        <v>779</v>
      </c>
      <c r="C122" s="3" t="s">
        <v>19</v>
      </c>
      <c r="D122" s="3" t="s">
        <v>19</v>
      </c>
      <c r="E122" s="3" t="s">
        <v>20</v>
      </c>
      <c r="F122" s="3" t="s">
        <v>19</v>
      </c>
      <c r="G122" s="3" t="s">
        <v>623</v>
      </c>
      <c r="H122" s="5">
        <v>4</v>
      </c>
      <c r="I122" s="3" t="s">
        <v>19</v>
      </c>
      <c r="J122" s="6">
        <v>120000</v>
      </c>
      <c r="K122" s="6">
        <v>0</v>
      </c>
      <c r="L122" s="6">
        <v>0</v>
      </c>
      <c r="M122" s="6">
        <v>0</v>
      </c>
      <c r="N122" s="3" t="s">
        <v>19</v>
      </c>
      <c r="O122" s="6">
        <v>0</v>
      </c>
      <c r="P122" s="6">
        <f>J122-L122</f>
        <v>120000</v>
      </c>
    </row>
    <row r="123" spans="1:16" x14ac:dyDescent="0.25">
      <c r="A123" s="3" t="s">
        <v>780</v>
      </c>
      <c r="B123" s="4" t="s">
        <v>781</v>
      </c>
      <c r="C123" s="3" t="s">
        <v>19</v>
      </c>
      <c r="D123" s="3" t="s">
        <v>19</v>
      </c>
      <c r="E123" s="3" t="s">
        <v>20</v>
      </c>
      <c r="F123" s="3" t="s">
        <v>19</v>
      </c>
      <c r="G123" s="3" t="s">
        <v>620</v>
      </c>
      <c r="H123" s="5">
        <v>1</v>
      </c>
      <c r="I123" s="3" t="s">
        <v>19</v>
      </c>
      <c r="J123" s="6">
        <v>50000</v>
      </c>
      <c r="K123" s="6">
        <v>0</v>
      </c>
      <c r="L123" s="6">
        <v>0</v>
      </c>
      <c r="M123" s="6">
        <v>0</v>
      </c>
      <c r="N123" s="3" t="s">
        <v>19</v>
      </c>
      <c r="O123" s="6">
        <v>0</v>
      </c>
      <c r="P123" s="6">
        <f>J123-L123</f>
        <v>50000</v>
      </c>
    </row>
    <row r="124" spans="1:16" x14ac:dyDescent="0.25">
      <c r="A124" s="3" t="s">
        <v>782</v>
      </c>
      <c r="B124" s="4" t="s">
        <v>783</v>
      </c>
      <c r="C124" s="3" t="s">
        <v>19</v>
      </c>
      <c r="D124" s="3" t="s">
        <v>19</v>
      </c>
      <c r="E124" s="3" t="s">
        <v>20</v>
      </c>
      <c r="F124" s="3" t="s">
        <v>19</v>
      </c>
      <c r="G124" s="3" t="s">
        <v>620</v>
      </c>
      <c r="H124" s="5">
        <v>1</v>
      </c>
      <c r="I124" s="3" t="s">
        <v>19</v>
      </c>
      <c r="J124" s="6">
        <v>50000</v>
      </c>
      <c r="K124" s="6">
        <v>0</v>
      </c>
      <c r="L124" s="6">
        <v>0</v>
      </c>
      <c r="M124" s="6">
        <v>0</v>
      </c>
      <c r="N124" s="3" t="s">
        <v>19</v>
      </c>
      <c r="O124" s="6">
        <v>0</v>
      </c>
      <c r="P124" s="6">
        <f>J124-L124</f>
        <v>50000</v>
      </c>
    </row>
    <row r="125" spans="1:16" x14ac:dyDescent="0.25">
      <c r="A125" s="3" t="s">
        <v>784</v>
      </c>
      <c r="B125" s="4" t="s">
        <v>785</v>
      </c>
      <c r="C125" s="3" t="s">
        <v>19</v>
      </c>
      <c r="D125" s="3" t="s">
        <v>19</v>
      </c>
      <c r="E125" s="3" t="s">
        <v>20</v>
      </c>
      <c r="F125" s="3" t="s">
        <v>19</v>
      </c>
      <c r="G125" s="3" t="s">
        <v>620</v>
      </c>
      <c r="H125" s="5">
        <v>1</v>
      </c>
      <c r="I125" s="3" t="s">
        <v>19</v>
      </c>
      <c r="J125" s="6">
        <v>50000</v>
      </c>
      <c r="K125" s="6">
        <v>0</v>
      </c>
      <c r="L125" s="6">
        <v>0</v>
      </c>
      <c r="M125" s="6">
        <v>0</v>
      </c>
      <c r="N125" s="3" t="s">
        <v>19</v>
      </c>
      <c r="O125" s="6">
        <v>0</v>
      </c>
      <c r="P125" s="6">
        <f>J125-L125</f>
        <v>50000</v>
      </c>
    </row>
    <row r="126" spans="1:16" x14ac:dyDescent="0.25">
      <c r="A126" s="3" t="s">
        <v>786</v>
      </c>
      <c r="B126" s="4" t="s">
        <v>787</v>
      </c>
      <c r="C126" s="3" t="s">
        <v>19</v>
      </c>
      <c r="D126" s="3" t="s">
        <v>19</v>
      </c>
      <c r="E126" s="3" t="s">
        <v>52</v>
      </c>
      <c r="F126" s="3" t="s">
        <v>19</v>
      </c>
      <c r="G126" s="3" t="s">
        <v>623</v>
      </c>
      <c r="H126" s="5">
        <v>2</v>
      </c>
      <c r="I126" s="3" t="s">
        <v>19</v>
      </c>
      <c r="J126" s="6">
        <v>60000</v>
      </c>
      <c r="K126" s="6">
        <v>0</v>
      </c>
      <c r="L126" s="6">
        <v>0</v>
      </c>
      <c r="M126" s="6">
        <v>0</v>
      </c>
      <c r="N126" s="3" t="s">
        <v>19</v>
      </c>
      <c r="O126" s="6">
        <v>0</v>
      </c>
      <c r="P126" s="6">
        <f>J126-L126</f>
        <v>60000</v>
      </c>
    </row>
    <row r="127" spans="1:16" x14ac:dyDescent="0.25">
      <c r="A127" s="3" t="s">
        <v>788</v>
      </c>
      <c r="B127" s="4" t="s">
        <v>789</v>
      </c>
      <c r="C127" s="3" t="s">
        <v>19</v>
      </c>
      <c r="D127" s="3" t="s">
        <v>19</v>
      </c>
      <c r="E127" s="3" t="s">
        <v>52</v>
      </c>
      <c r="F127" s="3" t="s">
        <v>19</v>
      </c>
      <c r="G127" s="3" t="s">
        <v>620</v>
      </c>
      <c r="H127" s="5">
        <v>2</v>
      </c>
      <c r="I127" s="3" t="s">
        <v>19</v>
      </c>
      <c r="J127" s="6">
        <v>100000</v>
      </c>
      <c r="K127" s="6">
        <v>0</v>
      </c>
      <c r="L127" s="6">
        <v>0</v>
      </c>
      <c r="M127" s="6">
        <v>0</v>
      </c>
      <c r="N127" s="3" t="s">
        <v>19</v>
      </c>
      <c r="O127" s="6">
        <v>0</v>
      </c>
      <c r="P127" s="6">
        <f>J127-L127</f>
        <v>100000</v>
      </c>
    </row>
    <row r="128" spans="1:16" x14ac:dyDescent="0.25">
      <c r="A128" s="3" t="s">
        <v>790</v>
      </c>
      <c r="B128" s="4" t="s">
        <v>791</v>
      </c>
      <c r="C128" s="3" t="s">
        <v>19</v>
      </c>
      <c r="D128" s="3" t="s">
        <v>19</v>
      </c>
      <c r="E128" s="3" t="s">
        <v>52</v>
      </c>
      <c r="F128" s="3" t="s">
        <v>19</v>
      </c>
      <c r="G128" s="3" t="s">
        <v>620</v>
      </c>
      <c r="H128" s="5">
        <v>1</v>
      </c>
      <c r="I128" s="3" t="s">
        <v>19</v>
      </c>
      <c r="J128" s="6">
        <v>50000</v>
      </c>
      <c r="K128" s="6">
        <v>0</v>
      </c>
      <c r="L128" s="6">
        <v>0</v>
      </c>
      <c r="M128" s="6">
        <v>0</v>
      </c>
      <c r="N128" s="3" t="s">
        <v>19</v>
      </c>
      <c r="O128" s="6">
        <v>0</v>
      </c>
      <c r="P128" s="6">
        <f>J128-L128</f>
        <v>50000</v>
      </c>
    </row>
    <row r="129" spans="1:16" x14ac:dyDescent="0.25">
      <c r="A129" s="3" t="s">
        <v>792</v>
      </c>
      <c r="B129" s="4" t="s">
        <v>793</v>
      </c>
      <c r="C129" s="3" t="s">
        <v>19</v>
      </c>
      <c r="D129" s="3" t="s">
        <v>19</v>
      </c>
      <c r="E129" s="3" t="s">
        <v>52</v>
      </c>
      <c r="F129" s="3" t="s">
        <v>19</v>
      </c>
      <c r="G129" s="3" t="s">
        <v>620</v>
      </c>
      <c r="H129" s="5">
        <v>1</v>
      </c>
      <c r="I129" s="3" t="s">
        <v>19</v>
      </c>
      <c r="J129" s="6">
        <v>50000</v>
      </c>
      <c r="K129" s="6">
        <v>0</v>
      </c>
      <c r="L129" s="6">
        <v>0</v>
      </c>
      <c r="M129" s="6">
        <v>0</v>
      </c>
      <c r="N129" s="3" t="s">
        <v>19</v>
      </c>
      <c r="O129" s="6">
        <v>0</v>
      </c>
      <c r="P129" s="6">
        <f>J129-L129</f>
        <v>50000</v>
      </c>
    </row>
    <row r="130" spans="1:16" x14ac:dyDescent="0.25">
      <c r="A130" s="3" t="s">
        <v>794</v>
      </c>
      <c r="B130" s="4" t="s">
        <v>795</v>
      </c>
      <c r="C130" s="3" t="s">
        <v>19</v>
      </c>
      <c r="D130" s="3" t="s">
        <v>19</v>
      </c>
      <c r="E130" s="3" t="s">
        <v>52</v>
      </c>
      <c r="F130" s="3" t="s">
        <v>19</v>
      </c>
      <c r="G130" s="3" t="s">
        <v>623</v>
      </c>
      <c r="H130" s="5">
        <v>2</v>
      </c>
      <c r="I130" s="3" t="s">
        <v>19</v>
      </c>
      <c r="J130" s="6">
        <v>60000</v>
      </c>
      <c r="K130" s="6">
        <v>0</v>
      </c>
      <c r="L130" s="6">
        <v>0</v>
      </c>
      <c r="M130" s="6">
        <v>0</v>
      </c>
      <c r="N130" s="3" t="s">
        <v>19</v>
      </c>
      <c r="O130" s="6">
        <v>0</v>
      </c>
      <c r="P130" s="6">
        <f>J130-L130</f>
        <v>60000</v>
      </c>
    </row>
    <row r="131" spans="1:16" x14ac:dyDescent="0.25">
      <c r="A131" s="3" t="s">
        <v>796</v>
      </c>
      <c r="B131" s="4" t="s">
        <v>797</v>
      </c>
      <c r="C131" s="3" t="s">
        <v>19</v>
      </c>
      <c r="D131" s="3" t="s">
        <v>19</v>
      </c>
      <c r="E131" s="3" t="s">
        <v>52</v>
      </c>
      <c r="F131" s="3" t="s">
        <v>19</v>
      </c>
      <c r="G131" s="3" t="s">
        <v>620</v>
      </c>
      <c r="H131" s="5">
        <v>1</v>
      </c>
      <c r="I131" s="3" t="s">
        <v>19</v>
      </c>
      <c r="J131" s="6">
        <v>50000</v>
      </c>
      <c r="K131" s="6">
        <v>0</v>
      </c>
      <c r="L131" s="6">
        <v>0</v>
      </c>
      <c r="M131" s="6">
        <v>0</v>
      </c>
      <c r="N131" s="3" t="s">
        <v>19</v>
      </c>
      <c r="O131" s="6">
        <v>0</v>
      </c>
      <c r="P131" s="6">
        <f>J131-L131</f>
        <v>50000</v>
      </c>
    </row>
    <row r="132" spans="1:16" x14ac:dyDescent="0.25">
      <c r="A132" s="3" t="s">
        <v>798</v>
      </c>
      <c r="B132" s="4" t="s">
        <v>799</v>
      </c>
      <c r="C132" s="3" t="s">
        <v>19</v>
      </c>
      <c r="D132" s="3" t="s">
        <v>19</v>
      </c>
      <c r="E132" s="3" t="s">
        <v>52</v>
      </c>
      <c r="F132" s="3" t="s">
        <v>19</v>
      </c>
      <c r="G132" s="3" t="s">
        <v>620</v>
      </c>
      <c r="H132" s="5">
        <v>1</v>
      </c>
      <c r="I132" s="3" t="s">
        <v>19</v>
      </c>
      <c r="J132" s="6">
        <v>50000</v>
      </c>
      <c r="K132" s="6">
        <v>0</v>
      </c>
      <c r="L132" s="6">
        <v>0</v>
      </c>
      <c r="M132" s="6">
        <v>0</v>
      </c>
      <c r="N132" s="3" t="s">
        <v>19</v>
      </c>
      <c r="O132" s="6">
        <v>0</v>
      </c>
      <c r="P132" s="6">
        <f>J132-L132</f>
        <v>50000</v>
      </c>
    </row>
    <row r="133" spans="1:16" x14ac:dyDescent="0.25">
      <c r="A133" s="3" t="s">
        <v>800</v>
      </c>
      <c r="B133" s="4" t="s">
        <v>801</v>
      </c>
      <c r="C133" s="3" t="s">
        <v>19</v>
      </c>
      <c r="D133" s="3" t="s">
        <v>19</v>
      </c>
      <c r="E133" s="3" t="s">
        <v>52</v>
      </c>
      <c r="F133" s="3" t="s">
        <v>19</v>
      </c>
      <c r="G133" s="3" t="s">
        <v>623</v>
      </c>
      <c r="H133" s="5">
        <v>2</v>
      </c>
      <c r="I133" s="3" t="s">
        <v>19</v>
      </c>
      <c r="J133" s="6">
        <v>60000</v>
      </c>
      <c r="K133" s="6">
        <v>0</v>
      </c>
      <c r="L133" s="6">
        <v>0</v>
      </c>
      <c r="M133" s="6">
        <v>0</v>
      </c>
      <c r="N133" s="3" t="s">
        <v>19</v>
      </c>
      <c r="O133" s="6">
        <v>0</v>
      </c>
      <c r="P133" s="6">
        <f>J133-L133</f>
        <v>60000</v>
      </c>
    </row>
    <row r="134" spans="1:16" x14ac:dyDescent="0.25">
      <c r="A134" s="3" t="s">
        <v>802</v>
      </c>
      <c r="B134" s="4" t="s">
        <v>803</v>
      </c>
      <c r="C134" s="3" t="s">
        <v>19</v>
      </c>
      <c r="D134" s="3" t="s">
        <v>19</v>
      </c>
      <c r="E134" s="3" t="s">
        <v>52</v>
      </c>
      <c r="F134" s="3" t="s">
        <v>19</v>
      </c>
      <c r="G134" s="3" t="s">
        <v>620</v>
      </c>
      <c r="H134" s="5">
        <v>1</v>
      </c>
      <c r="I134" s="3" t="s">
        <v>19</v>
      </c>
      <c r="J134" s="6">
        <v>50000</v>
      </c>
      <c r="K134" s="6">
        <v>0</v>
      </c>
      <c r="L134" s="6">
        <v>0</v>
      </c>
      <c r="M134" s="6">
        <v>0</v>
      </c>
      <c r="N134" s="3" t="s">
        <v>19</v>
      </c>
      <c r="O134" s="6">
        <v>0</v>
      </c>
      <c r="P134" s="6">
        <f>J134-L134</f>
        <v>50000</v>
      </c>
    </row>
    <row r="135" spans="1:16" x14ac:dyDescent="0.25">
      <c r="A135" s="3" t="s">
        <v>804</v>
      </c>
      <c r="B135" s="4" t="s">
        <v>805</v>
      </c>
      <c r="C135" s="3" t="s">
        <v>19</v>
      </c>
      <c r="D135" s="3" t="s">
        <v>19</v>
      </c>
      <c r="E135" s="3" t="s">
        <v>52</v>
      </c>
      <c r="F135" s="3" t="s">
        <v>19</v>
      </c>
      <c r="G135" s="3" t="s">
        <v>620</v>
      </c>
      <c r="H135" s="5">
        <v>1</v>
      </c>
      <c r="I135" s="3" t="s">
        <v>19</v>
      </c>
      <c r="J135" s="6">
        <v>50000</v>
      </c>
      <c r="K135" s="6">
        <v>0</v>
      </c>
      <c r="L135" s="6">
        <v>0</v>
      </c>
      <c r="M135" s="6">
        <v>0</v>
      </c>
      <c r="N135" s="3" t="s">
        <v>19</v>
      </c>
      <c r="O135" s="6">
        <v>0</v>
      </c>
      <c r="P135" s="6">
        <f>J135-L135</f>
        <v>50000</v>
      </c>
    </row>
    <row r="136" spans="1:16" x14ac:dyDescent="0.25">
      <c r="A136" s="3" t="s">
        <v>806</v>
      </c>
      <c r="B136" s="4" t="s">
        <v>807</v>
      </c>
      <c r="C136" s="3" t="s">
        <v>19</v>
      </c>
      <c r="D136" s="3" t="s">
        <v>19</v>
      </c>
      <c r="E136" s="3" t="s">
        <v>52</v>
      </c>
      <c r="F136" s="3" t="s">
        <v>19</v>
      </c>
      <c r="G136" s="3" t="s">
        <v>620</v>
      </c>
      <c r="H136" s="5">
        <v>1</v>
      </c>
      <c r="I136" s="3" t="s">
        <v>19</v>
      </c>
      <c r="J136" s="6">
        <v>50000</v>
      </c>
      <c r="K136" s="6">
        <v>0</v>
      </c>
      <c r="L136" s="6">
        <v>0</v>
      </c>
      <c r="M136" s="6">
        <v>0</v>
      </c>
      <c r="N136" s="3" t="s">
        <v>19</v>
      </c>
      <c r="O136" s="6">
        <v>0</v>
      </c>
      <c r="P136" s="6">
        <f>J136-L136</f>
        <v>50000</v>
      </c>
    </row>
    <row r="137" ht="18" customHeight="1" spans="1:16" x14ac:dyDescent="0.25">
      <c r="A137" s="7" t="s">
        <v>34</v>
      </c>
      <c r="B137" s="7"/>
      <c r="C137" s="7"/>
      <c r="D137" s="7"/>
      <c r="E137" s="7"/>
      <c r="F137" s="7"/>
      <c r="G137" s="7"/>
      <c r="H137" s="8">
        <f>SUM(H114:H136)</f>
        <v>31</v>
      </c>
      <c r="I137" s="7"/>
      <c r="J137" s="9">
        <f>SUM(J114:J136)</f>
        <v>1290000</v>
      </c>
      <c r="K137" s="9">
        <f>SUM(K114:K136)</f>
        <v>0</v>
      </c>
      <c r="L137" s="9">
        <f>SUM(L114:L136)</f>
        <v>0</v>
      </c>
      <c r="M137" s="9">
        <f>SUM(M114:M136)</f>
        <v>0</v>
      </c>
      <c r="N137" s="7"/>
      <c r="O137" s="9">
        <f>SUM(O114:O136)</f>
        <v>0</v>
      </c>
      <c r="P137" s="9">
        <f>SUM(P114:P136)</f>
        <v>1290000</v>
      </c>
    </row>
    <row r="141" ht="15.75" customHeight="1" spans="1:16" x14ac:dyDescent="0.25">
      <c r="A141" s="1" t="s">
        <v>99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39.4" customHeight="1" spans="1:16" x14ac:dyDescent="0.25">
      <c r="A142" s="2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  <c r="G142" s="2" t="s">
        <v>7</v>
      </c>
      <c r="H142" s="2" t="s">
        <v>8</v>
      </c>
      <c r="I142" s="2" t="s">
        <v>9</v>
      </c>
      <c r="J142" s="2" t="s">
        <v>10</v>
      </c>
      <c r="K142" s="2" t="s">
        <v>11</v>
      </c>
      <c r="L142" s="2" t="s">
        <v>12</v>
      </c>
      <c r="M142" s="2" t="s">
        <v>13</v>
      </c>
      <c r="N142" s="2" t="s">
        <v>14</v>
      </c>
      <c r="O142" s="2" t="s">
        <v>15</v>
      </c>
      <c r="P142" s="2" t="s">
        <v>16</v>
      </c>
    </row>
    <row r="143" spans="1:16" x14ac:dyDescent="0.25">
      <c r="A143" s="3" t="s">
        <v>808</v>
      </c>
      <c r="B143" s="4" t="s">
        <v>809</v>
      </c>
      <c r="C143" s="3" t="s">
        <v>19</v>
      </c>
      <c r="D143" s="3" t="s">
        <v>19</v>
      </c>
      <c r="E143" s="3" t="s">
        <v>20</v>
      </c>
      <c r="F143" s="3" t="s">
        <v>19</v>
      </c>
      <c r="G143" s="3" t="s">
        <v>623</v>
      </c>
      <c r="H143" s="5">
        <v>1</v>
      </c>
      <c r="I143" s="3" t="s">
        <v>19</v>
      </c>
      <c r="J143" s="6">
        <v>30000</v>
      </c>
      <c r="K143" s="6">
        <v>0</v>
      </c>
      <c r="L143" s="6">
        <v>0</v>
      </c>
      <c r="M143" s="6">
        <v>0</v>
      </c>
      <c r="N143" s="3" t="s">
        <v>19</v>
      </c>
      <c r="O143" s="6">
        <v>0</v>
      </c>
      <c r="P143" s="6">
        <f>J143-L143</f>
        <v>30000</v>
      </c>
    </row>
    <row r="144" spans="1:16" x14ac:dyDescent="0.25">
      <c r="A144" s="3" t="s">
        <v>453</v>
      </c>
      <c r="B144" s="4" t="s">
        <v>454</v>
      </c>
      <c r="C144" s="3" t="s">
        <v>19</v>
      </c>
      <c r="D144" s="3" t="s">
        <v>19</v>
      </c>
      <c r="E144" s="3" t="s">
        <v>20</v>
      </c>
      <c r="F144" s="3" t="s">
        <v>19</v>
      </c>
      <c r="G144" s="3" t="s">
        <v>623</v>
      </c>
      <c r="H144" s="5">
        <v>1</v>
      </c>
      <c r="I144" s="3" t="s">
        <v>19</v>
      </c>
      <c r="J144" s="6">
        <v>30000</v>
      </c>
      <c r="K144" s="6">
        <v>0</v>
      </c>
      <c r="L144" s="6">
        <v>0</v>
      </c>
      <c r="M144" s="6">
        <v>0</v>
      </c>
      <c r="N144" s="3" t="s">
        <v>19</v>
      </c>
      <c r="O144" s="6">
        <v>0</v>
      </c>
      <c r="P144" s="6">
        <f>J144-L144</f>
        <v>30000</v>
      </c>
    </row>
    <row r="145" spans="1:16" x14ac:dyDescent="0.25">
      <c r="A145" s="3" t="s">
        <v>104</v>
      </c>
      <c r="B145" s="4" t="s">
        <v>105</v>
      </c>
      <c r="C145" s="3" t="s">
        <v>19</v>
      </c>
      <c r="D145" s="3" t="s">
        <v>19</v>
      </c>
      <c r="E145" s="3" t="s">
        <v>20</v>
      </c>
      <c r="F145" s="3" t="s">
        <v>19</v>
      </c>
      <c r="G145" s="3" t="s">
        <v>620</v>
      </c>
      <c r="H145" s="5">
        <v>2</v>
      </c>
      <c r="I145" s="3" t="s">
        <v>19</v>
      </c>
      <c r="J145" s="6">
        <v>100000</v>
      </c>
      <c r="K145" s="6">
        <v>0</v>
      </c>
      <c r="L145" s="6">
        <v>0</v>
      </c>
      <c r="M145" s="6">
        <v>0</v>
      </c>
      <c r="N145" s="3" t="s">
        <v>19</v>
      </c>
      <c r="O145" s="6">
        <v>0</v>
      </c>
      <c r="P145" s="6">
        <f>J145-L145</f>
        <v>100000</v>
      </c>
    </row>
    <row r="146" spans="1:16" x14ac:dyDescent="0.25">
      <c r="A146" s="3" t="s">
        <v>810</v>
      </c>
      <c r="B146" s="4" t="s">
        <v>811</v>
      </c>
      <c r="C146" s="3" t="s">
        <v>19</v>
      </c>
      <c r="D146" s="3" t="s">
        <v>19</v>
      </c>
      <c r="E146" s="3" t="s">
        <v>52</v>
      </c>
      <c r="F146" s="3" t="s">
        <v>19</v>
      </c>
      <c r="G146" s="3" t="s">
        <v>623</v>
      </c>
      <c r="H146" s="5">
        <v>3</v>
      </c>
      <c r="I146" s="3" t="s">
        <v>19</v>
      </c>
      <c r="J146" s="6">
        <v>90000</v>
      </c>
      <c r="K146" s="6">
        <v>0</v>
      </c>
      <c r="L146" s="6">
        <v>0</v>
      </c>
      <c r="M146" s="6">
        <v>0</v>
      </c>
      <c r="N146" s="3" t="s">
        <v>19</v>
      </c>
      <c r="O146" s="6">
        <v>0</v>
      </c>
      <c r="P146" s="6">
        <f>J146-L146</f>
        <v>90000</v>
      </c>
    </row>
    <row r="147" ht="18" customHeight="1" spans="1:16" x14ac:dyDescent="0.25">
      <c r="A147" s="7" t="s">
        <v>34</v>
      </c>
      <c r="B147" s="7"/>
      <c r="C147" s="7"/>
      <c r="D147" s="7"/>
      <c r="E147" s="7"/>
      <c r="F147" s="7"/>
      <c r="G147" s="7"/>
      <c r="H147" s="8">
        <f>SUM(H143:H146)</f>
        <v>7</v>
      </c>
      <c r="I147" s="7"/>
      <c r="J147" s="9">
        <f>SUM(J143:J146)</f>
        <v>250000</v>
      </c>
      <c r="K147" s="9">
        <f>SUM(K143:K146)</f>
        <v>0</v>
      </c>
      <c r="L147" s="9">
        <f>SUM(L143:L146)</f>
        <v>0</v>
      </c>
      <c r="M147" s="9">
        <f>SUM(M143:M146)</f>
        <v>0</v>
      </c>
      <c r="N147" s="7"/>
      <c r="O147" s="9">
        <f>SUM(O143:O146)</f>
        <v>0</v>
      </c>
      <c r="P147" s="9">
        <f>SUM(P143:P146)</f>
        <v>250000</v>
      </c>
    </row>
    <row r="151" ht="15.75" customHeight="1" spans="1:16" x14ac:dyDescent="0.25">
      <c r="A151" s="1" t="s">
        <v>112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39.4" customHeight="1" spans="1:16" x14ac:dyDescent="0.25">
      <c r="A152" s="2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  <c r="H152" s="2" t="s">
        <v>8</v>
      </c>
      <c r="I152" s="2" t="s">
        <v>9</v>
      </c>
      <c r="J152" s="2" t="s">
        <v>10</v>
      </c>
      <c r="K152" s="2" t="s">
        <v>11</v>
      </c>
      <c r="L152" s="2" t="s">
        <v>12</v>
      </c>
      <c r="M152" s="2" t="s">
        <v>13</v>
      </c>
      <c r="N152" s="2" t="s">
        <v>14</v>
      </c>
      <c r="O152" s="2" t="s">
        <v>15</v>
      </c>
      <c r="P152" s="2" t="s">
        <v>16</v>
      </c>
    </row>
    <row r="153" spans="1:16" x14ac:dyDescent="0.25">
      <c r="A153" s="3" t="s">
        <v>812</v>
      </c>
      <c r="B153" s="4" t="s">
        <v>813</v>
      </c>
      <c r="C153" s="3" t="s">
        <v>19</v>
      </c>
      <c r="D153" s="3" t="s">
        <v>19</v>
      </c>
      <c r="E153" s="3" t="s">
        <v>20</v>
      </c>
      <c r="F153" s="3" t="s">
        <v>19</v>
      </c>
      <c r="G153" s="3" t="s">
        <v>623</v>
      </c>
      <c r="H153" s="5">
        <v>1</v>
      </c>
      <c r="I153" s="3" t="s">
        <v>19</v>
      </c>
      <c r="J153" s="6">
        <v>30000</v>
      </c>
      <c r="K153" s="6">
        <v>0</v>
      </c>
      <c r="L153" s="6">
        <v>0</v>
      </c>
      <c r="M153" s="6">
        <v>0</v>
      </c>
      <c r="N153" s="3" t="s">
        <v>19</v>
      </c>
      <c r="O153" s="6">
        <v>0</v>
      </c>
      <c r="P153" s="6">
        <f>J153-L153</f>
        <v>30000</v>
      </c>
    </row>
    <row r="154" spans="1:16" x14ac:dyDescent="0.25">
      <c r="A154" s="3" t="s">
        <v>814</v>
      </c>
      <c r="B154" s="4" t="s">
        <v>815</v>
      </c>
      <c r="C154" s="3" t="s">
        <v>19</v>
      </c>
      <c r="D154" s="3" t="s">
        <v>19</v>
      </c>
      <c r="E154" s="3" t="s">
        <v>20</v>
      </c>
      <c r="F154" s="3" t="s">
        <v>19</v>
      </c>
      <c r="G154" s="3" t="s">
        <v>623</v>
      </c>
      <c r="H154" s="5">
        <v>1</v>
      </c>
      <c r="I154" s="3" t="s">
        <v>19</v>
      </c>
      <c r="J154" s="6">
        <v>30000</v>
      </c>
      <c r="K154" s="6">
        <v>0</v>
      </c>
      <c r="L154" s="6">
        <v>0</v>
      </c>
      <c r="M154" s="6">
        <v>0</v>
      </c>
      <c r="N154" s="3" t="s">
        <v>19</v>
      </c>
      <c r="O154" s="6">
        <v>0</v>
      </c>
      <c r="P154" s="6">
        <f>J154-L154</f>
        <v>30000</v>
      </c>
    </row>
    <row r="155" spans="1:16" x14ac:dyDescent="0.25">
      <c r="A155" s="3" t="s">
        <v>816</v>
      </c>
      <c r="B155" s="4" t="s">
        <v>817</v>
      </c>
      <c r="C155" s="3" t="s">
        <v>19</v>
      </c>
      <c r="D155" s="3" t="s">
        <v>19</v>
      </c>
      <c r="E155" s="3" t="s">
        <v>20</v>
      </c>
      <c r="F155" s="3" t="s">
        <v>19</v>
      </c>
      <c r="G155" s="3" t="s">
        <v>623</v>
      </c>
      <c r="H155" s="5">
        <v>1</v>
      </c>
      <c r="I155" s="3" t="s">
        <v>19</v>
      </c>
      <c r="J155" s="6">
        <v>30000</v>
      </c>
      <c r="K155" s="6">
        <v>0</v>
      </c>
      <c r="L155" s="6">
        <v>0</v>
      </c>
      <c r="M155" s="6">
        <v>0</v>
      </c>
      <c r="N155" s="3" t="s">
        <v>19</v>
      </c>
      <c r="O155" s="6">
        <v>0</v>
      </c>
      <c r="P155" s="6">
        <f>J155-L155</f>
        <v>30000</v>
      </c>
    </row>
    <row r="156" spans="1:16" x14ac:dyDescent="0.25">
      <c r="A156" s="3" t="s">
        <v>818</v>
      </c>
      <c r="B156" s="4" t="s">
        <v>819</v>
      </c>
      <c r="C156" s="3" t="s">
        <v>19</v>
      </c>
      <c r="D156" s="3" t="s">
        <v>19</v>
      </c>
      <c r="E156" s="3" t="s">
        <v>20</v>
      </c>
      <c r="F156" s="3" t="s">
        <v>19</v>
      </c>
      <c r="G156" s="3" t="s">
        <v>620</v>
      </c>
      <c r="H156" s="5">
        <v>1</v>
      </c>
      <c r="I156" s="3" t="s">
        <v>19</v>
      </c>
      <c r="J156" s="6">
        <v>50000</v>
      </c>
      <c r="K156" s="6">
        <v>0</v>
      </c>
      <c r="L156" s="6">
        <v>0</v>
      </c>
      <c r="M156" s="6">
        <v>0</v>
      </c>
      <c r="N156" s="3" t="s">
        <v>19</v>
      </c>
      <c r="O156" s="6">
        <v>0</v>
      </c>
      <c r="P156" s="6">
        <f>J156-L156</f>
        <v>50000</v>
      </c>
    </row>
    <row r="157" spans="1:16" x14ac:dyDescent="0.25">
      <c r="A157" s="3" t="s">
        <v>820</v>
      </c>
      <c r="B157" s="4" t="s">
        <v>821</v>
      </c>
      <c r="C157" s="3" t="s">
        <v>19</v>
      </c>
      <c r="D157" s="3" t="s">
        <v>19</v>
      </c>
      <c r="E157" s="3" t="s">
        <v>20</v>
      </c>
      <c r="F157" s="3" t="s">
        <v>19</v>
      </c>
      <c r="G157" s="3" t="s">
        <v>620</v>
      </c>
      <c r="H157" s="5">
        <v>1</v>
      </c>
      <c r="I157" s="3" t="s">
        <v>19</v>
      </c>
      <c r="J157" s="6">
        <v>50000</v>
      </c>
      <c r="K157" s="6">
        <v>0</v>
      </c>
      <c r="L157" s="6">
        <v>0</v>
      </c>
      <c r="M157" s="6">
        <v>0</v>
      </c>
      <c r="N157" s="3" t="s">
        <v>19</v>
      </c>
      <c r="O157" s="6">
        <v>0</v>
      </c>
      <c r="P157" s="6">
        <f>J157-L157</f>
        <v>50000</v>
      </c>
    </row>
    <row r="158" spans="1:16" x14ac:dyDescent="0.25">
      <c r="A158" s="3" t="s">
        <v>822</v>
      </c>
      <c r="B158" s="4" t="s">
        <v>823</v>
      </c>
      <c r="C158" s="3" t="s">
        <v>19</v>
      </c>
      <c r="D158" s="3" t="s">
        <v>19</v>
      </c>
      <c r="E158" s="3" t="s">
        <v>20</v>
      </c>
      <c r="F158" s="3" t="s">
        <v>19</v>
      </c>
      <c r="G158" s="3" t="s">
        <v>620</v>
      </c>
      <c r="H158" s="5">
        <v>2</v>
      </c>
      <c r="I158" s="3" t="s">
        <v>19</v>
      </c>
      <c r="J158" s="6">
        <v>100000</v>
      </c>
      <c r="K158" s="6">
        <v>0</v>
      </c>
      <c r="L158" s="6">
        <v>0</v>
      </c>
      <c r="M158" s="6">
        <v>0</v>
      </c>
      <c r="N158" s="3" t="s">
        <v>19</v>
      </c>
      <c r="O158" s="6">
        <v>0</v>
      </c>
      <c r="P158" s="6">
        <f>J158-L158</f>
        <v>100000</v>
      </c>
    </row>
    <row r="159" spans="1:16" x14ac:dyDescent="0.25">
      <c r="A159" s="3" t="s">
        <v>824</v>
      </c>
      <c r="B159" s="4" t="s">
        <v>825</v>
      </c>
      <c r="C159" s="3" t="s">
        <v>19</v>
      </c>
      <c r="D159" s="3" t="s">
        <v>19</v>
      </c>
      <c r="E159" s="3" t="s">
        <v>20</v>
      </c>
      <c r="F159" s="3" t="s">
        <v>19</v>
      </c>
      <c r="G159" s="3" t="s">
        <v>623</v>
      </c>
      <c r="H159" s="5">
        <v>1</v>
      </c>
      <c r="I159" s="3" t="s">
        <v>19</v>
      </c>
      <c r="J159" s="6">
        <v>30000</v>
      </c>
      <c r="K159" s="6">
        <v>0</v>
      </c>
      <c r="L159" s="6">
        <v>0</v>
      </c>
      <c r="M159" s="6">
        <v>0</v>
      </c>
      <c r="N159" s="3" t="s">
        <v>19</v>
      </c>
      <c r="O159" s="6">
        <v>0</v>
      </c>
      <c r="P159" s="6">
        <f>J159-L159</f>
        <v>30000</v>
      </c>
    </row>
    <row r="160" spans="1:16" x14ac:dyDescent="0.25">
      <c r="A160" s="3" t="s">
        <v>826</v>
      </c>
      <c r="B160" s="4" t="s">
        <v>827</v>
      </c>
      <c r="C160" s="3" t="s">
        <v>19</v>
      </c>
      <c r="D160" s="3" t="s">
        <v>19</v>
      </c>
      <c r="E160" s="3" t="s">
        <v>20</v>
      </c>
      <c r="F160" s="3" t="s">
        <v>19</v>
      </c>
      <c r="G160" s="3" t="s">
        <v>623</v>
      </c>
      <c r="H160" s="5">
        <v>2</v>
      </c>
      <c r="I160" s="3" t="s">
        <v>19</v>
      </c>
      <c r="J160" s="6">
        <v>60000</v>
      </c>
      <c r="K160" s="6">
        <v>0</v>
      </c>
      <c r="L160" s="6">
        <v>0</v>
      </c>
      <c r="M160" s="6">
        <v>0</v>
      </c>
      <c r="N160" s="3" t="s">
        <v>19</v>
      </c>
      <c r="O160" s="6">
        <v>0</v>
      </c>
      <c r="P160" s="6">
        <f>J160-L160</f>
        <v>60000</v>
      </c>
    </row>
    <row r="161" spans="1:16" x14ac:dyDescent="0.25">
      <c r="A161" s="3" t="s">
        <v>828</v>
      </c>
      <c r="B161" s="4" t="s">
        <v>829</v>
      </c>
      <c r="C161" s="3" t="s">
        <v>19</v>
      </c>
      <c r="D161" s="3" t="s">
        <v>19</v>
      </c>
      <c r="E161" s="3" t="s">
        <v>25</v>
      </c>
      <c r="F161" s="3" t="s">
        <v>19</v>
      </c>
      <c r="G161" s="3" t="s">
        <v>623</v>
      </c>
      <c r="H161" s="5">
        <v>1</v>
      </c>
      <c r="I161" s="3" t="s">
        <v>19</v>
      </c>
      <c r="J161" s="6">
        <v>30000</v>
      </c>
      <c r="K161" s="6">
        <v>0</v>
      </c>
      <c r="L161" s="6">
        <v>0</v>
      </c>
      <c r="M161" s="6">
        <v>0</v>
      </c>
      <c r="N161" s="3" t="s">
        <v>19</v>
      </c>
      <c r="O161" s="6">
        <v>0</v>
      </c>
      <c r="P161" s="6">
        <f>J161-L161</f>
        <v>30000</v>
      </c>
    </row>
    <row r="162" spans="1:16" x14ac:dyDescent="0.25">
      <c r="A162" s="3" t="s">
        <v>830</v>
      </c>
      <c r="B162" s="4" t="s">
        <v>831</v>
      </c>
      <c r="C162" s="3" t="s">
        <v>19</v>
      </c>
      <c r="D162" s="3" t="s">
        <v>19</v>
      </c>
      <c r="E162" s="3" t="s">
        <v>25</v>
      </c>
      <c r="F162" s="3" t="s">
        <v>19</v>
      </c>
      <c r="G162" s="3" t="s">
        <v>620</v>
      </c>
      <c r="H162" s="5">
        <v>1</v>
      </c>
      <c r="I162" s="3" t="s">
        <v>19</v>
      </c>
      <c r="J162" s="6">
        <v>50000</v>
      </c>
      <c r="K162" s="6">
        <v>0</v>
      </c>
      <c r="L162" s="6">
        <v>0</v>
      </c>
      <c r="M162" s="6">
        <v>0</v>
      </c>
      <c r="N162" s="3" t="s">
        <v>19</v>
      </c>
      <c r="O162" s="6">
        <v>0</v>
      </c>
      <c r="P162" s="6">
        <f>J162-L162</f>
        <v>50000</v>
      </c>
    </row>
    <row r="163" spans="1:16" x14ac:dyDescent="0.25">
      <c r="A163" s="3" t="s">
        <v>832</v>
      </c>
      <c r="B163" s="4" t="s">
        <v>833</v>
      </c>
      <c r="C163" s="3" t="s">
        <v>19</v>
      </c>
      <c r="D163" s="3" t="s">
        <v>19</v>
      </c>
      <c r="E163" s="3" t="s">
        <v>25</v>
      </c>
      <c r="F163" s="3" t="s">
        <v>19</v>
      </c>
      <c r="G163" s="3" t="s">
        <v>620</v>
      </c>
      <c r="H163" s="5">
        <v>1</v>
      </c>
      <c r="I163" s="3" t="s">
        <v>19</v>
      </c>
      <c r="J163" s="6">
        <v>50000</v>
      </c>
      <c r="K163" s="6">
        <v>0</v>
      </c>
      <c r="L163" s="6">
        <v>0</v>
      </c>
      <c r="M163" s="6">
        <v>0</v>
      </c>
      <c r="N163" s="3" t="s">
        <v>19</v>
      </c>
      <c r="O163" s="6">
        <v>0</v>
      </c>
      <c r="P163" s="6">
        <f>J163-L163</f>
        <v>50000</v>
      </c>
    </row>
    <row r="164" spans="1:16" x14ac:dyDescent="0.25">
      <c r="A164" s="3" t="s">
        <v>834</v>
      </c>
      <c r="B164" s="4" t="s">
        <v>835</v>
      </c>
      <c r="C164" s="3" t="s">
        <v>19</v>
      </c>
      <c r="D164" s="3" t="s">
        <v>19</v>
      </c>
      <c r="E164" s="3" t="s">
        <v>52</v>
      </c>
      <c r="F164" s="3" t="s">
        <v>19</v>
      </c>
      <c r="G164" s="3" t="s">
        <v>620</v>
      </c>
      <c r="H164" s="5">
        <v>4</v>
      </c>
      <c r="I164" s="3" t="s">
        <v>19</v>
      </c>
      <c r="J164" s="6">
        <v>200000</v>
      </c>
      <c r="K164" s="6">
        <v>0</v>
      </c>
      <c r="L164" s="6">
        <v>0</v>
      </c>
      <c r="M164" s="6">
        <v>0</v>
      </c>
      <c r="N164" s="3" t="s">
        <v>19</v>
      </c>
      <c r="O164" s="6">
        <v>0</v>
      </c>
      <c r="P164" s="6">
        <f>J164-L164</f>
        <v>200000</v>
      </c>
    </row>
    <row r="165" spans="1:16" x14ac:dyDescent="0.25">
      <c r="A165" s="3" t="s">
        <v>119</v>
      </c>
      <c r="B165" s="4" t="s">
        <v>120</v>
      </c>
      <c r="C165" s="3" t="s">
        <v>19</v>
      </c>
      <c r="D165" s="3" t="s">
        <v>19</v>
      </c>
      <c r="E165" s="3" t="s">
        <v>52</v>
      </c>
      <c r="F165" s="3" t="s">
        <v>19</v>
      </c>
      <c r="G165" s="3" t="s">
        <v>623</v>
      </c>
      <c r="H165" s="5">
        <v>4</v>
      </c>
      <c r="I165" s="3" t="s">
        <v>19</v>
      </c>
      <c r="J165" s="6">
        <v>120000</v>
      </c>
      <c r="K165" s="6">
        <v>0</v>
      </c>
      <c r="L165" s="6">
        <v>0</v>
      </c>
      <c r="M165" s="6">
        <v>0</v>
      </c>
      <c r="N165" s="3" t="s">
        <v>19</v>
      </c>
      <c r="O165" s="6">
        <v>0</v>
      </c>
      <c r="P165" s="6">
        <f>J165-L165</f>
        <v>120000</v>
      </c>
    </row>
    <row r="166" ht="18" customHeight="1" spans="1:16" x14ac:dyDescent="0.25">
      <c r="A166" s="7" t="s">
        <v>34</v>
      </c>
      <c r="B166" s="7"/>
      <c r="C166" s="7"/>
      <c r="D166" s="7"/>
      <c r="E166" s="7"/>
      <c r="F166" s="7"/>
      <c r="G166" s="7"/>
      <c r="H166" s="8">
        <f>SUM(H153:H165)</f>
        <v>21</v>
      </c>
      <c r="I166" s="7"/>
      <c r="J166" s="9">
        <f>SUM(J153:J165)</f>
        <v>830000</v>
      </c>
      <c r="K166" s="9">
        <f>SUM(K153:K165)</f>
        <v>0</v>
      </c>
      <c r="L166" s="9">
        <f>SUM(L153:L165)</f>
        <v>0</v>
      </c>
      <c r="M166" s="9">
        <f>SUM(M153:M165)</f>
        <v>0</v>
      </c>
      <c r="N166" s="7"/>
      <c r="O166" s="9">
        <f>SUM(O153:O165)</f>
        <v>0</v>
      </c>
      <c r="P166" s="9">
        <f>SUM(P153:P165)</f>
        <v>830000</v>
      </c>
    </row>
    <row r="170" ht="15.75" customHeight="1" spans="1:16" x14ac:dyDescent="0.25">
      <c r="A170" s="1" t="s">
        <v>124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39.4" customHeight="1" spans="1:16" x14ac:dyDescent="0.25">
      <c r="A171" s="2" t="s">
        <v>1</v>
      </c>
      <c r="B171" s="2" t="s">
        <v>2</v>
      </c>
      <c r="C171" s="2" t="s">
        <v>3</v>
      </c>
      <c r="D171" s="2" t="s">
        <v>4</v>
      </c>
      <c r="E171" s="2" t="s">
        <v>5</v>
      </c>
      <c r="F171" s="2" t="s">
        <v>6</v>
      </c>
      <c r="G171" s="2" t="s">
        <v>7</v>
      </c>
      <c r="H171" s="2" t="s">
        <v>8</v>
      </c>
      <c r="I171" s="2" t="s">
        <v>9</v>
      </c>
      <c r="J171" s="2" t="s">
        <v>10</v>
      </c>
      <c r="K171" s="2" t="s">
        <v>11</v>
      </c>
      <c r="L171" s="2" t="s">
        <v>12</v>
      </c>
      <c r="M171" s="2" t="s">
        <v>13</v>
      </c>
      <c r="N171" s="2" t="s">
        <v>14</v>
      </c>
      <c r="O171" s="2" t="s">
        <v>15</v>
      </c>
      <c r="P171" s="2" t="s">
        <v>16</v>
      </c>
    </row>
    <row r="172" spans="1:16" x14ac:dyDescent="0.25">
      <c r="A172" s="3" t="s">
        <v>836</v>
      </c>
      <c r="B172" s="4" t="s">
        <v>837</v>
      </c>
      <c r="C172" s="3" t="s">
        <v>19</v>
      </c>
      <c r="D172" s="3" t="s">
        <v>19</v>
      </c>
      <c r="E172" s="3" t="s">
        <v>20</v>
      </c>
      <c r="F172" s="3" t="s">
        <v>19</v>
      </c>
      <c r="G172" s="3" t="s">
        <v>623</v>
      </c>
      <c r="H172" s="5">
        <v>1</v>
      </c>
      <c r="I172" s="3" t="s">
        <v>19</v>
      </c>
      <c r="J172" s="6">
        <v>30000</v>
      </c>
      <c r="K172" s="6">
        <v>0</v>
      </c>
      <c r="L172" s="6">
        <v>0</v>
      </c>
      <c r="M172" s="6">
        <v>0</v>
      </c>
      <c r="N172" s="3" t="s">
        <v>19</v>
      </c>
      <c r="O172" s="6">
        <v>0</v>
      </c>
      <c r="P172" s="6">
        <f>J172-L172</f>
        <v>30000</v>
      </c>
    </row>
    <row r="173" spans="1:16" x14ac:dyDescent="0.25">
      <c r="A173" s="3" t="s">
        <v>838</v>
      </c>
      <c r="B173" s="4" t="s">
        <v>839</v>
      </c>
      <c r="C173" s="3" t="s">
        <v>19</v>
      </c>
      <c r="D173" s="3" t="s">
        <v>19</v>
      </c>
      <c r="E173" s="3" t="s">
        <v>20</v>
      </c>
      <c r="F173" s="3" t="s">
        <v>19</v>
      </c>
      <c r="G173" s="3" t="s">
        <v>620</v>
      </c>
      <c r="H173" s="5">
        <v>1</v>
      </c>
      <c r="I173" s="3" t="s">
        <v>19</v>
      </c>
      <c r="J173" s="6">
        <v>50000</v>
      </c>
      <c r="K173" s="6">
        <v>0</v>
      </c>
      <c r="L173" s="6">
        <v>0</v>
      </c>
      <c r="M173" s="6">
        <v>0</v>
      </c>
      <c r="N173" s="3" t="s">
        <v>19</v>
      </c>
      <c r="O173" s="6">
        <v>0</v>
      </c>
      <c r="P173" s="6">
        <f>J173-L173</f>
        <v>50000</v>
      </c>
    </row>
    <row r="174" spans="1:16" x14ac:dyDescent="0.25">
      <c r="A174" s="3" t="s">
        <v>840</v>
      </c>
      <c r="B174" s="4" t="s">
        <v>841</v>
      </c>
      <c r="C174" s="3" t="s">
        <v>19</v>
      </c>
      <c r="D174" s="3" t="s">
        <v>19</v>
      </c>
      <c r="E174" s="3" t="s">
        <v>20</v>
      </c>
      <c r="F174" s="3" t="s">
        <v>19</v>
      </c>
      <c r="G174" s="3" t="s">
        <v>623</v>
      </c>
      <c r="H174" s="5">
        <v>1</v>
      </c>
      <c r="I174" s="3" t="s">
        <v>19</v>
      </c>
      <c r="J174" s="6">
        <v>30000</v>
      </c>
      <c r="K174" s="6">
        <v>0</v>
      </c>
      <c r="L174" s="6">
        <v>0</v>
      </c>
      <c r="M174" s="6">
        <v>0</v>
      </c>
      <c r="N174" s="3" t="s">
        <v>19</v>
      </c>
      <c r="O174" s="6">
        <v>0</v>
      </c>
      <c r="P174" s="6">
        <f>J174-L174</f>
        <v>30000</v>
      </c>
    </row>
    <row r="175" spans="1:16" x14ac:dyDescent="0.25">
      <c r="A175" s="3" t="s">
        <v>842</v>
      </c>
      <c r="B175" s="4" t="s">
        <v>843</v>
      </c>
      <c r="C175" s="3" t="s">
        <v>19</v>
      </c>
      <c r="D175" s="3" t="s">
        <v>19</v>
      </c>
      <c r="E175" s="3" t="s">
        <v>20</v>
      </c>
      <c r="F175" s="3" t="s">
        <v>19</v>
      </c>
      <c r="G175" s="3" t="s">
        <v>623</v>
      </c>
      <c r="H175" s="5">
        <v>1</v>
      </c>
      <c r="I175" s="3" t="s">
        <v>19</v>
      </c>
      <c r="J175" s="6">
        <v>30000</v>
      </c>
      <c r="K175" s="6">
        <v>0</v>
      </c>
      <c r="L175" s="6">
        <v>0</v>
      </c>
      <c r="M175" s="6">
        <v>0</v>
      </c>
      <c r="N175" s="3" t="s">
        <v>19</v>
      </c>
      <c r="O175" s="6">
        <v>0</v>
      </c>
      <c r="P175" s="6">
        <f>J175-L175</f>
        <v>30000</v>
      </c>
    </row>
    <row r="176" spans="1:16" x14ac:dyDescent="0.25">
      <c r="A176" s="3" t="s">
        <v>844</v>
      </c>
      <c r="B176" s="4" t="s">
        <v>845</v>
      </c>
      <c r="C176" s="3" t="s">
        <v>19</v>
      </c>
      <c r="D176" s="3" t="s">
        <v>19</v>
      </c>
      <c r="E176" s="3" t="s">
        <v>20</v>
      </c>
      <c r="F176" s="3" t="s">
        <v>19</v>
      </c>
      <c r="G176" s="3" t="s">
        <v>623</v>
      </c>
      <c r="H176" s="5">
        <v>1</v>
      </c>
      <c r="I176" s="3" t="s">
        <v>19</v>
      </c>
      <c r="J176" s="6">
        <v>30000</v>
      </c>
      <c r="K176" s="6">
        <v>0</v>
      </c>
      <c r="L176" s="6">
        <v>0</v>
      </c>
      <c r="M176" s="6">
        <v>0</v>
      </c>
      <c r="N176" s="3" t="s">
        <v>19</v>
      </c>
      <c r="O176" s="6">
        <v>0</v>
      </c>
      <c r="P176" s="6">
        <f>J176-L176</f>
        <v>30000</v>
      </c>
    </row>
    <row r="177" spans="1:16" x14ac:dyDescent="0.25">
      <c r="A177" s="3" t="s">
        <v>846</v>
      </c>
      <c r="B177" s="4" t="s">
        <v>847</v>
      </c>
      <c r="C177" s="3" t="s">
        <v>19</v>
      </c>
      <c r="D177" s="3" t="s">
        <v>19</v>
      </c>
      <c r="E177" s="3" t="s">
        <v>20</v>
      </c>
      <c r="F177" s="3" t="s">
        <v>19</v>
      </c>
      <c r="G177" s="3" t="s">
        <v>623</v>
      </c>
      <c r="H177" s="5">
        <v>2</v>
      </c>
      <c r="I177" s="3" t="s">
        <v>19</v>
      </c>
      <c r="J177" s="6">
        <v>60000</v>
      </c>
      <c r="K177" s="6">
        <v>0</v>
      </c>
      <c r="L177" s="6">
        <v>0</v>
      </c>
      <c r="M177" s="6">
        <v>0</v>
      </c>
      <c r="N177" s="3" t="s">
        <v>19</v>
      </c>
      <c r="O177" s="6">
        <v>0</v>
      </c>
      <c r="P177" s="6">
        <f>J177-L177</f>
        <v>60000</v>
      </c>
    </row>
    <row r="178" spans="1:16" x14ac:dyDescent="0.25">
      <c r="A178" s="3" t="s">
        <v>846</v>
      </c>
      <c r="B178" s="4" t="s">
        <v>847</v>
      </c>
      <c r="C178" s="3" t="s">
        <v>19</v>
      </c>
      <c r="D178" s="3" t="s">
        <v>19</v>
      </c>
      <c r="E178" s="3" t="s">
        <v>20</v>
      </c>
      <c r="F178" s="3" t="s">
        <v>19</v>
      </c>
      <c r="G178" s="3" t="s">
        <v>620</v>
      </c>
      <c r="H178" s="5">
        <v>1</v>
      </c>
      <c r="I178" s="3" t="s">
        <v>19</v>
      </c>
      <c r="J178" s="6">
        <v>50000</v>
      </c>
      <c r="K178" s="6">
        <v>0</v>
      </c>
      <c r="L178" s="6">
        <v>0</v>
      </c>
      <c r="M178" s="6">
        <v>0</v>
      </c>
      <c r="N178" s="3" t="s">
        <v>19</v>
      </c>
      <c r="O178" s="6">
        <v>0</v>
      </c>
      <c r="P178" s="6">
        <f>J178-L178</f>
        <v>50000</v>
      </c>
    </row>
    <row r="179" spans="1:16" x14ac:dyDescent="0.25">
      <c r="A179" s="3" t="s">
        <v>848</v>
      </c>
      <c r="B179" s="4" t="s">
        <v>849</v>
      </c>
      <c r="C179" s="3" t="s">
        <v>19</v>
      </c>
      <c r="D179" s="3" t="s">
        <v>19</v>
      </c>
      <c r="E179" s="3" t="s">
        <v>20</v>
      </c>
      <c r="F179" s="3" t="s">
        <v>19</v>
      </c>
      <c r="G179" s="3" t="s">
        <v>623</v>
      </c>
      <c r="H179" s="5">
        <v>1</v>
      </c>
      <c r="I179" s="3" t="s">
        <v>19</v>
      </c>
      <c r="J179" s="6">
        <v>30000</v>
      </c>
      <c r="K179" s="6">
        <v>0</v>
      </c>
      <c r="L179" s="6">
        <v>0</v>
      </c>
      <c r="M179" s="6">
        <v>0</v>
      </c>
      <c r="N179" s="3" t="s">
        <v>19</v>
      </c>
      <c r="O179" s="6">
        <v>0</v>
      </c>
      <c r="P179" s="6">
        <f>J179-L179</f>
        <v>30000</v>
      </c>
    </row>
    <row r="180" spans="1:16" x14ac:dyDescent="0.25">
      <c r="A180" s="3" t="s">
        <v>850</v>
      </c>
      <c r="B180" s="4" t="s">
        <v>851</v>
      </c>
      <c r="C180" s="3" t="s">
        <v>19</v>
      </c>
      <c r="D180" s="3" t="s">
        <v>19</v>
      </c>
      <c r="E180" s="3" t="s">
        <v>20</v>
      </c>
      <c r="F180" s="3" t="s">
        <v>19</v>
      </c>
      <c r="G180" s="3" t="s">
        <v>620</v>
      </c>
      <c r="H180" s="5">
        <v>1</v>
      </c>
      <c r="I180" s="3" t="s">
        <v>19</v>
      </c>
      <c r="J180" s="6">
        <v>50000</v>
      </c>
      <c r="K180" s="6">
        <v>0</v>
      </c>
      <c r="L180" s="6">
        <v>0</v>
      </c>
      <c r="M180" s="6">
        <v>0</v>
      </c>
      <c r="N180" s="3" t="s">
        <v>19</v>
      </c>
      <c r="O180" s="6">
        <v>0</v>
      </c>
      <c r="P180" s="6">
        <f>J180-L180</f>
        <v>50000</v>
      </c>
    </row>
    <row r="181" spans="1:16" x14ac:dyDescent="0.25">
      <c r="A181" s="3" t="s">
        <v>852</v>
      </c>
      <c r="B181" s="4" t="s">
        <v>853</v>
      </c>
      <c r="C181" s="3" t="s">
        <v>19</v>
      </c>
      <c r="D181" s="3" t="s">
        <v>19</v>
      </c>
      <c r="E181" s="3" t="s">
        <v>20</v>
      </c>
      <c r="F181" s="3" t="s">
        <v>19</v>
      </c>
      <c r="G181" s="3" t="s">
        <v>620</v>
      </c>
      <c r="H181" s="5">
        <v>1</v>
      </c>
      <c r="I181" s="3" t="s">
        <v>19</v>
      </c>
      <c r="J181" s="6">
        <v>50000</v>
      </c>
      <c r="K181" s="6">
        <v>0</v>
      </c>
      <c r="L181" s="6">
        <v>0</v>
      </c>
      <c r="M181" s="6">
        <v>0</v>
      </c>
      <c r="N181" s="3" t="s">
        <v>19</v>
      </c>
      <c r="O181" s="6">
        <v>0</v>
      </c>
      <c r="P181" s="6">
        <f>J181-L181</f>
        <v>50000</v>
      </c>
    </row>
    <row r="182" spans="1:16" x14ac:dyDescent="0.25">
      <c r="A182" s="3" t="s">
        <v>854</v>
      </c>
      <c r="B182" s="4" t="s">
        <v>855</v>
      </c>
      <c r="C182" s="3" t="s">
        <v>19</v>
      </c>
      <c r="D182" s="3" t="s">
        <v>19</v>
      </c>
      <c r="E182" s="3" t="s">
        <v>20</v>
      </c>
      <c r="F182" s="3" t="s">
        <v>19</v>
      </c>
      <c r="G182" s="3" t="s">
        <v>620</v>
      </c>
      <c r="H182" s="5">
        <v>1</v>
      </c>
      <c r="I182" s="3" t="s">
        <v>19</v>
      </c>
      <c r="J182" s="6">
        <v>50000</v>
      </c>
      <c r="K182" s="6">
        <v>0</v>
      </c>
      <c r="L182" s="6">
        <v>0</v>
      </c>
      <c r="M182" s="6">
        <v>0</v>
      </c>
      <c r="N182" s="3" t="s">
        <v>19</v>
      </c>
      <c r="O182" s="6">
        <v>0</v>
      </c>
      <c r="P182" s="6">
        <f>J182-L182</f>
        <v>50000</v>
      </c>
    </row>
    <row r="183" spans="1:16" x14ac:dyDescent="0.25">
      <c r="A183" s="3" t="s">
        <v>856</v>
      </c>
      <c r="B183" s="4" t="s">
        <v>857</v>
      </c>
      <c r="C183" s="3" t="s">
        <v>19</v>
      </c>
      <c r="D183" s="3" t="s">
        <v>19</v>
      </c>
      <c r="E183" s="3" t="s">
        <v>20</v>
      </c>
      <c r="F183" s="3" t="s">
        <v>19</v>
      </c>
      <c r="G183" s="3" t="s">
        <v>620</v>
      </c>
      <c r="H183" s="5">
        <v>1</v>
      </c>
      <c r="I183" s="3" t="s">
        <v>19</v>
      </c>
      <c r="J183" s="6">
        <v>50000</v>
      </c>
      <c r="K183" s="6">
        <v>0</v>
      </c>
      <c r="L183" s="6">
        <v>0</v>
      </c>
      <c r="M183" s="6">
        <v>0</v>
      </c>
      <c r="N183" s="3" t="s">
        <v>19</v>
      </c>
      <c r="O183" s="6">
        <v>0</v>
      </c>
      <c r="P183" s="6">
        <f>J183-L183</f>
        <v>50000</v>
      </c>
    </row>
    <row r="184" spans="1:16" x14ac:dyDescent="0.25">
      <c r="A184" s="3" t="s">
        <v>858</v>
      </c>
      <c r="B184" s="4" t="s">
        <v>859</v>
      </c>
      <c r="C184" s="3" t="s">
        <v>19</v>
      </c>
      <c r="D184" s="3" t="s">
        <v>19</v>
      </c>
      <c r="E184" s="3" t="s">
        <v>20</v>
      </c>
      <c r="F184" s="3" t="s">
        <v>19</v>
      </c>
      <c r="G184" s="3" t="s">
        <v>620</v>
      </c>
      <c r="H184" s="5">
        <v>1</v>
      </c>
      <c r="I184" s="3" t="s">
        <v>19</v>
      </c>
      <c r="J184" s="6">
        <v>50000</v>
      </c>
      <c r="K184" s="6">
        <v>0</v>
      </c>
      <c r="L184" s="6">
        <v>0</v>
      </c>
      <c r="M184" s="6">
        <v>0</v>
      </c>
      <c r="N184" s="3" t="s">
        <v>19</v>
      </c>
      <c r="O184" s="6">
        <v>0</v>
      </c>
      <c r="P184" s="6">
        <f>J184-L184</f>
        <v>50000</v>
      </c>
    </row>
    <row r="185" spans="1:16" x14ac:dyDescent="0.25">
      <c r="A185" s="3" t="s">
        <v>860</v>
      </c>
      <c r="B185" s="4" t="s">
        <v>861</v>
      </c>
      <c r="C185" s="3" t="s">
        <v>19</v>
      </c>
      <c r="D185" s="3" t="s">
        <v>19</v>
      </c>
      <c r="E185" s="3" t="s">
        <v>20</v>
      </c>
      <c r="F185" s="3" t="s">
        <v>19</v>
      </c>
      <c r="G185" s="3" t="s">
        <v>620</v>
      </c>
      <c r="H185" s="5">
        <v>1</v>
      </c>
      <c r="I185" s="3" t="s">
        <v>19</v>
      </c>
      <c r="J185" s="6">
        <v>50000</v>
      </c>
      <c r="K185" s="6">
        <v>0</v>
      </c>
      <c r="L185" s="6">
        <v>0</v>
      </c>
      <c r="M185" s="6">
        <v>0</v>
      </c>
      <c r="N185" s="3" t="s">
        <v>19</v>
      </c>
      <c r="O185" s="6">
        <v>0</v>
      </c>
      <c r="P185" s="6">
        <f>J185-L185</f>
        <v>50000</v>
      </c>
    </row>
    <row r="186" spans="1:16" x14ac:dyDescent="0.25">
      <c r="A186" s="3" t="s">
        <v>862</v>
      </c>
      <c r="B186" s="4" t="s">
        <v>863</v>
      </c>
      <c r="C186" s="3" t="s">
        <v>19</v>
      </c>
      <c r="D186" s="3" t="s">
        <v>19</v>
      </c>
      <c r="E186" s="3" t="s">
        <v>20</v>
      </c>
      <c r="F186" s="3" t="s">
        <v>19</v>
      </c>
      <c r="G186" s="3" t="s">
        <v>620</v>
      </c>
      <c r="H186" s="5">
        <v>1</v>
      </c>
      <c r="I186" s="3" t="s">
        <v>19</v>
      </c>
      <c r="J186" s="6">
        <v>50000</v>
      </c>
      <c r="K186" s="6">
        <v>0</v>
      </c>
      <c r="L186" s="6">
        <v>0</v>
      </c>
      <c r="M186" s="6">
        <v>0</v>
      </c>
      <c r="N186" s="3" t="s">
        <v>19</v>
      </c>
      <c r="O186" s="6">
        <v>0</v>
      </c>
      <c r="P186" s="6">
        <f>J186-L186</f>
        <v>50000</v>
      </c>
    </row>
    <row r="187" spans="1:16" x14ac:dyDescent="0.25">
      <c r="A187" s="3" t="s">
        <v>864</v>
      </c>
      <c r="B187" s="4" t="s">
        <v>865</v>
      </c>
      <c r="C187" s="3" t="s">
        <v>19</v>
      </c>
      <c r="D187" s="3" t="s">
        <v>19</v>
      </c>
      <c r="E187" s="3" t="s">
        <v>25</v>
      </c>
      <c r="F187" s="3" t="s">
        <v>19</v>
      </c>
      <c r="G187" s="3" t="s">
        <v>620</v>
      </c>
      <c r="H187" s="5">
        <v>2</v>
      </c>
      <c r="I187" s="3" t="s">
        <v>19</v>
      </c>
      <c r="J187" s="6">
        <v>100000</v>
      </c>
      <c r="K187" s="6">
        <v>0</v>
      </c>
      <c r="L187" s="6">
        <v>0</v>
      </c>
      <c r="M187" s="6">
        <v>0</v>
      </c>
      <c r="N187" s="3" t="s">
        <v>19</v>
      </c>
      <c r="O187" s="6">
        <v>0</v>
      </c>
      <c r="P187" s="6">
        <f>J187-L187</f>
        <v>100000</v>
      </c>
    </row>
    <row r="188" spans="1:16" x14ac:dyDescent="0.25">
      <c r="A188" s="3" t="s">
        <v>864</v>
      </c>
      <c r="B188" s="4" t="s">
        <v>865</v>
      </c>
      <c r="C188" s="3" t="s">
        <v>19</v>
      </c>
      <c r="D188" s="3" t="s">
        <v>19</v>
      </c>
      <c r="E188" s="3" t="s">
        <v>25</v>
      </c>
      <c r="F188" s="3" t="s">
        <v>19</v>
      </c>
      <c r="G188" s="3" t="s">
        <v>623</v>
      </c>
      <c r="H188" s="5">
        <v>2</v>
      </c>
      <c r="I188" s="3" t="s">
        <v>19</v>
      </c>
      <c r="J188" s="6">
        <v>60000</v>
      </c>
      <c r="K188" s="6">
        <v>0</v>
      </c>
      <c r="L188" s="6">
        <v>0</v>
      </c>
      <c r="M188" s="6">
        <v>0</v>
      </c>
      <c r="N188" s="3" t="s">
        <v>19</v>
      </c>
      <c r="O188" s="6">
        <v>0</v>
      </c>
      <c r="P188" s="6">
        <f>J188-L188</f>
        <v>60000</v>
      </c>
    </row>
    <row r="189" spans="1:16" x14ac:dyDescent="0.25">
      <c r="A189" s="3" t="s">
        <v>866</v>
      </c>
      <c r="B189" s="4" t="s">
        <v>867</v>
      </c>
      <c r="C189" s="3" t="s">
        <v>19</v>
      </c>
      <c r="D189" s="3" t="s">
        <v>19</v>
      </c>
      <c r="E189" s="3" t="s">
        <v>25</v>
      </c>
      <c r="F189" s="3" t="s">
        <v>19</v>
      </c>
      <c r="G189" s="3" t="s">
        <v>620</v>
      </c>
      <c r="H189" s="5">
        <v>1</v>
      </c>
      <c r="I189" s="3" t="s">
        <v>19</v>
      </c>
      <c r="J189" s="6">
        <v>50000</v>
      </c>
      <c r="K189" s="6">
        <v>0</v>
      </c>
      <c r="L189" s="6">
        <v>0</v>
      </c>
      <c r="M189" s="6">
        <v>0</v>
      </c>
      <c r="N189" s="3" t="s">
        <v>19</v>
      </c>
      <c r="O189" s="6">
        <v>0</v>
      </c>
      <c r="P189" s="6">
        <f>J189-L189</f>
        <v>50000</v>
      </c>
    </row>
    <row r="190" ht="18" customHeight="1" spans="1:16" x14ac:dyDescent="0.25">
      <c r="A190" s="7" t="s">
        <v>34</v>
      </c>
      <c r="B190" s="7"/>
      <c r="C190" s="7"/>
      <c r="D190" s="7"/>
      <c r="E190" s="7"/>
      <c r="F190" s="7"/>
      <c r="G190" s="7"/>
      <c r="H190" s="8">
        <f>SUM(H172:H189)</f>
        <v>21</v>
      </c>
      <c r="I190" s="7"/>
      <c r="J190" s="9">
        <f>SUM(J172:J189)</f>
        <v>870000</v>
      </c>
      <c r="K190" s="9">
        <f>SUM(K172:K189)</f>
        <v>0</v>
      </c>
      <c r="L190" s="9">
        <f>SUM(L172:L189)</f>
        <v>0</v>
      </c>
      <c r="M190" s="9">
        <f>SUM(M172:M189)</f>
        <v>0</v>
      </c>
      <c r="N190" s="7"/>
      <c r="O190" s="9">
        <f>SUM(O172:O189)</f>
        <v>0</v>
      </c>
      <c r="P190" s="9">
        <f>SUM(P172:P189)</f>
        <v>870000</v>
      </c>
    </row>
  </sheetData>
  <mergeCells count="18">
    <mergeCell ref="A1:P1"/>
    <mergeCell ref="A21:G21"/>
    <mergeCell ref="A25:P25"/>
    <mergeCell ref="A52:G52"/>
    <mergeCell ref="A56:P56"/>
    <mergeCell ref="A81:G81"/>
    <mergeCell ref="A85:P85"/>
    <mergeCell ref="A92:G92"/>
    <mergeCell ref="A96:P96"/>
    <mergeCell ref="A108:G108"/>
    <mergeCell ref="A112:P112"/>
    <mergeCell ref="A137:G137"/>
    <mergeCell ref="A141:P141"/>
    <mergeCell ref="A147:G147"/>
    <mergeCell ref="A151:P151"/>
    <mergeCell ref="A166:G166"/>
    <mergeCell ref="A170:P170"/>
    <mergeCell ref="A190:G190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7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868</v>
      </c>
      <c r="B3" s="4" t="s">
        <v>869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870</v>
      </c>
      <c r="H3" s="5">
        <v>1</v>
      </c>
      <c r="I3" s="3" t="s">
        <v>19</v>
      </c>
      <c r="J3" s="6">
        <v>15000</v>
      </c>
      <c r="K3" s="6">
        <v>0</v>
      </c>
      <c r="L3" s="6">
        <v>4527.77</v>
      </c>
      <c r="M3" s="6">
        <v>0</v>
      </c>
      <c r="N3" s="3" t="s">
        <v>19</v>
      </c>
      <c r="O3" s="6">
        <v>0</v>
      </c>
      <c r="P3" s="6">
        <f>J3-L3</f>
        <v>10472.23</v>
      </c>
    </row>
    <row r="4" spans="1:16" x14ac:dyDescent="0.25">
      <c r="A4" s="3" t="s">
        <v>871</v>
      </c>
      <c r="B4" s="4" t="s">
        <v>872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873</v>
      </c>
      <c r="H4" s="5">
        <v>1</v>
      </c>
      <c r="I4" s="3" t="s">
        <v>19</v>
      </c>
      <c r="J4" s="6">
        <v>12000</v>
      </c>
      <c r="K4" s="6">
        <v>0</v>
      </c>
      <c r="L4" s="6">
        <v>6250</v>
      </c>
      <c r="M4" s="6">
        <v>0</v>
      </c>
      <c r="N4" s="3" t="s">
        <v>19</v>
      </c>
      <c r="O4" s="6">
        <v>0</v>
      </c>
      <c r="P4" s="6">
        <f>J4-L4</f>
        <v>5750</v>
      </c>
    </row>
    <row r="5" spans="1:16" x14ac:dyDescent="0.25">
      <c r="A5" s="3" t="s">
        <v>146</v>
      </c>
      <c r="B5" s="4" t="s">
        <v>147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870</v>
      </c>
      <c r="H5" s="5">
        <v>1</v>
      </c>
      <c r="I5" s="3" t="s">
        <v>19</v>
      </c>
      <c r="J5" s="6">
        <v>15000</v>
      </c>
      <c r="K5" s="6">
        <v>0</v>
      </c>
      <c r="L5" s="6">
        <v>4527.77</v>
      </c>
      <c r="M5" s="6">
        <v>0</v>
      </c>
      <c r="N5" s="3" t="s">
        <v>19</v>
      </c>
      <c r="O5" s="6">
        <v>0</v>
      </c>
      <c r="P5" s="6">
        <f>J5-L5</f>
        <v>10472.23</v>
      </c>
    </row>
    <row r="6" spans="1:16" x14ac:dyDescent="0.25">
      <c r="A6" s="3" t="s">
        <v>874</v>
      </c>
      <c r="B6" s="4" t="s">
        <v>875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870</v>
      </c>
      <c r="H6" s="5">
        <v>1</v>
      </c>
      <c r="I6" s="3" t="s">
        <v>19</v>
      </c>
      <c r="J6" s="6">
        <v>15000</v>
      </c>
      <c r="K6" s="6">
        <v>0</v>
      </c>
      <c r="L6" s="6">
        <v>4527.77</v>
      </c>
      <c r="M6" s="6">
        <v>0</v>
      </c>
      <c r="N6" s="3" t="s">
        <v>19</v>
      </c>
      <c r="O6" s="6">
        <v>0</v>
      </c>
      <c r="P6" s="6">
        <f>J6-L6</f>
        <v>10472.23</v>
      </c>
    </row>
    <row r="7" spans="1:16" x14ac:dyDescent="0.25">
      <c r="A7" s="3" t="s">
        <v>876</v>
      </c>
      <c r="B7" s="4" t="s">
        <v>877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870</v>
      </c>
      <c r="H7" s="5">
        <v>1</v>
      </c>
      <c r="I7" s="3" t="s">
        <v>19</v>
      </c>
      <c r="J7" s="6">
        <v>15000</v>
      </c>
      <c r="K7" s="6">
        <v>0</v>
      </c>
      <c r="L7" s="6">
        <v>4527.77</v>
      </c>
      <c r="M7" s="6">
        <v>0</v>
      </c>
      <c r="N7" s="3" t="s">
        <v>19</v>
      </c>
      <c r="O7" s="6">
        <v>0</v>
      </c>
      <c r="P7" s="6">
        <f>J7-L7</f>
        <v>10472.23</v>
      </c>
    </row>
    <row r="8" spans="1:16" x14ac:dyDescent="0.25">
      <c r="A8" s="3" t="s">
        <v>878</v>
      </c>
      <c r="B8" s="4" t="s">
        <v>879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870</v>
      </c>
      <c r="H8" s="5">
        <v>1</v>
      </c>
      <c r="I8" s="3" t="s">
        <v>19</v>
      </c>
      <c r="J8" s="6">
        <v>15000</v>
      </c>
      <c r="K8" s="6">
        <v>0</v>
      </c>
      <c r="L8" s="6">
        <v>4527.77</v>
      </c>
      <c r="M8" s="6">
        <v>0</v>
      </c>
      <c r="N8" s="3" t="s">
        <v>19</v>
      </c>
      <c r="O8" s="6">
        <v>0</v>
      </c>
      <c r="P8" s="6">
        <f>J8-L8</f>
        <v>10472.23</v>
      </c>
    </row>
    <row r="9" spans="1:16" x14ac:dyDescent="0.25">
      <c r="A9" s="3" t="s">
        <v>880</v>
      </c>
      <c r="B9" s="4" t="s">
        <v>881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870</v>
      </c>
      <c r="H9" s="5">
        <v>1</v>
      </c>
      <c r="I9" s="3" t="s">
        <v>19</v>
      </c>
      <c r="J9" s="6">
        <v>15000</v>
      </c>
      <c r="K9" s="6">
        <v>0</v>
      </c>
      <c r="L9" s="6">
        <v>4527.77</v>
      </c>
      <c r="M9" s="6">
        <v>0</v>
      </c>
      <c r="N9" s="3" t="s">
        <v>19</v>
      </c>
      <c r="O9" s="6">
        <v>0</v>
      </c>
      <c r="P9" s="6">
        <f>J9-L9</f>
        <v>10472.23</v>
      </c>
    </row>
    <row r="10" spans="1:16" x14ac:dyDescent="0.25">
      <c r="A10" s="3" t="s">
        <v>882</v>
      </c>
      <c r="B10" s="4" t="s">
        <v>883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884</v>
      </c>
      <c r="H10" s="5">
        <v>1</v>
      </c>
      <c r="I10" s="3" t="s">
        <v>19</v>
      </c>
      <c r="J10" s="6">
        <v>10000</v>
      </c>
      <c r="K10" s="6">
        <v>0</v>
      </c>
      <c r="L10" s="6">
        <v>2087.18</v>
      </c>
      <c r="M10" s="6">
        <v>0</v>
      </c>
      <c r="N10" s="3" t="s">
        <v>19</v>
      </c>
      <c r="O10" s="6">
        <v>0</v>
      </c>
      <c r="P10" s="6">
        <f>J10-L10</f>
        <v>7912.82</v>
      </c>
    </row>
    <row r="11" spans="1:16" x14ac:dyDescent="0.25">
      <c r="A11" s="3" t="s">
        <v>885</v>
      </c>
      <c r="B11" s="4" t="s">
        <v>886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870</v>
      </c>
      <c r="H11" s="5">
        <v>1</v>
      </c>
      <c r="I11" s="3" t="s">
        <v>19</v>
      </c>
      <c r="J11" s="6">
        <v>15000</v>
      </c>
      <c r="K11" s="6">
        <v>0</v>
      </c>
      <c r="L11" s="6">
        <v>4527.77</v>
      </c>
      <c r="M11" s="6">
        <v>0</v>
      </c>
      <c r="N11" s="3" t="s">
        <v>19</v>
      </c>
      <c r="O11" s="6">
        <v>0</v>
      </c>
      <c r="P11" s="6">
        <f>J11-L11</f>
        <v>10472.23</v>
      </c>
    </row>
    <row r="12" spans="1:16" x14ac:dyDescent="0.25">
      <c r="A12" s="3" t="s">
        <v>887</v>
      </c>
      <c r="B12" s="4" t="s">
        <v>888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870</v>
      </c>
      <c r="H12" s="5">
        <v>1</v>
      </c>
      <c r="I12" s="3" t="s">
        <v>19</v>
      </c>
      <c r="J12" s="6">
        <v>15000</v>
      </c>
      <c r="K12" s="6">
        <v>0</v>
      </c>
      <c r="L12" s="6">
        <v>4527.77</v>
      </c>
      <c r="M12" s="6">
        <v>0</v>
      </c>
      <c r="N12" s="3" t="s">
        <v>19</v>
      </c>
      <c r="O12" s="6">
        <v>0</v>
      </c>
      <c r="P12" s="6">
        <f>J12-L12</f>
        <v>10472.23</v>
      </c>
    </row>
    <row r="13" spans="1:16" x14ac:dyDescent="0.25">
      <c r="A13" s="3" t="s">
        <v>889</v>
      </c>
      <c r="B13" s="4" t="s">
        <v>890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870</v>
      </c>
      <c r="H13" s="5">
        <v>1</v>
      </c>
      <c r="I13" s="3" t="s">
        <v>19</v>
      </c>
      <c r="J13" s="6">
        <v>15000</v>
      </c>
      <c r="K13" s="6">
        <v>0</v>
      </c>
      <c r="L13" s="6">
        <v>4527.77</v>
      </c>
      <c r="M13" s="6">
        <v>0</v>
      </c>
      <c r="N13" s="3" t="s">
        <v>19</v>
      </c>
      <c r="O13" s="6">
        <v>0</v>
      </c>
      <c r="P13" s="6">
        <f>J13-L13</f>
        <v>10472.23</v>
      </c>
    </row>
    <row r="14" spans="1:16" x14ac:dyDescent="0.25">
      <c r="A14" s="3" t="s">
        <v>891</v>
      </c>
      <c r="B14" s="4" t="s">
        <v>892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884</v>
      </c>
      <c r="H14" s="5">
        <v>1</v>
      </c>
      <c r="I14" s="3" t="s">
        <v>19</v>
      </c>
      <c r="J14" s="6">
        <v>10000</v>
      </c>
      <c r="K14" s="6">
        <v>0</v>
      </c>
      <c r="L14" s="6">
        <v>2087.18</v>
      </c>
      <c r="M14" s="6">
        <v>0</v>
      </c>
      <c r="N14" s="3" t="s">
        <v>19</v>
      </c>
      <c r="O14" s="6">
        <v>0</v>
      </c>
      <c r="P14" s="6">
        <f>J14-L14</f>
        <v>7912.82</v>
      </c>
    </row>
    <row r="15" spans="1:16" x14ac:dyDescent="0.25">
      <c r="A15" s="3" t="s">
        <v>893</v>
      </c>
      <c r="B15" s="4" t="s">
        <v>894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870</v>
      </c>
      <c r="H15" s="5">
        <v>1</v>
      </c>
      <c r="I15" s="3" t="s">
        <v>19</v>
      </c>
      <c r="J15" s="6">
        <v>15000</v>
      </c>
      <c r="K15" s="6">
        <v>0</v>
      </c>
      <c r="L15" s="6">
        <v>4527.77</v>
      </c>
      <c r="M15" s="6">
        <v>0</v>
      </c>
      <c r="N15" s="3" t="s">
        <v>19</v>
      </c>
      <c r="O15" s="6">
        <v>0</v>
      </c>
      <c r="P15" s="6">
        <f>J15-L15</f>
        <v>10472.23</v>
      </c>
    </row>
    <row r="16" spans="1:16" x14ac:dyDescent="0.25">
      <c r="A16" s="3" t="s">
        <v>895</v>
      </c>
      <c r="B16" s="4" t="s">
        <v>896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870</v>
      </c>
      <c r="H16" s="5">
        <v>1</v>
      </c>
      <c r="I16" s="3" t="s">
        <v>19</v>
      </c>
      <c r="J16" s="6">
        <v>15000</v>
      </c>
      <c r="K16" s="6">
        <v>0</v>
      </c>
      <c r="L16" s="6">
        <v>4527.77</v>
      </c>
      <c r="M16" s="6">
        <v>0</v>
      </c>
      <c r="N16" s="3" t="s">
        <v>19</v>
      </c>
      <c r="O16" s="6">
        <v>0</v>
      </c>
      <c r="P16" s="6">
        <f>J16-L16</f>
        <v>10472.23</v>
      </c>
    </row>
    <row r="17" spans="1:16" x14ac:dyDescent="0.25">
      <c r="A17" s="3" t="s">
        <v>897</v>
      </c>
      <c r="B17" s="4" t="s">
        <v>898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870</v>
      </c>
      <c r="H17" s="5">
        <v>1</v>
      </c>
      <c r="I17" s="3" t="s">
        <v>19</v>
      </c>
      <c r="J17" s="6">
        <v>15000</v>
      </c>
      <c r="K17" s="6">
        <v>0</v>
      </c>
      <c r="L17" s="6">
        <v>4527.77</v>
      </c>
      <c r="M17" s="6">
        <v>0</v>
      </c>
      <c r="N17" s="3" t="s">
        <v>19</v>
      </c>
      <c r="O17" s="6">
        <v>0</v>
      </c>
      <c r="P17" s="6">
        <f>J17-L17</f>
        <v>10472.23</v>
      </c>
    </row>
    <row r="18" spans="1:16" x14ac:dyDescent="0.25">
      <c r="A18" s="3" t="s">
        <v>180</v>
      </c>
      <c r="B18" s="4" t="s">
        <v>181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873</v>
      </c>
      <c r="H18" s="5">
        <v>6</v>
      </c>
      <c r="I18" s="3" t="s">
        <v>19</v>
      </c>
      <c r="J18" s="6">
        <v>72000</v>
      </c>
      <c r="K18" s="6">
        <v>0</v>
      </c>
      <c r="L18" s="6">
        <v>37500</v>
      </c>
      <c r="M18" s="6">
        <v>0</v>
      </c>
      <c r="N18" s="3" t="s">
        <v>19</v>
      </c>
      <c r="O18" s="6">
        <v>0</v>
      </c>
      <c r="P18" s="6">
        <f>J18-L18</f>
        <v>34500</v>
      </c>
    </row>
    <row r="19" spans="1:16" x14ac:dyDescent="0.25">
      <c r="A19" s="3" t="s">
        <v>180</v>
      </c>
      <c r="B19" s="4" t="s">
        <v>181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884</v>
      </c>
      <c r="H19" s="5">
        <v>1</v>
      </c>
      <c r="I19" s="3" t="s">
        <v>19</v>
      </c>
      <c r="J19" s="6">
        <v>10000</v>
      </c>
      <c r="K19" s="6">
        <v>0</v>
      </c>
      <c r="L19" s="6">
        <v>2087.18</v>
      </c>
      <c r="M19" s="6">
        <v>0</v>
      </c>
      <c r="N19" s="3" t="s">
        <v>19</v>
      </c>
      <c r="O19" s="6">
        <v>0</v>
      </c>
      <c r="P19" s="6">
        <f>J19-L19</f>
        <v>7912.82</v>
      </c>
    </row>
    <row r="20" spans="1:16" x14ac:dyDescent="0.25">
      <c r="A20" s="3" t="s">
        <v>180</v>
      </c>
      <c r="B20" s="4" t="s">
        <v>181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870</v>
      </c>
      <c r="H20" s="5">
        <v>1</v>
      </c>
      <c r="I20" s="3" t="s">
        <v>19</v>
      </c>
      <c r="J20" s="6">
        <v>15000</v>
      </c>
      <c r="K20" s="6">
        <v>0</v>
      </c>
      <c r="L20" s="6">
        <v>4527.77</v>
      </c>
      <c r="M20" s="6">
        <v>0</v>
      </c>
      <c r="N20" s="3" t="s">
        <v>19</v>
      </c>
      <c r="O20" s="6">
        <v>0</v>
      </c>
      <c r="P20" s="6">
        <f>J20-L20</f>
        <v>10472.23</v>
      </c>
    </row>
    <row r="21" spans="1:16" x14ac:dyDescent="0.25">
      <c r="A21" s="3" t="s">
        <v>180</v>
      </c>
      <c r="B21" s="4" t="s">
        <v>181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899</v>
      </c>
      <c r="H21" s="5">
        <v>1</v>
      </c>
      <c r="I21" s="3" t="s">
        <v>19</v>
      </c>
      <c r="J21" s="6">
        <v>12000</v>
      </c>
      <c r="K21" s="6">
        <v>0</v>
      </c>
      <c r="L21" s="6">
        <v>6250</v>
      </c>
      <c r="M21" s="6">
        <v>0</v>
      </c>
      <c r="N21" s="3" t="s">
        <v>19</v>
      </c>
      <c r="O21" s="6">
        <v>0</v>
      </c>
      <c r="P21" s="6">
        <f>J21-L21</f>
        <v>5750</v>
      </c>
    </row>
    <row r="22" spans="1:16" x14ac:dyDescent="0.25">
      <c r="A22" s="3" t="s">
        <v>900</v>
      </c>
      <c r="B22" s="4" t="s">
        <v>901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873</v>
      </c>
      <c r="H22" s="5">
        <v>1</v>
      </c>
      <c r="I22" s="3" t="s">
        <v>19</v>
      </c>
      <c r="J22" s="6">
        <v>12000</v>
      </c>
      <c r="K22" s="6">
        <v>0</v>
      </c>
      <c r="L22" s="6">
        <v>6250</v>
      </c>
      <c r="M22" s="6">
        <v>0</v>
      </c>
      <c r="N22" s="3" t="s">
        <v>19</v>
      </c>
      <c r="O22" s="6">
        <v>0</v>
      </c>
      <c r="P22" s="6">
        <f>J22-L22</f>
        <v>5750</v>
      </c>
    </row>
    <row r="23" spans="1:16" x14ac:dyDescent="0.25">
      <c r="A23" s="3" t="s">
        <v>902</v>
      </c>
      <c r="B23" s="4" t="s">
        <v>903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904</v>
      </c>
      <c r="H23" s="5">
        <v>1</v>
      </c>
      <c r="I23" s="3" t="s">
        <v>19</v>
      </c>
      <c r="J23" s="6">
        <v>20000</v>
      </c>
      <c r="K23" s="6">
        <v>0</v>
      </c>
      <c r="L23" s="6">
        <v>10250</v>
      </c>
      <c r="M23" s="6">
        <v>0</v>
      </c>
      <c r="N23" s="3" t="s">
        <v>19</v>
      </c>
      <c r="O23" s="6">
        <v>0</v>
      </c>
      <c r="P23" s="6">
        <f>J23-L23</f>
        <v>9750</v>
      </c>
    </row>
    <row r="24" spans="1:16" x14ac:dyDescent="0.25">
      <c r="A24" s="3" t="s">
        <v>184</v>
      </c>
      <c r="B24" s="4" t="s">
        <v>185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884</v>
      </c>
      <c r="H24" s="5">
        <v>1</v>
      </c>
      <c r="I24" s="3" t="s">
        <v>19</v>
      </c>
      <c r="J24" s="6">
        <v>10000</v>
      </c>
      <c r="K24" s="6">
        <v>0</v>
      </c>
      <c r="L24" s="6">
        <v>2087.18</v>
      </c>
      <c r="M24" s="6">
        <v>0</v>
      </c>
      <c r="N24" s="3" t="s">
        <v>19</v>
      </c>
      <c r="O24" s="6">
        <v>0</v>
      </c>
      <c r="P24" s="6">
        <f>J24-L24</f>
        <v>7912.82</v>
      </c>
    </row>
    <row r="25" spans="1:16" x14ac:dyDescent="0.25">
      <c r="A25" s="3" t="s">
        <v>184</v>
      </c>
      <c r="B25" s="4" t="s">
        <v>185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873</v>
      </c>
      <c r="H25" s="5">
        <v>3</v>
      </c>
      <c r="I25" s="3" t="s">
        <v>19</v>
      </c>
      <c r="J25" s="6">
        <v>36000</v>
      </c>
      <c r="K25" s="6">
        <v>0</v>
      </c>
      <c r="L25" s="6">
        <v>18750</v>
      </c>
      <c r="M25" s="6">
        <v>0</v>
      </c>
      <c r="N25" s="3" t="s">
        <v>19</v>
      </c>
      <c r="O25" s="6">
        <v>0</v>
      </c>
      <c r="P25" s="6">
        <f>J25-L25</f>
        <v>17250</v>
      </c>
    </row>
    <row r="26" spans="1:16" x14ac:dyDescent="0.25">
      <c r="A26" s="3" t="s">
        <v>905</v>
      </c>
      <c r="B26" s="4" t="s">
        <v>906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884</v>
      </c>
      <c r="H26" s="5">
        <v>1</v>
      </c>
      <c r="I26" s="3" t="s">
        <v>19</v>
      </c>
      <c r="J26" s="6">
        <v>10000</v>
      </c>
      <c r="K26" s="6">
        <v>0</v>
      </c>
      <c r="L26" s="6">
        <v>2087.18</v>
      </c>
      <c r="M26" s="6">
        <v>0</v>
      </c>
      <c r="N26" s="3" t="s">
        <v>19</v>
      </c>
      <c r="O26" s="6">
        <v>0</v>
      </c>
      <c r="P26" s="6">
        <f>J26-L26</f>
        <v>7912.82</v>
      </c>
    </row>
    <row r="27" spans="1:16" x14ac:dyDescent="0.25">
      <c r="A27" s="3" t="s">
        <v>905</v>
      </c>
      <c r="B27" s="4" t="s">
        <v>906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899</v>
      </c>
      <c r="H27" s="5">
        <v>1</v>
      </c>
      <c r="I27" s="3" t="s">
        <v>19</v>
      </c>
      <c r="J27" s="6">
        <v>12000</v>
      </c>
      <c r="K27" s="6">
        <v>0</v>
      </c>
      <c r="L27" s="6">
        <v>6250</v>
      </c>
      <c r="M27" s="6">
        <v>0</v>
      </c>
      <c r="N27" s="3" t="s">
        <v>19</v>
      </c>
      <c r="O27" s="6">
        <v>0</v>
      </c>
      <c r="P27" s="6">
        <f>J27-L27</f>
        <v>5750</v>
      </c>
    </row>
    <row r="28" spans="1:16" x14ac:dyDescent="0.25">
      <c r="A28" s="3" t="s">
        <v>907</v>
      </c>
      <c r="B28" s="4" t="s">
        <v>908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873</v>
      </c>
      <c r="H28" s="5">
        <v>2</v>
      </c>
      <c r="I28" s="3" t="s">
        <v>19</v>
      </c>
      <c r="J28" s="6">
        <v>24000</v>
      </c>
      <c r="K28" s="6">
        <v>0</v>
      </c>
      <c r="L28" s="6">
        <v>12500</v>
      </c>
      <c r="M28" s="6">
        <v>0</v>
      </c>
      <c r="N28" s="3" t="s">
        <v>19</v>
      </c>
      <c r="O28" s="6">
        <v>0</v>
      </c>
      <c r="P28" s="6">
        <f>J28-L28</f>
        <v>11500</v>
      </c>
    </row>
    <row r="29" spans="1:16" x14ac:dyDescent="0.25">
      <c r="A29" s="3" t="s">
        <v>909</v>
      </c>
      <c r="B29" s="4" t="s">
        <v>910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870</v>
      </c>
      <c r="H29" s="5">
        <v>1</v>
      </c>
      <c r="I29" s="3" t="s">
        <v>19</v>
      </c>
      <c r="J29" s="6">
        <v>15000</v>
      </c>
      <c r="K29" s="6">
        <v>0</v>
      </c>
      <c r="L29" s="6">
        <v>4527.77</v>
      </c>
      <c r="M29" s="6">
        <v>0</v>
      </c>
      <c r="N29" s="3" t="s">
        <v>19</v>
      </c>
      <c r="O29" s="6">
        <v>0</v>
      </c>
      <c r="P29" s="6">
        <f>J29-L29</f>
        <v>10472.23</v>
      </c>
    </row>
    <row r="30" spans="1:16" x14ac:dyDescent="0.25">
      <c r="A30" s="3" t="s">
        <v>911</v>
      </c>
      <c r="B30" s="4" t="s">
        <v>912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870</v>
      </c>
      <c r="H30" s="5">
        <v>1</v>
      </c>
      <c r="I30" s="3" t="s">
        <v>19</v>
      </c>
      <c r="J30" s="6">
        <v>15000</v>
      </c>
      <c r="K30" s="6">
        <v>0</v>
      </c>
      <c r="L30" s="6">
        <v>4527.77</v>
      </c>
      <c r="M30" s="6">
        <v>0</v>
      </c>
      <c r="N30" s="3" t="s">
        <v>19</v>
      </c>
      <c r="O30" s="6">
        <v>0</v>
      </c>
      <c r="P30" s="6">
        <f>J30-L30</f>
        <v>10472.23</v>
      </c>
    </row>
    <row r="31" spans="1:16" x14ac:dyDescent="0.25">
      <c r="A31" s="3" t="s">
        <v>911</v>
      </c>
      <c r="B31" s="4" t="s">
        <v>912</v>
      </c>
      <c r="C31" s="3" t="s">
        <v>19</v>
      </c>
      <c r="D31" s="3" t="s">
        <v>19</v>
      </c>
      <c r="E31" s="3" t="s">
        <v>25</v>
      </c>
      <c r="F31" s="3" t="s">
        <v>19</v>
      </c>
      <c r="G31" s="3" t="s">
        <v>899</v>
      </c>
      <c r="H31" s="5">
        <v>1</v>
      </c>
      <c r="I31" s="3" t="s">
        <v>19</v>
      </c>
      <c r="J31" s="6">
        <v>12000</v>
      </c>
      <c r="K31" s="6">
        <v>0</v>
      </c>
      <c r="L31" s="6">
        <v>6250</v>
      </c>
      <c r="M31" s="6">
        <v>0</v>
      </c>
      <c r="N31" s="3" t="s">
        <v>19</v>
      </c>
      <c r="O31" s="6">
        <v>0</v>
      </c>
      <c r="P31" s="6">
        <f>J31-L31</f>
        <v>5750</v>
      </c>
    </row>
    <row r="32" spans="1:16" x14ac:dyDescent="0.25">
      <c r="A32" s="3" t="s">
        <v>913</v>
      </c>
      <c r="B32" s="4" t="s">
        <v>914</v>
      </c>
      <c r="C32" s="3" t="s">
        <v>19</v>
      </c>
      <c r="D32" s="3" t="s">
        <v>19</v>
      </c>
      <c r="E32" s="3" t="s">
        <v>25</v>
      </c>
      <c r="F32" s="3" t="s">
        <v>19</v>
      </c>
      <c r="G32" s="3" t="s">
        <v>870</v>
      </c>
      <c r="H32" s="5">
        <v>1</v>
      </c>
      <c r="I32" s="3" t="s">
        <v>19</v>
      </c>
      <c r="J32" s="6">
        <v>15000</v>
      </c>
      <c r="K32" s="6">
        <v>0</v>
      </c>
      <c r="L32" s="6">
        <v>4527.77</v>
      </c>
      <c r="M32" s="6">
        <v>0</v>
      </c>
      <c r="N32" s="3" t="s">
        <v>19</v>
      </c>
      <c r="O32" s="6">
        <v>0</v>
      </c>
      <c r="P32" s="6">
        <f>J32-L32</f>
        <v>10472.23</v>
      </c>
    </row>
    <row r="33" spans="1:16" x14ac:dyDescent="0.25">
      <c r="A33" s="3" t="s">
        <v>915</v>
      </c>
      <c r="B33" s="4" t="s">
        <v>916</v>
      </c>
      <c r="C33" s="3" t="s">
        <v>19</v>
      </c>
      <c r="D33" s="3" t="s">
        <v>19</v>
      </c>
      <c r="E33" s="3" t="s">
        <v>25</v>
      </c>
      <c r="F33" s="3" t="s">
        <v>19</v>
      </c>
      <c r="G33" s="3" t="s">
        <v>904</v>
      </c>
      <c r="H33" s="5">
        <v>1</v>
      </c>
      <c r="I33" s="3" t="s">
        <v>19</v>
      </c>
      <c r="J33" s="6">
        <v>20000</v>
      </c>
      <c r="K33" s="6">
        <v>0</v>
      </c>
      <c r="L33" s="6">
        <v>10250</v>
      </c>
      <c r="M33" s="6">
        <v>0</v>
      </c>
      <c r="N33" s="3" t="s">
        <v>19</v>
      </c>
      <c r="O33" s="6">
        <v>0</v>
      </c>
      <c r="P33" s="6">
        <f>J33-L33</f>
        <v>9750</v>
      </c>
    </row>
    <row r="34" spans="1:16" x14ac:dyDescent="0.25">
      <c r="A34" s="3" t="s">
        <v>917</v>
      </c>
      <c r="B34" s="4" t="s">
        <v>918</v>
      </c>
      <c r="C34" s="3" t="s">
        <v>19</v>
      </c>
      <c r="D34" s="3" t="s">
        <v>19</v>
      </c>
      <c r="E34" s="3" t="s">
        <v>25</v>
      </c>
      <c r="F34" s="3" t="s">
        <v>19</v>
      </c>
      <c r="G34" s="3" t="s">
        <v>873</v>
      </c>
      <c r="H34" s="5">
        <v>1</v>
      </c>
      <c r="I34" s="3" t="s">
        <v>19</v>
      </c>
      <c r="J34" s="6">
        <v>12000</v>
      </c>
      <c r="K34" s="6">
        <v>0</v>
      </c>
      <c r="L34" s="6">
        <v>6250</v>
      </c>
      <c r="M34" s="6">
        <v>0</v>
      </c>
      <c r="N34" s="3" t="s">
        <v>19</v>
      </c>
      <c r="O34" s="6">
        <v>0</v>
      </c>
      <c r="P34" s="6">
        <f>J34-L34</f>
        <v>5750</v>
      </c>
    </row>
    <row r="35" ht="18" customHeight="1" spans="1:16" x14ac:dyDescent="0.25">
      <c r="A35" s="7" t="s">
        <v>34</v>
      </c>
      <c r="B35" s="7"/>
      <c r="C35" s="7"/>
      <c r="D35" s="7"/>
      <c r="E35" s="7"/>
      <c r="F35" s="7"/>
      <c r="G35" s="7"/>
      <c r="H35" s="8">
        <f>SUM(H3:H34)</f>
        <v>40</v>
      </c>
      <c r="I35" s="7"/>
      <c r="J35" s="9">
        <f>SUM(J3:J34)</f>
        <v>534000</v>
      </c>
      <c r="K35" s="9">
        <f>SUM(K3:K34)</f>
        <v>0</v>
      </c>
      <c r="L35" s="9">
        <f>SUM(L3:L34)</f>
        <v>209630.21999999997</v>
      </c>
      <c r="M35" s="9">
        <f>SUM(M3:M34)</f>
        <v>0</v>
      </c>
      <c r="N35" s="7"/>
      <c r="O35" s="9">
        <f>SUM(O3:O34)</f>
        <v>0</v>
      </c>
      <c r="P35" s="9">
        <f>SUM(P3:P34)</f>
        <v>324369.7799999999</v>
      </c>
    </row>
    <row r="39" ht="15.75" customHeight="1" spans="1:16" x14ac:dyDescent="0.25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39.4" customHeight="1" spans="1:1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  <c r="N40" s="2" t="s">
        <v>14</v>
      </c>
      <c r="O40" s="2" t="s">
        <v>15</v>
      </c>
      <c r="P40" s="2" t="s">
        <v>16</v>
      </c>
    </row>
    <row r="41" spans="1:16" x14ac:dyDescent="0.25">
      <c r="A41" s="3" t="s">
        <v>919</v>
      </c>
      <c r="B41" s="4" t="s">
        <v>920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904</v>
      </c>
      <c r="H41" s="5">
        <v>1</v>
      </c>
      <c r="I41" s="3" t="s">
        <v>19</v>
      </c>
      <c r="J41" s="6">
        <v>20000</v>
      </c>
      <c r="K41" s="6">
        <v>0</v>
      </c>
      <c r="L41" s="6">
        <v>10250</v>
      </c>
      <c r="M41" s="6">
        <v>0</v>
      </c>
      <c r="N41" s="3" t="s">
        <v>19</v>
      </c>
      <c r="O41" s="6">
        <v>0</v>
      </c>
      <c r="P41" s="6">
        <f>J41-L41</f>
        <v>9750</v>
      </c>
    </row>
    <row r="42" spans="1:16" x14ac:dyDescent="0.25">
      <c r="A42" s="3" t="s">
        <v>921</v>
      </c>
      <c r="B42" s="4" t="s">
        <v>922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899</v>
      </c>
      <c r="H42" s="5">
        <v>3</v>
      </c>
      <c r="I42" s="3" t="s">
        <v>19</v>
      </c>
      <c r="J42" s="6">
        <v>36000</v>
      </c>
      <c r="K42" s="6">
        <v>0</v>
      </c>
      <c r="L42" s="6">
        <v>18750</v>
      </c>
      <c r="M42" s="6">
        <v>0</v>
      </c>
      <c r="N42" s="3" t="s">
        <v>19</v>
      </c>
      <c r="O42" s="6">
        <v>0</v>
      </c>
      <c r="P42" s="6">
        <f>J42-L42</f>
        <v>17250</v>
      </c>
    </row>
    <row r="43" spans="1:16" x14ac:dyDescent="0.25">
      <c r="A43" s="3" t="s">
        <v>191</v>
      </c>
      <c r="B43" s="4" t="s">
        <v>192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873</v>
      </c>
      <c r="H43" s="5">
        <v>1</v>
      </c>
      <c r="I43" s="3" t="s">
        <v>19</v>
      </c>
      <c r="J43" s="6">
        <v>12000</v>
      </c>
      <c r="K43" s="6">
        <v>0</v>
      </c>
      <c r="L43" s="6">
        <v>6250</v>
      </c>
      <c r="M43" s="6">
        <v>0</v>
      </c>
      <c r="N43" s="3" t="s">
        <v>19</v>
      </c>
      <c r="O43" s="6">
        <v>0</v>
      </c>
      <c r="P43" s="6">
        <f>J43-L43</f>
        <v>5750</v>
      </c>
    </row>
    <row r="44" spans="1:16" x14ac:dyDescent="0.25">
      <c r="A44" s="3" t="s">
        <v>923</v>
      </c>
      <c r="B44" s="4" t="s">
        <v>924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884</v>
      </c>
      <c r="H44" s="5">
        <v>1</v>
      </c>
      <c r="I44" s="3" t="s">
        <v>19</v>
      </c>
      <c r="J44" s="6">
        <v>10000</v>
      </c>
      <c r="K44" s="6">
        <v>0</v>
      </c>
      <c r="L44" s="6">
        <v>2087.18</v>
      </c>
      <c r="M44" s="6">
        <v>0</v>
      </c>
      <c r="N44" s="3" t="s">
        <v>19</v>
      </c>
      <c r="O44" s="6">
        <v>0</v>
      </c>
      <c r="P44" s="6">
        <f>J44-L44</f>
        <v>7912.82</v>
      </c>
    </row>
    <row r="45" spans="1:16" x14ac:dyDescent="0.25">
      <c r="A45" s="3" t="s">
        <v>925</v>
      </c>
      <c r="B45" s="4" t="s">
        <v>926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904</v>
      </c>
      <c r="H45" s="5">
        <v>1</v>
      </c>
      <c r="I45" s="3" t="s">
        <v>19</v>
      </c>
      <c r="J45" s="6">
        <v>20000</v>
      </c>
      <c r="K45" s="6">
        <v>0</v>
      </c>
      <c r="L45" s="6">
        <v>10250</v>
      </c>
      <c r="M45" s="6">
        <v>0</v>
      </c>
      <c r="N45" s="3" t="s">
        <v>19</v>
      </c>
      <c r="O45" s="6">
        <v>0</v>
      </c>
      <c r="P45" s="6">
        <f>J45-L45</f>
        <v>9750</v>
      </c>
    </row>
    <row r="46" spans="1:16" x14ac:dyDescent="0.25">
      <c r="A46" s="3" t="s">
        <v>927</v>
      </c>
      <c r="B46" s="4" t="s">
        <v>928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870</v>
      </c>
      <c r="H46" s="5">
        <v>1</v>
      </c>
      <c r="I46" s="3" t="s">
        <v>19</v>
      </c>
      <c r="J46" s="6">
        <v>15000</v>
      </c>
      <c r="K46" s="6">
        <v>0</v>
      </c>
      <c r="L46" s="6">
        <v>4527.77</v>
      </c>
      <c r="M46" s="6">
        <v>0</v>
      </c>
      <c r="N46" s="3" t="s">
        <v>19</v>
      </c>
      <c r="O46" s="6">
        <v>0</v>
      </c>
      <c r="P46" s="6">
        <f>J46-L46</f>
        <v>10472.23</v>
      </c>
    </row>
    <row r="47" spans="1:16" x14ac:dyDescent="0.25">
      <c r="A47" s="3" t="s">
        <v>929</v>
      </c>
      <c r="B47" s="4" t="s">
        <v>930</v>
      </c>
      <c r="C47" s="3" t="s">
        <v>19</v>
      </c>
      <c r="D47" s="3" t="s">
        <v>19</v>
      </c>
      <c r="E47" s="3" t="s">
        <v>20</v>
      </c>
      <c r="F47" s="3" t="s">
        <v>19</v>
      </c>
      <c r="G47" s="3" t="s">
        <v>870</v>
      </c>
      <c r="H47" s="5">
        <v>1</v>
      </c>
      <c r="I47" s="3" t="s">
        <v>19</v>
      </c>
      <c r="J47" s="6">
        <v>15000</v>
      </c>
      <c r="K47" s="6">
        <v>0</v>
      </c>
      <c r="L47" s="6">
        <v>4527.77</v>
      </c>
      <c r="M47" s="6">
        <v>0</v>
      </c>
      <c r="N47" s="3" t="s">
        <v>19</v>
      </c>
      <c r="O47" s="6">
        <v>0</v>
      </c>
      <c r="P47" s="6">
        <f>J47-L47</f>
        <v>10472.23</v>
      </c>
    </row>
    <row r="48" spans="1:16" x14ac:dyDescent="0.25">
      <c r="A48" s="3" t="s">
        <v>931</v>
      </c>
      <c r="B48" s="4" t="s">
        <v>932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873</v>
      </c>
      <c r="H48" s="5">
        <v>1</v>
      </c>
      <c r="I48" s="3" t="s">
        <v>19</v>
      </c>
      <c r="J48" s="6">
        <v>12000</v>
      </c>
      <c r="K48" s="6">
        <v>0</v>
      </c>
      <c r="L48" s="6">
        <v>6250</v>
      </c>
      <c r="M48" s="6">
        <v>0</v>
      </c>
      <c r="N48" s="3" t="s">
        <v>19</v>
      </c>
      <c r="O48" s="6">
        <v>0</v>
      </c>
      <c r="P48" s="6">
        <f>J48-L48</f>
        <v>5750</v>
      </c>
    </row>
    <row r="49" spans="1:16" x14ac:dyDescent="0.25">
      <c r="A49" s="3" t="s">
        <v>931</v>
      </c>
      <c r="B49" s="4" t="s">
        <v>932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870</v>
      </c>
      <c r="H49" s="5">
        <v>1</v>
      </c>
      <c r="I49" s="3" t="s">
        <v>19</v>
      </c>
      <c r="J49" s="6">
        <v>15000</v>
      </c>
      <c r="K49" s="6">
        <v>0</v>
      </c>
      <c r="L49" s="6">
        <v>4527.77</v>
      </c>
      <c r="M49" s="6">
        <v>0</v>
      </c>
      <c r="N49" s="3" t="s">
        <v>19</v>
      </c>
      <c r="O49" s="6">
        <v>0</v>
      </c>
      <c r="P49" s="6">
        <f>J49-L49</f>
        <v>10472.23</v>
      </c>
    </row>
    <row r="50" spans="1:16" x14ac:dyDescent="0.25">
      <c r="A50" s="3" t="s">
        <v>933</v>
      </c>
      <c r="B50" s="4" t="s">
        <v>934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884</v>
      </c>
      <c r="H50" s="5">
        <v>1</v>
      </c>
      <c r="I50" s="3" t="s">
        <v>19</v>
      </c>
      <c r="J50" s="6">
        <v>10000</v>
      </c>
      <c r="K50" s="6">
        <v>0</v>
      </c>
      <c r="L50" s="6">
        <v>2087.18</v>
      </c>
      <c r="M50" s="6">
        <v>0</v>
      </c>
      <c r="N50" s="3" t="s">
        <v>19</v>
      </c>
      <c r="O50" s="6">
        <v>0</v>
      </c>
      <c r="P50" s="6">
        <f>J50-L50</f>
        <v>7912.82</v>
      </c>
    </row>
    <row r="51" spans="1:16" x14ac:dyDescent="0.25">
      <c r="A51" s="3" t="s">
        <v>935</v>
      </c>
      <c r="B51" s="4" t="s">
        <v>936</v>
      </c>
      <c r="C51" s="3" t="s">
        <v>19</v>
      </c>
      <c r="D51" s="3" t="s">
        <v>19</v>
      </c>
      <c r="E51" s="3" t="s">
        <v>20</v>
      </c>
      <c r="F51" s="3" t="s">
        <v>19</v>
      </c>
      <c r="G51" s="3" t="s">
        <v>884</v>
      </c>
      <c r="H51" s="5">
        <v>1</v>
      </c>
      <c r="I51" s="3" t="s">
        <v>19</v>
      </c>
      <c r="J51" s="6">
        <v>10000</v>
      </c>
      <c r="K51" s="6">
        <v>0</v>
      </c>
      <c r="L51" s="6">
        <v>2087.18</v>
      </c>
      <c r="M51" s="6">
        <v>0</v>
      </c>
      <c r="N51" s="3" t="s">
        <v>19</v>
      </c>
      <c r="O51" s="6">
        <v>0</v>
      </c>
      <c r="P51" s="6">
        <f>J51-L51</f>
        <v>7912.82</v>
      </c>
    </row>
    <row r="52" spans="1:16" x14ac:dyDescent="0.25">
      <c r="A52" s="3" t="s">
        <v>937</v>
      </c>
      <c r="B52" s="4" t="s">
        <v>938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873</v>
      </c>
      <c r="H52" s="5">
        <v>2</v>
      </c>
      <c r="I52" s="3" t="s">
        <v>19</v>
      </c>
      <c r="J52" s="6">
        <v>24000</v>
      </c>
      <c r="K52" s="6">
        <v>0</v>
      </c>
      <c r="L52" s="6">
        <v>12500</v>
      </c>
      <c r="M52" s="6">
        <v>0</v>
      </c>
      <c r="N52" s="3" t="s">
        <v>19</v>
      </c>
      <c r="O52" s="6">
        <v>0</v>
      </c>
      <c r="P52" s="6">
        <f>J52-L52</f>
        <v>11500</v>
      </c>
    </row>
    <row r="53" spans="1:16" x14ac:dyDescent="0.25">
      <c r="A53" s="3" t="s">
        <v>670</v>
      </c>
      <c r="B53" s="4" t="s">
        <v>671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904</v>
      </c>
      <c r="H53" s="5">
        <v>1</v>
      </c>
      <c r="I53" s="3" t="s">
        <v>19</v>
      </c>
      <c r="J53" s="6">
        <v>20000</v>
      </c>
      <c r="K53" s="6">
        <v>0</v>
      </c>
      <c r="L53" s="6">
        <v>10250</v>
      </c>
      <c r="M53" s="6">
        <v>0</v>
      </c>
      <c r="N53" s="3" t="s">
        <v>19</v>
      </c>
      <c r="O53" s="6">
        <v>0</v>
      </c>
      <c r="P53" s="6">
        <f>J53-L53</f>
        <v>9750</v>
      </c>
    </row>
    <row r="54" spans="1:16" x14ac:dyDescent="0.25">
      <c r="A54" s="3" t="s">
        <v>939</v>
      </c>
      <c r="B54" s="4" t="s">
        <v>940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904</v>
      </c>
      <c r="H54" s="5">
        <v>1</v>
      </c>
      <c r="I54" s="3" t="s">
        <v>19</v>
      </c>
      <c r="J54" s="6">
        <v>20000</v>
      </c>
      <c r="K54" s="6">
        <v>0</v>
      </c>
      <c r="L54" s="6">
        <v>10250</v>
      </c>
      <c r="M54" s="6">
        <v>0</v>
      </c>
      <c r="N54" s="3" t="s">
        <v>19</v>
      </c>
      <c r="O54" s="6">
        <v>0</v>
      </c>
      <c r="P54" s="6">
        <f>J54-L54</f>
        <v>9750</v>
      </c>
    </row>
    <row r="55" spans="1:16" x14ac:dyDescent="0.25">
      <c r="A55" s="3" t="s">
        <v>222</v>
      </c>
      <c r="B55" s="4" t="s">
        <v>223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904</v>
      </c>
      <c r="H55" s="5">
        <v>1</v>
      </c>
      <c r="I55" s="3" t="s">
        <v>19</v>
      </c>
      <c r="J55" s="6">
        <v>20000</v>
      </c>
      <c r="K55" s="6">
        <v>0</v>
      </c>
      <c r="L55" s="6">
        <v>10250</v>
      </c>
      <c r="M55" s="6">
        <v>0</v>
      </c>
      <c r="N55" s="3" t="s">
        <v>19</v>
      </c>
      <c r="O55" s="6">
        <v>0</v>
      </c>
      <c r="P55" s="6">
        <f>J55-L55</f>
        <v>9750</v>
      </c>
    </row>
    <row r="56" spans="1:16" x14ac:dyDescent="0.25">
      <c r="A56" s="3" t="s">
        <v>676</v>
      </c>
      <c r="B56" s="4" t="s">
        <v>677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873</v>
      </c>
      <c r="H56" s="5">
        <v>3</v>
      </c>
      <c r="I56" s="3" t="s">
        <v>19</v>
      </c>
      <c r="J56" s="6">
        <v>36000</v>
      </c>
      <c r="K56" s="6">
        <v>0</v>
      </c>
      <c r="L56" s="6">
        <v>18750</v>
      </c>
      <c r="M56" s="6">
        <v>0</v>
      </c>
      <c r="N56" s="3" t="s">
        <v>19</v>
      </c>
      <c r="O56" s="6">
        <v>0</v>
      </c>
      <c r="P56" s="6">
        <f>J56-L56</f>
        <v>17250</v>
      </c>
    </row>
    <row r="57" spans="1:16" x14ac:dyDescent="0.25">
      <c r="A57" s="3" t="s">
        <v>941</v>
      </c>
      <c r="B57" s="4" t="s">
        <v>942</v>
      </c>
      <c r="C57" s="3" t="s">
        <v>19</v>
      </c>
      <c r="D57" s="3" t="s">
        <v>19</v>
      </c>
      <c r="E57" s="3" t="s">
        <v>20</v>
      </c>
      <c r="F57" s="3" t="s">
        <v>19</v>
      </c>
      <c r="G57" s="3" t="s">
        <v>904</v>
      </c>
      <c r="H57" s="5">
        <v>1</v>
      </c>
      <c r="I57" s="3" t="s">
        <v>19</v>
      </c>
      <c r="J57" s="6">
        <v>20000</v>
      </c>
      <c r="K57" s="6">
        <v>0</v>
      </c>
      <c r="L57" s="6">
        <v>10250</v>
      </c>
      <c r="M57" s="6">
        <v>0</v>
      </c>
      <c r="N57" s="3" t="s">
        <v>19</v>
      </c>
      <c r="O57" s="6">
        <v>0</v>
      </c>
      <c r="P57" s="6">
        <f>J57-L57</f>
        <v>9750</v>
      </c>
    </row>
    <row r="58" spans="1:16" x14ac:dyDescent="0.25">
      <c r="A58" s="3" t="s">
        <v>943</v>
      </c>
      <c r="B58" s="4" t="s">
        <v>944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884</v>
      </c>
      <c r="H58" s="5">
        <v>2</v>
      </c>
      <c r="I58" s="3" t="s">
        <v>19</v>
      </c>
      <c r="J58" s="6">
        <v>20000</v>
      </c>
      <c r="K58" s="6">
        <v>0</v>
      </c>
      <c r="L58" s="6">
        <v>4174.36</v>
      </c>
      <c r="M58" s="6">
        <v>0</v>
      </c>
      <c r="N58" s="3" t="s">
        <v>19</v>
      </c>
      <c r="O58" s="6">
        <v>0</v>
      </c>
      <c r="P58" s="6">
        <f>J58-L58</f>
        <v>15825.64</v>
      </c>
    </row>
    <row r="59" spans="1:16" x14ac:dyDescent="0.25">
      <c r="A59" s="3" t="s">
        <v>945</v>
      </c>
      <c r="B59" s="4" t="s">
        <v>946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873</v>
      </c>
      <c r="H59" s="5">
        <v>1</v>
      </c>
      <c r="I59" s="3" t="s">
        <v>19</v>
      </c>
      <c r="J59" s="6">
        <v>12000</v>
      </c>
      <c r="K59" s="6">
        <v>0</v>
      </c>
      <c r="L59" s="6">
        <v>6250</v>
      </c>
      <c r="M59" s="6">
        <v>0</v>
      </c>
      <c r="N59" s="3" t="s">
        <v>19</v>
      </c>
      <c r="O59" s="6">
        <v>0</v>
      </c>
      <c r="P59" s="6">
        <f>J59-L59</f>
        <v>5750</v>
      </c>
    </row>
    <row r="60" spans="1:16" x14ac:dyDescent="0.25">
      <c r="A60" s="3" t="s">
        <v>947</v>
      </c>
      <c r="B60" s="4" t="s">
        <v>948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873</v>
      </c>
      <c r="H60" s="5">
        <v>1</v>
      </c>
      <c r="I60" s="3" t="s">
        <v>19</v>
      </c>
      <c r="J60" s="6">
        <v>12000</v>
      </c>
      <c r="K60" s="6">
        <v>0</v>
      </c>
      <c r="L60" s="6">
        <v>6250</v>
      </c>
      <c r="M60" s="6">
        <v>0</v>
      </c>
      <c r="N60" s="3" t="s">
        <v>19</v>
      </c>
      <c r="O60" s="6">
        <v>0</v>
      </c>
      <c r="P60" s="6">
        <f>J60-L60</f>
        <v>5750</v>
      </c>
    </row>
    <row r="61" spans="1:16" x14ac:dyDescent="0.25">
      <c r="A61" s="3" t="s">
        <v>949</v>
      </c>
      <c r="B61" s="4" t="s">
        <v>950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873</v>
      </c>
      <c r="H61" s="5">
        <v>2</v>
      </c>
      <c r="I61" s="3" t="s">
        <v>19</v>
      </c>
      <c r="J61" s="6">
        <v>24000</v>
      </c>
      <c r="K61" s="6">
        <v>0</v>
      </c>
      <c r="L61" s="6">
        <v>12500</v>
      </c>
      <c r="M61" s="6">
        <v>0</v>
      </c>
      <c r="N61" s="3" t="s">
        <v>19</v>
      </c>
      <c r="O61" s="6">
        <v>0</v>
      </c>
      <c r="P61" s="6">
        <f>J61-L61</f>
        <v>11500</v>
      </c>
    </row>
    <row r="62" spans="1:16" x14ac:dyDescent="0.25">
      <c r="A62" s="3" t="s">
        <v>951</v>
      </c>
      <c r="B62" s="4" t="s">
        <v>952</v>
      </c>
      <c r="C62" s="3" t="s">
        <v>19</v>
      </c>
      <c r="D62" s="3" t="s">
        <v>19</v>
      </c>
      <c r="E62" s="3" t="s">
        <v>20</v>
      </c>
      <c r="F62" s="3" t="s">
        <v>19</v>
      </c>
      <c r="G62" s="3" t="s">
        <v>873</v>
      </c>
      <c r="H62" s="5">
        <v>1</v>
      </c>
      <c r="I62" s="3" t="s">
        <v>19</v>
      </c>
      <c r="J62" s="6">
        <v>12000</v>
      </c>
      <c r="K62" s="6">
        <v>0</v>
      </c>
      <c r="L62" s="6">
        <v>6250</v>
      </c>
      <c r="M62" s="6">
        <v>0</v>
      </c>
      <c r="N62" s="3" t="s">
        <v>19</v>
      </c>
      <c r="O62" s="6">
        <v>0</v>
      </c>
      <c r="P62" s="6">
        <f>J62-L62</f>
        <v>5750</v>
      </c>
    </row>
    <row r="63" spans="1:16" x14ac:dyDescent="0.25">
      <c r="A63" s="3" t="s">
        <v>951</v>
      </c>
      <c r="B63" s="4" t="s">
        <v>952</v>
      </c>
      <c r="C63" s="3" t="s">
        <v>19</v>
      </c>
      <c r="D63" s="3" t="s">
        <v>19</v>
      </c>
      <c r="E63" s="3" t="s">
        <v>20</v>
      </c>
      <c r="F63" s="3" t="s">
        <v>19</v>
      </c>
      <c r="G63" s="3" t="s">
        <v>884</v>
      </c>
      <c r="H63" s="5">
        <v>1</v>
      </c>
      <c r="I63" s="3" t="s">
        <v>19</v>
      </c>
      <c r="J63" s="6">
        <v>10000</v>
      </c>
      <c r="K63" s="6">
        <v>0</v>
      </c>
      <c r="L63" s="6">
        <v>2087.18</v>
      </c>
      <c r="M63" s="6">
        <v>0</v>
      </c>
      <c r="N63" s="3" t="s">
        <v>19</v>
      </c>
      <c r="O63" s="6">
        <v>0</v>
      </c>
      <c r="P63" s="6">
        <f>J63-L63</f>
        <v>7912.82</v>
      </c>
    </row>
    <row r="64" spans="1:16" x14ac:dyDescent="0.25">
      <c r="A64" s="3" t="s">
        <v>682</v>
      </c>
      <c r="B64" s="4" t="s">
        <v>683</v>
      </c>
      <c r="C64" s="3" t="s">
        <v>19</v>
      </c>
      <c r="D64" s="3" t="s">
        <v>19</v>
      </c>
      <c r="E64" s="3" t="s">
        <v>20</v>
      </c>
      <c r="F64" s="3" t="s">
        <v>19</v>
      </c>
      <c r="G64" s="3" t="s">
        <v>870</v>
      </c>
      <c r="H64" s="5">
        <v>1</v>
      </c>
      <c r="I64" s="3" t="s">
        <v>19</v>
      </c>
      <c r="J64" s="6">
        <v>15000</v>
      </c>
      <c r="K64" s="6">
        <v>0</v>
      </c>
      <c r="L64" s="6">
        <v>4527.77</v>
      </c>
      <c r="M64" s="6">
        <v>0</v>
      </c>
      <c r="N64" s="3" t="s">
        <v>19</v>
      </c>
      <c r="O64" s="6">
        <v>0</v>
      </c>
      <c r="P64" s="6">
        <f>J64-L64</f>
        <v>10472.23</v>
      </c>
    </row>
    <row r="65" spans="1:16" x14ac:dyDescent="0.25">
      <c r="A65" s="3" t="s">
        <v>953</v>
      </c>
      <c r="B65" s="4" t="s">
        <v>954</v>
      </c>
      <c r="C65" s="3" t="s">
        <v>19</v>
      </c>
      <c r="D65" s="3" t="s">
        <v>19</v>
      </c>
      <c r="E65" s="3" t="s">
        <v>20</v>
      </c>
      <c r="F65" s="3" t="s">
        <v>19</v>
      </c>
      <c r="G65" s="3" t="s">
        <v>899</v>
      </c>
      <c r="H65" s="5">
        <v>1</v>
      </c>
      <c r="I65" s="3" t="s">
        <v>19</v>
      </c>
      <c r="J65" s="6">
        <v>12000</v>
      </c>
      <c r="K65" s="6">
        <v>0</v>
      </c>
      <c r="L65" s="6">
        <v>6250</v>
      </c>
      <c r="M65" s="6">
        <v>0</v>
      </c>
      <c r="N65" s="3" t="s">
        <v>19</v>
      </c>
      <c r="O65" s="6">
        <v>0</v>
      </c>
      <c r="P65" s="6">
        <f>J65-L65</f>
        <v>5750</v>
      </c>
    </row>
    <row r="66" spans="1:16" x14ac:dyDescent="0.25">
      <c r="A66" s="3" t="s">
        <v>228</v>
      </c>
      <c r="B66" s="4" t="s">
        <v>229</v>
      </c>
      <c r="C66" s="3" t="s">
        <v>19</v>
      </c>
      <c r="D66" s="3" t="s">
        <v>19</v>
      </c>
      <c r="E66" s="3" t="s">
        <v>25</v>
      </c>
      <c r="F66" s="3" t="s">
        <v>19</v>
      </c>
      <c r="G66" s="3" t="s">
        <v>884</v>
      </c>
      <c r="H66" s="5">
        <v>2</v>
      </c>
      <c r="I66" s="3" t="s">
        <v>19</v>
      </c>
      <c r="J66" s="6">
        <v>20000</v>
      </c>
      <c r="K66" s="6">
        <v>0</v>
      </c>
      <c r="L66" s="6">
        <v>4174.36</v>
      </c>
      <c r="M66" s="6">
        <v>0</v>
      </c>
      <c r="N66" s="3" t="s">
        <v>19</v>
      </c>
      <c r="O66" s="6">
        <v>0</v>
      </c>
      <c r="P66" s="6">
        <f>J66-L66</f>
        <v>15825.64</v>
      </c>
    </row>
    <row r="67" spans="1:16" x14ac:dyDescent="0.25">
      <c r="A67" s="3" t="s">
        <v>955</v>
      </c>
      <c r="B67" s="4" t="s">
        <v>956</v>
      </c>
      <c r="C67" s="3" t="s">
        <v>19</v>
      </c>
      <c r="D67" s="3" t="s">
        <v>19</v>
      </c>
      <c r="E67" s="3" t="s">
        <v>25</v>
      </c>
      <c r="F67" s="3" t="s">
        <v>19</v>
      </c>
      <c r="G67" s="3" t="s">
        <v>870</v>
      </c>
      <c r="H67" s="5">
        <v>2</v>
      </c>
      <c r="I67" s="3" t="s">
        <v>19</v>
      </c>
      <c r="J67" s="6">
        <v>30000</v>
      </c>
      <c r="K67" s="6">
        <v>0</v>
      </c>
      <c r="L67" s="6">
        <v>9055.54</v>
      </c>
      <c r="M67" s="6">
        <v>0</v>
      </c>
      <c r="N67" s="3" t="s">
        <v>19</v>
      </c>
      <c r="O67" s="6">
        <v>0</v>
      </c>
      <c r="P67" s="6">
        <f>J67-L67</f>
        <v>20944.46</v>
      </c>
    </row>
    <row r="68" spans="1:16" x14ac:dyDescent="0.25">
      <c r="A68" s="3" t="s">
        <v>957</v>
      </c>
      <c r="B68" s="4" t="s">
        <v>958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870</v>
      </c>
      <c r="H68" s="5">
        <v>1</v>
      </c>
      <c r="I68" s="3" t="s">
        <v>19</v>
      </c>
      <c r="J68" s="6">
        <v>15000</v>
      </c>
      <c r="K68" s="6">
        <v>0</v>
      </c>
      <c r="L68" s="6">
        <v>4527.77</v>
      </c>
      <c r="M68" s="6">
        <v>0</v>
      </c>
      <c r="N68" s="3" t="s">
        <v>19</v>
      </c>
      <c r="O68" s="6">
        <v>0</v>
      </c>
      <c r="P68" s="6">
        <f>J68-L68</f>
        <v>10472.23</v>
      </c>
    </row>
    <row r="69" spans="1:16" x14ac:dyDescent="0.25">
      <c r="A69" s="3" t="s">
        <v>959</v>
      </c>
      <c r="B69" s="4" t="s">
        <v>960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884</v>
      </c>
      <c r="H69" s="5">
        <v>1</v>
      </c>
      <c r="I69" s="3" t="s">
        <v>19</v>
      </c>
      <c r="J69" s="6">
        <v>10000</v>
      </c>
      <c r="K69" s="6">
        <v>0</v>
      </c>
      <c r="L69" s="6">
        <v>2087.18</v>
      </c>
      <c r="M69" s="6">
        <v>0</v>
      </c>
      <c r="N69" s="3" t="s">
        <v>19</v>
      </c>
      <c r="O69" s="6">
        <v>0</v>
      </c>
      <c r="P69" s="6">
        <f>J69-L69</f>
        <v>7912.82</v>
      </c>
    </row>
    <row r="70" spans="1:16" x14ac:dyDescent="0.25">
      <c r="A70" s="3" t="s">
        <v>961</v>
      </c>
      <c r="B70" s="4" t="s">
        <v>962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870</v>
      </c>
      <c r="H70" s="5">
        <v>1</v>
      </c>
      <c r="I70" s="3" t="s">
        <v>19</v>
      </c>
      <c r="J70" s="6">
        <v>15000</v>
      </c>
      <c r="K70" s="6">
        <v>0</v>
      </c>
      <c r="L70" s="6">
        <v>4527.77</v>
      </c>
      <c r="M70" s="6">
        <v>0</v>
      </c>
      <c r="N70" s="3" t="s">
        <v>19</v>
      </c>
      <c r="O70" s="6">
        <v>0</v>
      </c>
      <c r="P70" s="6">
        <f>J70-L70</f>
        <v>10472.23</v>
      </c>
    </row>
    <row r="71" spans="1:16" x14ac:dyDescent="0.25">
      <c r="A71" s="3" t="s">
        <v>232</v>
      </c>
      <c r="B71" s="4" t="s">
        <v>233</v>
      </c>
      <c r="C71" s="3" t="s">
        <v>19</v>
      </c>
      <c r="D71" s="3" t="s">
        <v>19</v>
      </c>
      <c r="E71" s="3" t="s">
        <v>25</v>
      </c>
      <c r="F71" s="3" t="s">
        <v>19</v>
      </c>
      <c r="G71" s="3" t="s">
        <v>870</v>
      </c>
      <c r="H71" s="5">
        <v>1</v>
      </c>
      <c r="I71" s="3" t="s">
        <v>19</v>
      </c>
      <c r="J71" s="6">
        <v>15000</v>
      </c>
      <c r="K71" s="6">
        <v>0</v>
      </c>
      <c r="L71" s="6">
        <v>4527.77</v>
      </c>
      <c r="M71" s="6">
        <v>0</v>
      </c>
      <c r="N71" s="3" t="s">
        <v>19</v>
      </c>
      <c r="O71" s="6">
        <v>0</v>
      </c>
      <c r="P71" s="6">
        <f>J71-L71</f>
        <v>10472.23</v>
      </c>
    </row>
    <row r="72" spans="1:16" x14ac:dyDescent="0.25">
      <c r="A72" s="3" t="s">
        <v>963</v>
      </c>
      <c r="B72" s="4" t="s">
        <v>964</v>
      </c>
      <c r="C72" s="3" t="s">
        <v>19</v>
      </c>
      <c r="D72" s="3" t="s">
        <v>19</v>
      </c>
      <c r="E72" s="3" t="s">
        <v>25</v>
      </c>
      <c r="F72" s="3" t="s">
        <v>19</v>
      </c>
      <c r="G72" s="3" t="s">
        <v>870</v>
      </c>
      <c r="H72" s="5">
        <v>1</v>
      </c>
      <c r="I72" s="3" t="s">
        <v>19</v>
      </c>
      <c r="J72" s="6">
        <v>15000</v>
      </c>
      <c r="K72" s="6">
        <v>0</v>
      </c>
      <c r="L72" s="6">
        <v>4527.77</v>
      </c>
      <c r="M72" s="6">
        <v>0</v>
      </c>
      <c r="N72" s="3" t="s">
        <v>19</v>
      </c>
      <c r="O72" s="6">
        <v>0</v>
      </c>
      <c r="P72" s="6">
        <f>J72-L72</f>
        <v>10472.23</v>
      </c>
    </row>
    <row r="73" spans="1:16" x14ac:dyDescent="0.25">
      <c r="A73" s="3" t="s">
        <v>237</v>
      </c>
      <c r="B73" s="4" t="s">
        <v>238</v>
      </c>
      <c r="C73" s="3" t="s">
        <v>19</v>
      </c>
      <c r="D73" s="3" t="s">
        <v>19</v>
      </c>
      <c r="E73" s="3" t="s">
        <v>25</v>
      </c>
      <c r="F73" s="3" t="s">
        <v>19</v>
      </c>
      <c r="G73" s="3" t="s">
        <v>899</v>
      </c>
      <c r="H73" s="5">
        <v>1</v>
      </c>
      <c r="I73" s="3" t="s">
        <v>19</v>
      </c>
      <c r="J73" s="6">
        <v>12000</v>
      </c>
      <c r="K73" s="6">
        <v>0</v>
      </c>
      <c r="L73" s="6">
        <v>6250</v>
      </c>
      <c r="M73" s="6">
        <v>0</v>
      </c>
      <c r="N73" s="3" t="s">
        <v>19</v>
      </c>
      <c r="O73" s="6">
        <v>0</v>
      </c>
      <c r="P73" s="6">
        <f>J73-L73</f>
        <v>5750</v>
      </c>
    </row>
    <row r="74" spans="1:16" x14ac:dyDescent="0.25">
      <c r="A74" s="3" t="s">
        <v>239</v>
      </c>
      <c r="B74" s="4" t="s">
        <v>240</v>
      </c>
      <c r="C74" s="3" t="s">
        <v>19</v>
      </c>
      <c r="D74" s="3" t="s">
        <v>19</v>
      </c>
      <c r="E74" s="3" t="s">
        <v>25</v>
      </c>
      <c r="F74" s="3" t="s">
        <v>19</v>
      </c>
      <c r="G74" s="3" t="s">
        <v>870</v>
      </c>
      <c r="H74" s="5">
        <v>1</v>
      </c>
      <c r="I74" s="3" t="s">
        <v>19</v>
      </c>
      <c r="J74" s="6">
        <v>15000</v>
      </c>
      <c r="K74" s="6">
        <v>0</v>
      </c>
      <c r="L74" s="6">
        <v>4527.77</v>
      </c>
      <c r="M74" s="6">
        <v>0</v>
      </c>
      <c r="N74" s="3" t="s">
        <v>19</v>
      </c>
      <c r="O74" s="6">
        <v>0</v>
      </c>
      <c r="P74" s="6">
        <f>J74-L74</f>
        <v>10472.23</v>
      </c>
    </row>
    <row r="75" spans="1:16" x14ac:dyDescent="0.25">
      <c r="A75" s="3" t="s">
        <v>965</v>
      </c>
      <c r="B75" s="4" t="s">
        <v>966</v>
      </c>
      <c r="C75" s="3" t="s">
        <v>19</v>
      </c>
      <c r="D75" s="3" t="s">
        <v>19</v>
      </c>
      <c r="E75" s="3" t="s">
        <v>25</v>
      </c>
      <c r="F75" s="3" t="s">
        <v>19</v>
      </c>
      <c r="G75" s="3" t="s">
        <v>873</v>
      </c>
      <c r="H75" s="5">
        <v>2</v>
      </c>
      <c r="I75" s="3" t="s">
        <v>19</v>
      </c>
      <c r="J75" s="6">
        <v>24000</v>
      </c>
      <c r="K75" s="6">
        <v>0</v>
      </c>
      <c r="L75" s="6">
        <v>12500</v>
      </c>
      <c r="M75" s="6">
        <v>0</v>
      </c>
      <c r="N75" s="3" t="s">
        <v>19</v>
      </c>
      <c r="O75" s="6">
        <v>0</v>
      </c>
      <c r="P75" s="6">
        <f>J75-L75</f>
        <v>11500</v>
      </c>
    </row>
    <row r="76" spans="1:16" x14ac:dyDescent="0.25">
      <c r="A76" s="3" t="s">
        <v>967</v>
      </c>
      <c r="B76" s="4" t="s">
        <v>968</v>
      </c>
      <c r="C76" s="3" t="s">
        <v>19</v>
      </c>
      <c r="D76" s="3" t="s">
        <v>19</v>
      </c>
      <c r="E76" s="3" t="s">
        <v>25</v>
      </c>
      <c r="F76" s="3" t="s">
        <v>19</v>
      </c>
      <c r="G76" s="3" t="s">
        <v>884</v>
      </c>
      <c r="H76" s="5">
        <v>1</v>
      </c>
      <c r="I76" s="3" t="s">
        <v>19</v>
      </c>
      <c r="J76" s="6">
        <v>10000</v>
      </c>
      <c r="K76" s="6">
        <v>0</v>
      </c>
      <c r="L76" s="6">
        <v>2087.18</v>
      </c>
      <c r="M76" s="6">
        <v>0</v>
      </c>
      <c r="N76" s="3" t="s">
        <v>19</v>
      </c>
      <c r="O76" s="6">
        <v>0</v>
      </c>
      <c r="P76" s="6">
        <f>J76-L76</f>
        <v>7912.82</v>
      </c>
    </row>
    <row r="77" spans="1:16" x14ac:dyDescent="0.25">
      <c r="A77" s="3" t="s">
        <v>969</v>
      </c>
      <c r="B77" s="4" t="s">
        <v>970</v>
      </c>
      <c r="C77" s="3" t="s">
        <v>19</v>
      </c>
      <c r="D77" s="3" t="s">
        <v>19</v>
      </c>
      <c r="E77" s="3" t="s">
        <v>25</v>
      </c>
      <c r="F77" s="3" t="s">
        <v>19</v>
      </c>
      <c r="G77" s="3" t="s">
        <v>884</v>
      </c>
      <c r="H77" s="5">
        <v>1</v>
      </c>
      <c r="I77" s="3" t="s">
        <v>19</v>
      </c>
      <c r="J77" s="6">
        <v>10000</v>
      </c>
      <c r="K77" s="6">
        <v>0</v>
      </c>
      <c r="L77" s="6">
        <v>2087.18</v>
      </c>
      <c r="M77" s="6">
        <v>0</v>
      </c>
      <c r="N77" s="3" t="s">
        <v>19</v>
      </c>
      <c r="O77" s="6">
        <v>0</v>
      </c>
      <c r="P77" s="6">
        <f>J77-L77</f>
        <v>7912.82</v>
      </c>
    </row>
    <row r="78" spans="1:16" x14ac:dyDescent="0.25">
      <c r="A78" s="3" t="s">
        <v>971</v>
      </c>
      <c r="B78" s="4" t="s">
        <v>972</v>
      </c>
      <c r="C78" s="3" t="s">
        <v>19</v>
      </c>
      <c r="D78" s="3" t="s">
        <v>19</v>
      </c>
      <c r="E78" s="3" t="s">
        <v>25</v>
      </c>
      <c r="F78" s="3" t="s">
        <v>19</v>
      </c>
      <c r="G78" s="3" t="s">
        <v>873</v>
      </c>
      <c r="H78" s="5">
        <v>1</v>
      </c>
      <c r="I78" s="3" t="s">
        <v>19</v>
      </c>
      <c r="J78" s="6">
        <v>12000</v>
      </c>
      <c r="K78" s="6">
        <v>0</v>
      </c>
      <c r="L78" s="6">
        <v>6250</v>
      </c>
      <c r="M78" s="6">
        <v>0</v>
      </c>
      <c r="N78" s="3" t="s">
        <v>19</v>
      </c>
      <c r="O78" s="6">
        <v>0</v>
      </c>
      <c r="P78" s="6">
        <f>J78-L78</f>
        <v>5750</v>
      </c>
    </row>
    <row r="79" spans="1:16" x14ac:dyDescent="0.25">
      <c r="A79" s="3" t="s">
        <v>243</v>
      </c>
      <c r="B79" s="4" t="s">
        <v>244</v>
      </c>
      <c r="C79" s="3" t="s">
        <v>19</v>
      </c>
      <c r="D79" s="3" t="s">
        <v>19</v>
      </c>
      <c r="E79" s="3" t="s">
        <v>25</v>
      </c>
      <c r="F79" s="3" t="s">
        <v>19</v>
      </c>
      <c r="G79" s="3" t="s">
        <v>899</v>
      </c>
      <c r="H79" s="5">
        <v>2</v>
      </c>
      <c r="I79" s="3" t="s">
        <v>19</v>
      </c>
      <c r="J79" s="6">
        <v>24000</v>
      </c>
      <c r="K79" s="6">
        <v>0</v>
      </c>
      <c r="L79" s="6">
        <v>12500</v>
      </c>
      <c r="M79" s="6">
        <v>0</v>
      </c>
      <c r="N79" s="3" t="s">
        <v>19</v>
      </c>
      <c r="O79" s="6">
        <v>0</v>
      </c>
      <c r="P79" s="6">
        <f>J79-L79</f>
        <v>11500</v>
      </c>
    </row>
    <row r="80" spans="1:16" x14ac:dyDescent="0.25">
      <c r="A80" s="3" t="s">
        <v>973</v>
      </c>
      <c r="B80" s="4" t="s">
        <v>974</v>
      </c>
      <c r="C80" s="3" t="s">
        <v>19</v>
      </c>
      <c r="D80" s="3" t="s">
        <v>19</v>
      </c>
      <c r="E80" s="3" t="s">
        <v>25</v>
      </c>
      <c r="F80" s="3" t="s">
        <v>19</v>
      </c>
      <c r="G80" s="3" t="s">
        <v>870</v>
      </c>
      <c r="H80" s="5">
        <v>1</v>
      </c>
      <c r="I80" s="3" t="s">
        <v>19</v>
      </c>
      <c r="J80" s="6">
        <v>15000</v>
      </c>
      <c r="K80" s="6">
        <v>0</v>
      </c>
      <c r="L80" s="6">
        <v>4527.77</v>
      </c>
      <c r="M80" s="6">
        <v>0</v>
      </c>
      <c r="N80" s="3" t="s">
        <v>19</v>
      </c>
      <c r="O80" s="6">
        <v>0</v>
      </c>
      <c r="P80" s="6">
        <f>J80-L80</f>
        <v>10472.23</v>
      </c>
    </row>
    <row r="81" spans="1:16" x14ac:dyDescent="0.25">
      <c r="A81" s="3" t="s">
        <v>975</v>
      </c>
      <c r="B81" s="4" t="s">
        <v>976</v>
      </c>
      <c r="C81" s="3" t="s">
        <v>19</v>
      </c>
      <c r="D81" s="3" t="s">
        <v>19</v>
      </c>
      <c r="E81" s="3" t="s">
        <v>25</v>
      </c>
      <c r="F81" s="3" t="s">
        <v>19</v>
      </c>
      <c r="G81" s="3" t="s">
        <v>899</v>
      </c>
      <c r="H81" s="5">
        <v>1</v>
      </c>
      <c r="I81" s="3" t="s">
        <v>19</v>
      </c>
      <c r="J81" s="6">
        <v>12000</v>
      </c>
      <c r="K81" s="6">
        <v>0</v>
      </c>
      <c r="L81" s="6">
        <v>6250</v>
      </c>
      <c r="M81" s="6">
        <v>0</v>
      </c>
      <c r="N81" s="3" t="s">
        <v>19</v>
      </c>
      <c r="O81" s="6">
        <v>0</v>
      </c>
      <c r="P81" s="6">
        <f>J81-L81</f>
        <v>5750</v>
      </c>
    </row>
    <row r="82" spans="1:16" x14ac:dyDescent="0.25">
      <c r="A82" s="3" t="s">
        <v>977</v>
      </c>
      <c r="B82" s="4" t="s">
        <v>978</v>
      </c>
      <c r="C82" s="3" t="s">
        <v>19</v>
      </c>
      <c r="D82" s="3" t="s">
        <v>19</v>
      </c>
      <c r="E82" s="3" t="s">
        <v>25</v>
      </c>
      <c r="F82" s="3" t="s">
        <v>19</v>
      </c>
      <c r="G82" s="3" t="s">
        <v>870</v>
      </c>
      <c r="H82" s="5">
        <v>1</v>
      </c>
      <c r="I82" s="3" t="s">
        <v>19</v>
      </c>
      <c r="J82" s="6">
        <v>15000</v>
      </c>
      <c r="K82" s="6">
        <v>0</v>
      </c>
      <c r="L82" s="6">
        <v>4527.77</v>
      </c>
      <c r="M82" s="6">
        <v>0</v>
      </c>
      <c r="N82" s="3" t="s">
        <v>19</v>
      </c>
      <c r="O82" s="6">
        <v>0</v>
      </c>
      <c r="P82" s="6">
        <f>J82-L82</f>
        <v>10472.23</v>
      </c>
    </row>
    <row r="83" spans="1:16" x14ac:dyDescent="0.25">
      <c r="A83" s="3" t="s">
        <v>979</v>
      </c>
      <c r="B83" s="4" t="s">
        <v>980</v>
      </c>
      <c r="C83" s="3" t="s">
        <v>19</v>
      </c>
      <c r="D83" s="3" t="s">
        <v>19</v>
      </c>
      <c r="E83" s="3" t="s">
        <v>25</v>
      </c>
      <c r="F83" s="3" t="s">
        <v>19</v>
      </c>
      <c r="G83" s="3" t="s">
        <v>870</v>
      </c>
      <c r="H83" s="5">
        <v>1</v>
      </c>
      <c r="I83" s="3" t="s">
        <v>19</v>
      </c>
      <c r="J83" s="6">
        <v>15000</v>
      </c>
      <c r="K83" s="6">
        <v>0</v>
      </c>
      <c r="L83" s="6">
        <v>4527.77</v>
      </c>
      <c r="M83" s="6">
        <v>0</v>
      </c>
      <c r="N83" s="3" t="s">
        <v>19</v>
      </c>
      <c r="O83" s="6">
        <v>0</v>
      </c>
      <c r="P83" s="6">
        <f>J83-L83</f>
        <v>10472.23</v>
      </c>
    </row>
    <row r="84" spans="1:16" x14ac:dyDescent="0.25">
      <c r="A84" s="3" t="s">
        <v>981</v>
      </c>
      <c r="B84" s="4" t="s">
        <v>982</v>
      </c>
      <c r="C84" s="3" t="s">
        <v>19</v>
      </c>
      <c r="D84" s="3" t="s">
        <v>19</v>
      </c>
      <c r="E84" s="3" t="s">
        <v>25</v>
      </c>
      <c r="F84" s="3" t="s">
        <v>19</v>
      </c>
      <c r="G84" s="3" t="s">
        <v>904</v>
      </c>
      <c r="H84" s="5">
        <v>1</v>
      </c>
      <c r="I84" s="3" t="s">
        <v>19</v>
      </c>
      <c r="J84" s="6">
        <v>20000</v>
      </c>
      <c r="K84" s="6">
        <v>0</v>
      </c>
      <c r="L84" s="6">
        <v>10250</v>
      </c>
      <c r="M84" s="6">
        <v>0</v>
      </c>
      <c r="N84" s="3" t="s">
        <v>19</v>
      </c>
      <c r="O84" s="6">
        <v>0</v>
      </c>
      <c r="P84" s="6">
        <f>J84-L84</f>
        <v>9750</v>
      </c>
    </row>
    <row r="85" spans="1:16" x14ac:dyDescent="0.25">
      <c r="A85" s="3" t="s">
        <v>981</v>
      </c>
      <c r="B85" s="4" t="s">
        <v>982</v>
      </c>
      <c r="C85" s="3" t="s">
        <v>19</v>
      </c>
      <c r="D85" s="3" t="s">
        <v>19</v>
      </c>
      <c r="E85" s="3" t="s">
        <v>25</v>
      </c>
      <c r="F85" s="3" t="s">
        <v>19</v>
      </c>
      <c r="G85" s="3" t="s">
        <v>884</v>
      </c>
      <c r="H85" s="5">
        <v>1</v>
      </c>
      <c r="I85" s="3" t="s">
        <v>19</v>
      </c>
      <c r="J85" s="6">
        <v>10000</v>
      </c>
      <c r="K85" s="6">
        <v>0</v>
      </c>
      <c r="L85" s="6">
        <v>2087.18</v>
      </c>
      <c r="M85" s="6">
        <v>0</v>
      </c>
      <c r="N85" s="3" t="s">
        <v>19</v>
      </c>
      <c r="O85" s="6">
        <v>0</v>
      </c>
      <c r="P85" s="6">
        <f>J85-L85</f>
        <v>7912.82</v>
      </c>
    </row>
    <row r="86" ht="18" customHeight="1" spans="1:16" x14ac:dyDescent="0.25">
      <c r="A86" s="7" t="s">
        <v>34</v>
      </c>
      <c r="B86" s="7"/>
      <c r="C86" s="7"/>
      <c r="D86" s="7"/>
      <c r="E86" s="7"/>
      <c r="F86" s="7"/>
      <c r="G86" s="7"/>
      <c r="H86" s="8">
        <f>SUM(H41:H85)</f>
        <v>56</v>
      </c>
      <c r="I86" s="7"/>
      <c r="J86" s="9">
        <f>SUM(J41:J85)</f>
        <v>746000</v>
      </c>
      <c r="K86" s="9">
        <f>SUM(K41:K85)</f>
        <v>0</v>
      </c>
      <c r="L86" s="9">
        <f>SUM(L41:L85)</f>
        <v>303934.9399999999</v>
      </c>
      <c r="M86" s="9">
        <f>SUM(M41:M85)</f>
        <v>0</v>
      </c>
      <c r="N86" s="7"/>
      <c r="O86" s="9">
        <f>SUM(O41:O85)</f>
        <v>0</v>
      </c>
      <c r="P86" s="9">
        <f>SUM(P41:P85)</f>
        <v>442065.0599999999</v>
      </c>
    </row>
    <row r="90" ht="15.75" customHeight="1" spans="1:16" x14ac:dyDescent="0.25">
      <c r="A90" s="1" t="s">
        <v>53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39.4" customHeight="1" spans="1:16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10</v>
      </c>
      <c r="K91" s="2" t="s">
        <v>11</v>
      </c>
      <c r="L91" s="2" t="s">
        <v>12</v>
      </c>
      <c r="M91" s="2" t="s">
        <v>13</v>
      </c>
      <c r="N91" s="2" t="s">
        <v>14</v>
      </c>
      <c r="O91" s="2" t="s">
        <v>15</v>
      </c>
      <c r="P91" s="2" t="s">
        <v>16</v>
      </c>
    </row>
    <row r="92" spans="1:16" x14ac:dyDescent="0.25">
      <c r="A92" s="3" t="s">
        <v>696</v>
      </c>
      <c r="B92" s="4" t="s">
        <v>697</v>
      </c>
      <c r="C92" s="3" t="s">
        <v>19</v>
      </c>
      <c r="D92" s="3" t="s">
        <v>19</v>
      </c>
      <c r="E92" s="3" t="s">
        <v>20</v>
      </c>
      <c r="F92" s="3" t="s">
        <v>19</v>
      </c>
      <c r="G92" s="3" t="s">
        <v>904</v>
      </c>
      <c r="H92" s="5">
        <v>1</v>
      </c>
      <c r="I92" s="3" t="s">
        <v>19</v>
      </c>
      <c r="J92" s="6">
        <v>20000</v>
      </c>
      <c r="K92" s="6">
        <v>0</v>
      </c>
      <c r="L92" s="6">
        <v>10250</v>
      </c>
      <c r="M92" s="6">
        <v>0</v>
      </c>
      <c r="N92" s="3" t="s">
        <v>19</v>
      </c>
      <c r="O92" s="6">
        <v>0</v>
      </c>
      <c r="P92" s="6">
        <f>J92-L92</f>
        <v>9750</v>
      </c>
    </row>
    <row r="93" spans="1:16" x14ac:dyDescent="0.25">
      <c r="A93" s="3" t="s">
        <v>258</v>
      </c>
      <c r="B93" s="4" t="s">
        <v>259</v>
      </c>
      <c r="C93" s="3" t="s">
        <v>19</v>
      </c>
      <c r="D93" s="3" t="s">
        <v>19</v>
      </c>
      <c r="E93" s="3" t="s">
        <v>20</v>
      </c>
      <c r="F93" s="3" t="s">
        <v>19</v>
      </c>
      <c r="G93" s="3" t="s">
        <v>873</v>
      </c>
      <c r="H93" s="5">
        <v>1</v>
      </c>
      <c r="I93" s="3" t="s">
        <v>19</v>
      </c>
      <c r="J93" s="6">
        <v>12000</v>
      </c>
      <c r="K93" s="6">
        <v>0</v>
      </c>
      <c r="L93" s="6">
        <v>6250</v>
      </c>
      <c r="M93" s="6">
        <v>0</v>
      </c>
      <c r="N93" s="3" t="s">
        <v>19</v>
      </c>
      <c r="O93" s="6">
        <v>0</v>
      </c>
      <c r="P93" s="6">
        <f>J93-L93</f>
        <v>5750</v>
      </c>
    </row>
    <row r="94" spans="1:16" x14ac:dyDescent="0.25">
      <c r="A94" s="3" t="s">
        <v>983</v>
      </c>
      <c r="B94" s="4" t="s">
        <v>984</v>
      </c>
      <c r="C94" s="3" t="s">
        <v>19</v>
      </c>
      <c r="D94" s="3" t="s">
        <v>19</v>
      </c>
      <c r="E94" s="3" t="s">
        <v>20</v>
      </c>
      <c r="F94" s="3" t="s">
        <v>19</v>
      </c>
      <c r="G94" s="3" t="s">
        <v>870</v>
      </c>
      <c r="H94" s="5">
        <v>1</v>
      </c>
      <c r="I94" s="3" t="s">
        <v>19</v>
      </c>
      <c r="J94" s="6">
        <v>15000</v>
      </c>
      <c r="K94" s="6">
        <v>0</v>
      </c>
      <c r="L94" s="6">
        <v>4527.77</v>
      </c>
      <c r="M94" s="6">
        <v>0</v>
      </c>
      <c r="N94" s="3" t="s">
        <v>19</v>
      </c>
      <c r="O94" s="6">
        <v>0</v>
      </c>
      <c r="P94" s="6">
        <f>J94-L94</f>
        <v>10472.23</v>
      </c>
    </row>
    <row r="95" spans="1:16" x14ac:dyDescent="0.25">
      <c r="A95" s="3" t="s">
        <v>985</v>
      </c>
      <c r="B95" s="4" t="s">
        <v>986</v>
      </c>
      <c r="C95" s="3" t="s">
        <v>19</v>
      </c>
      <c r="D95" s="3" t="s">
        <v>19</v>
      </c>
      <c r="E95" s="3" t="s">
        <v>20</v>
      </c>
      <c r="F95" s="3" t="s">
        <v>19</v>
      </c>
      <c r="G95" s="3" t="s">
        <v>870</v>
      </c>
      <c r="H95" s="5">
        <v>1</v>
      </c>
      <c r="I95" s="3" t="s">
        <v>19</v>
      </c>
      <c r="J95" s="6">
        <v>15000</v>
      </c>
      <c r="K95" s="6">
        <v>0</v>
      </c>
      <c r="L95" s="6">
        <v>4527.77</v>
      </c>
      <c r="M95" s="6">
        <v>0</v>
      </c>
      <c r="N95" s="3" t="s">
        <v>19</v>
      </c>
      <c r="O95" s="6">
        <v>0</v>
      </c>
      <c r="P95" s="6">
        <f>J95-L95</f>
        <v>10472.23</v>
      </c>
    </row>
    <row r="96" spans="1:16" x14ac:dyDescent="0.25">
      <c r="A96" s="3" t="s">
        <v>987</v>
      </c>
      <c r="B96" s="4" t="s">
        <v>988</v>
      </c>
      <c r="C96" s="3" t="s">
        <v>19</v>
      </c>
      <c r="D96" s="3" t="s">
        <v>19</v>
      </c>
      <c r="E96" s="3" t="s">
        <v>20</v>
      </c>
      <c r="F96" s="3" t="s">
        <v>19</v>
      </c>
      <c r="G96" s="3" t="s">
        <v>870</v>
      </c>
      <c r="H96" s="5">
        <v>1</v>
      </c>
      <c r="I96" s="3" t="s">
        <v>19</v>
      </c>
      <c r="J96" s="6">
        <v>15000</v>
      </c>
      <c r="K96" s="6">
        <v>0</v>
      </c>
      <c r="L96" s="6">
        <v>4527.77</v>
      </c>
      <c r="M96" s="6">
        <v>0</v>
      </c>
      <c r="N96" s="3" t="s">
        <v>19</v>
      </c>
      <c r="O96" s="6">
        <v>0</v>
      </c>
      <c r="P96" s="6">
        <f>J96-L96</f>
        <v>10472.23</v>
      </c>
    </row>
    <row r="97" spans="1:16" x14ac:dyDescent="0.25">
      <c r="A97" s="3" t="s">
        <v>989</v>
      </c>
      <c r="B97" s="4" t="s">
        <v>990</v>
      </c>
      <c r="C97" s="3" t="s">
        <v>19</v>
      </c>
      <c r="D97" s="3" t="s">
        <v>19</v>
      </c>
      <c r="E97" s="3" t="s">
        <v>20</v>
      </c>
      <c r="F97" s="3" t="s">
        <v>19</v>
      </c>
      <c r="G97" s="3" t="s">
        <v>870</v>
      </c>
      <c r="H97" s="5">
        <v>1</v>
      </c>
      <c r="I97" s="3" t="s">
        <v>19</v>
      </c>
      <c r="J97" s="6">
        <v>15000</v>
      </c>
      <c r="K97" s="6">
        <v>0</v>
      </c>
      <c r="L97" s="6">
        <v>4527.77</v>
      </c>
      <c r="M97" s="6">
        <v>0</v>
      </c>
      <c r="N97" s="3" t="s">
        <v>19</v>
      </c>
      <c r="O97" s="6">
        <v>0</v>
      </c>
      <c r="P97" s="6">
        <f>J97-L97</f>
        <v>10472.23</v>
      </c>
    </row>
    <row r="98" spans="1:16" x14ac:dyDescent="0.25">
      <c r="A98" s="3" t="s">
        <v>268</v>
      </c>
      <c r="B98" s="4" t="s">
        <v>269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870</v>
      </c>
      <c r="H98" s="5">
        <v>1</v>
      </c>
      <c r="I98" s="3" t="s">
        <v>19</v>
      </c>
      <c r="J98" s="6">
        <v>15000</v>
      </c>
      <c r="K98" s="6">
        <v>0</v>
      </c>
      <c r="L98" s="6">
        <v>4527.77</v>
      </c>
      <c r="M98" s="6">
        <v>0</v>
      </c>
      <c r="N98" s="3" t="s">
        <v>19</v>
      </c>
      <c r="O98" s="6">
        <v>0</v>
      </c>
      <c r="P98" s="6">
        <f>J98-L98</f>
        <v>10472.23</v>
      </c>
    </row>
    <row r="99" spans="1:16" x14ac:dyDescent="0.25">
      <c r="A99" s="3" t="s">
        <v>991</v>
      </c>
      <c r="B99" s="4" t="s">
        <v>992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870</v>
      </c>
      <c r="H99" s="5">
        <v>1</v>
      </c>
      <c r="I99" s="3" t="s">
        <v>19</v>
      </c>
      <c r="J99" s="6">
        <v>15000</v>
      </c>
      <c r="K99" s="6">
        <v>0</v>
      </c>
      <c r="L99" s="6">
        <v>4527.77</v>
      </c>
      <c r="M99" s="6">
        <v>0</v>
      </c>
      <c r="N99" s="3" t="s">
        <v>19</v>
      </c>
      <c r="O99" s="6">
        <v>0</v>
      </c>
      <c r="P99" s="6">
        <f>J99-L99</f>
        <v>10472.23</v>
      </c>
    </row>
    <row r="100" spans="1:16" x14ac:dyDescent="0.25">
      <c r="A100" s="3" t="s">
        <v>272</v>
      </c>
      <c r="B100" s="4" t="s">
        <v>273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870</v>
      </c>
      <c r="H100" s="5">
        <v>1</v>
      </c>
      <c r="I100" s="3" t="s">
        <v>19</v>
      </c>
      <c r="J100" s="6">
        <v>15000</v>
      </c>
      <c r="K100" s="6">
        <v>0</v>
      </c>
      <c r="L100" s="6">
        <v>4527.77</v>
      </c>
      <c r="M100" s="6">
        <v>0</v>
      </c>
      <c r="N100" s="3" t="s">
        <v>19</v>
      </c>
      <c r="O100" s="6">
        <v>0</v>
      </c>
      <c r="P100" s="6">
        <f>J100-L100</f>
        <v>10472.23</v>
      </c>
    </row>
    <row r="101" spans="1:16" x14ac:dyDescent="0.25">
      <c r="A101" s="3" t="s">
        <v>714</v>
      </c>
      <c r="B101" s="4" t="s">
        <v>715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870</v>
      </c>
      <c r="H101" s="5">
        <v>1</v>
      </c>
      <c r="I101" s="3" t="s">
        <v>19</v>
      </c>
      <c r="J101" s="6">
        <v>15000</v>
      </c>
      <c r="K101" s="6">
        <v>0</v>
      </c>
      <c r="L101" s="6">
        <v>4527.77</v>
      </c>
      <c r="M101" s="6">
        <v>0</v>
      </c>
      <c r="N101" s="3" t="s">
        <v>19</v>
      </c>
      <c r="O101" s="6">
        <v>0</v>
      </c>
      <c r="P101" s="6">
        <f>J101-L101</f>
        <v>10472.23</v>
      </c>
    </row>
    <row r="102" spans="1:16" x14ac:dyDescent="0.25">
      <c r="A102" s="3" t="s">
        <v>993</v>
      </c>
      <c r="B102" s="4" t="s">
        <v>994</v>
      </c>
      <c r="C102" s="3" t="s">
        <v>19</v>
      </c>
      <c r="D102" s="3" t="s">
        <v>19</v>
      </c>
      <c r="E102" s="3" t="s">
        <v>20</v>
      </c>
      <c r="F102" s="3" t="s">
        <v>19</v>
      </c>
      <c r="G102" s="3" t="s">
        <v>873</v>
      </c>
      <c r="H102" s="5">
        <v>1</v>
      </c>
      <c r="I102" s="3" t="s">
        <v>19</v>
      </c>
      <c r="J102" s="6">
        <v>12000</v>
      </c>
      <c r="K102" s="6">
        <v>0</v>
      </c>
      <c r="L102" s="6">
        <v>6250</v>
      </c>
      <c r="M102" s="6">
        <v>0</v>
      </c>
      <c r="N102" s="3" t="s">
        <v>19</v>
      </c>
      <c r="O102" s="6">
        <v>0</v>
      </c>
      <c r="P102" s="6">
        <f>J102-L102</f>
        <v>5750</v>
      </c>
    </row>
    <row r="103" spans="1:16" x14ac:dyDescent="0.25">
      <c r="A103" s="3" t="s">
        <v>995</v>
      </c>
      <c r="B103" s="4" t="s">
        <v>996</v>
      </c>
      <c r="C103" s="3" t="s">
        <v>19</v>
      </c>
      <c r="D103" s="3" t="s">
        <v>19</v>
      </c>
      <c r="E103" s="3" t="s">
        <v>20</v>
      </c>
      <c r="F103" s="3" t="s">
        <v>19</v>
      </c>
      <c r="G103" s="3" t="s">
        <v>870</v>
      </c>
      <c r="H103" s="5">
        <v>1</v>
      </c>
      <c r="I103" s="3" t="s">
        <v>19</v>
      </c>
      <c r="J103" s="6">
        <v>15000</v>
      </c>
      <c r="K103" s="6">
        <v>0</v>
      </c>
      <c r="L103" s="6">
        <v>4527.77</v>
      </c>
      <c r="M103" s="6">
        <v>0</v>
      </c>
      <c r="N103" s="3" t="s">
        <v>19</v>
      </c>
      <c r="O103" s="6">
        <v>0</v>
      </c>
      <c r="P103" s="6">
        <f>J103-L103</f>
        <v>10472.23</v>
      </c>
    </row>
    <row r="104" spans="1:16" x14ac:dyDescent="0.25">
      <c r="A104" s="3" t="s">
        <v>997</v>
      </c>
      <c r="B104" s="4" t="s">
        <v>998</v>
      </c>
      <c r="C104" s="3" t="s">
        <v>19</v>
      </c>
      <c r="D104" s="3" t="s">
        <v>19</v>
      </c>
      <c r="E104" s="3" t="s">
        <v>20</v>
      </c>
      <c r="F104" s="3" t="s">
        <v>19</v>
      </c>
      <c r="G104" s="3" t="s">
        <v>873</v>
      </c>
      <c r="H104" s="5">
        <v>1</v>
      </c>
      <c r="I104" s="3" t="s">
        <v>19</v>
      </c>
      <c r="J104" s="6">
        <v>12000</v>
      </c>
      <c r="K104" s="6">
        <v>0</v>
      </c>
      <c r="L104" s="6">
        <v>6250</v>
      </c>
      <c r="M104" s="6">
        <v>0</v>
      </c>
      <c r="N104" s="3" t="s">
        <v>19</v>
      </c>
      <c r="O104" s="6">
        <v>0</v>
      </c>
      <c r="P104" s="6">
        <f>J104-L104</f>
        <v>5750</v>
      </c>
    </row>
    <row r="105" spans="1:16" x14ac:dyDescent="0.25">
      <c r="A105" s="3" t="s">
        <v>999</v>
      </c>
      <c r="B105" s="4" t="s">
        <v>1000</v>
      </c>
      <c r="C105" s="3" t="s">
        <v>19</v>
      </c>
      <c r="D105" s="3" t="s">
        <v>19</v>
      </c>
      <c r="E105" s="3" t="s">
        <v>20</v>
      </c>
      <c r="F105" s="3" t="s">
        <v>19</v>
      </c>
      <c r="G105" s="3" t="s">
        <v>884</v>
      </c>
      <c r="H105" s="5">
        <v>1</v>
      </c>
      <c r="I105" s="3" t="s">
        <v>19</v>
      </c>
      <c r="J105" s="6">
        <v>10000</v>
      </c>
      <c r="K105" s="6">
        <v>0</v>
      </c>
      <c r="L105" s="6">
        <v>2087.18</v>
      </c>
      <c r="M105" s="6">
        <v>0</v>
      </c>
      <c r="N105" s="3" t="s">
        <v>19</v>
      </c>
      <c r="O105" s="6">
        <v>0</v>
      </c>
      <c r="P105" s="6">
        <f>J105-L105</f>
        <v>7912.82</v>
      </c>
    </row>
    <row r="106" spans="1:16" x14ac:dyDescent="0.25">
      <c r="A106" s="3" t="s">
        <v>999</v>
      </c>
      <c r="B106" s="4" t="s">
        <v>1000</v>
      </c>
      <c r="C106" s="3" t="s">
        <v>19</v>
      </c>
      <c r="D106" s="3" t="s">
        <v>19</v>
      </c>
      <c r="E106" s="3" t="s">
        <v>20</v>
      </c>
      <c r="F106" s="3" t="s">
        <v>19</v>
      </c>
      <c r="G106" s="3" t="s">
        <v>873</v>
      </c>
      <c r="H106" s="5">
        <v>1</v>
      </c>
      <c r="I106" s="3" t="s">
        <v>19</v>
      </c>
      <c r="J106" s="6">
        <v>12000</v>
      </c>
      <c r="K106" s="6">
        <v>0</v>
      </c>
      <c r="L106" s="6">
        <v>6250</v>
      </c>
      <c r="M106" s="6">
        <v>0</v>
      </c>
      <c r="N106" s="3" t="s">
        <v>19</v>
      </c>
      <c r="O106" s="6">
        <v>0</v>
      </c>
      <c r="P106" s="6">
        <f>J106-L106</f>
        <v>5750</v>
      </c>
    </row>
    <row r="107" spans="1:16" x14ac:dyDescent="0.25">
      <c r="A107" s="3" t="s">
        <v>1001</v>
      </c>
      <c r="B107" s="4" t="s">
        <v>1002</v>
      </c>
      <c r="C107" s="3" t="s">
        <v>19</v>
      </c>
      <c r="D107" s="3" t="s">
        <v>19</v>
      </c>
      <c r="E107" s="3" t="s">
        <v>20</v>
      </c>
      <c r="F107" s="3" t="s">
        <v>19</v>
      </c>
      <c r="G107" s="3" t="s">
        <v>873</v>
      </c>
      <c r="H107" s="5">
        <v>1</v>
      </c>
      <c r="I107" s="3" t="s">
        <v>19</v>
      </c>
      <c r="J107" s="6">
        <v>12000</v>
      </c>
      <c r="K107" s="6">
        <v>0</v>
      </c>
      <c r="L107" s="6">
        <v>6250</v>
      </c>
      <c r="M107" s="6">
        <v>0</v>
      </c>
      <c r="N107" s="3" t="s">
        <v>19</v>
      </c>
      <c r="O107" s="6">
        <v>0</v>
      </c>
      <c r="P107" s="6">
        <f>J107-L107</f>
        <v>5750</v>
      </c>
    </row>
    <row r="108" spans="1:16" x14ac:dyDescent="0.25">
      <c r="A108" s="3" t="s">
        <v>1003</v>
      </c>
      <c r="B108" s="4" t="s">
        <v>1004</v>
      </c>
      <c r="C108" s="3" t="s">
        <v>19</v>
      </c>
      <c r="D108" s="3" t="s">
        <v>19</v>
      </c>
      <c r="E108" s="3" t="s">
        <v>20</v>
      </c>
      <c r="F108" s="3" t="s">
        <v>19</v>
      </c>
      <c r="G108" s="3" t="s">
        <v>899</v>
      </c>
      <c r="H108" s="5">
        <v>1</v>
      </c>
      <c r="I108" s="3" t="s">
        <v>19</v>
      </c>
      <c r="J108" s="6">
        <v>12000</v>
      </c>
      <c r="K108" s="6">
        <v>0</v>
      </c>
      <c r="L108" s="6">
        <v>6250</v>
      </c>
      <c r="M108" s="6">
        <v>0</v>
      </c>
      <c r="N108" s="3" t="s">
        <v>19</v>
      </c>
      <c r="O108" s="6">
        <v>0</v>
      </c>
      <c r="P108" s="6">
        <f>J108-L108</f>
        <v>5750</v>
      </c>
    </row>
    <row r="109" spans="1:16" x14ac:dyDescent="0.25">
      <c r="A109" s="3" t="s">
        <v>1005</v>
      </c>
      <c r="B109" s="4" t="s">
        <v>1006</v>
      </c>
      <c r="C109" s="3" t="s">
        <v>19</v>
      </c>
      <c r="D109" s="3" t="s">
        <v>19</v>
      </c>
      <c r="E109" s="3" t="s">
        <v>20</v>
      </c>
      <c r="F109" s="3" t="s">
        <v>19</v>
      </c>
      <c r="G109" s="3" t="s">
        <v>870</v>
      </c>
      <c r="H109" s="5">
        <v>1</v>
      </c>
      <c r="I109" s="3" t="s">
        <v>19</v>
      </c>
      <c r="J109" s="6">
        <v>15000</v>
      </c>
      <c r="K109" s="6">
        <v>0</v>
      </c>
      <c r="L109" s="6">
        <v>4527.77</v>
      </c>
      <c r="M109" s="6">
        <v>0</v>
      </c>
      <c r="N109" s="3" t="s">
        <v>19</v>
      </c>
      <c r="O109" s="6">
        <v>0</v>
      </c>
      <c r="P109" s="6">
        <f>J109-L109</f>
        <v>10472.23</v>
      </c>
    </row>
    <row r="110" spans="1:16" x14ac:dyDescent="0.25">
      <c r="A110" s="3" t="s">
        <v>1007</v>
      </c>
      <c r="B110" s="4" t="s">
        <v>1008</v>
      </c>
      <c r="C110" s="3" t="s">
        <v>19</v>
      </c>
      <c r="D110" s="3" t="s">
        <v>19</v>
      </c>
      <c r="E110" s="3" t="s">
        <v>20</v>
      </c>
      <c r="F110" s="3" t="s">
        <v>19</v>
      </c>
      <c r="G110" s="3" t="s">
        <v>884</v>
      </c>
      <c r="H110" s="5">
        <v>1</v>
      </c>
      <c r="I110" s="3" t="s">
        <v>19</v>
      </c>
      <c r="J110" s="6">
        <v>10000</v>
      </c>
      <c r="K110" s="6">
        <v>0</v>
      </c>
      <c r="L110" s="6">
        <v>2087.18</v>
      </c>
      <c r="M110" s="6">
        <v>0</v>
      </c>
      <c r="N110" s="3" t="s">
        <v>19</v>
      </c>
      <c r="O110" s="6">
        <v>0</v>
      </c>
      <c r="P110" s="6">
        <f>J110-L110</f>
        <v>7912.82</v>
      </c>
    </row>
    <row r="111" spans="1:16" x14ac:dyDescent="0.25">
      <c r="A111" s="3" t="s">
        <v>1007</v>
      </c>
      <c r="B111" s="4" t="s">
        <v>1008</v>
      </c>
      <c r="C111" s="3" t="s">
        <v>19</v>
      </c>
      <c r="D111" s="3" t="s">
        <v>19</v>
      </c>
      <c r="E111" s="3" t="s">
        <v>20</v>
      </c>
      <c r="F111" s="3" t="s">
        <v>19</v>
      </c>
      <c r="G111" s="3" t="s">
        <v>899</v>
      </c>
      <c r="H111" s="5">
        <v>1</v>
      </c>
      <c r="I111" s="3" t="s">
        <v>19</v>
      </c>
      <c r="J111" s="6">
        <v>12000</v>
      </c>
      <c r="K111" s="6">
        <v>0</v>
      </c>
      <c r="L111" s="6">
        <v>6250</v>
      </c>
      <c r="M111" s="6">
        <v>0</v>
      </c>
      <c r="N111" s="3" t="s">
        <v>19</v>
      </c>
      <c r="O111" s="6">
        <v>0</v>
      </c>
      <c r="P111" s="6">
        <f>J111-L111</f>
        <v>5750</v>
      </c>
    </row>
    <row r="112" spans="1:16" x14ac:dyDescent="0.25">
      <c r="A112" s="3" t="s">
        <v>1009</v>
      </c>
      <c r="B112" s="4" t="s">
        <v>1010</v>
      </c>
      <c r="C112" s="3" t="s">
        <v>19</v>
      </c>
      <c r="D112" s="3" t="s">
        <v>19</v>
      </c>
      <c r="E112" s="3" t="s">
        <v>20</v>
      </c>
      <c r="F112" s="3" t="s">
        <v>19</v>
      </c>
      <c r="G112" s="3" t="s">
        <v>884</v>
      </c>
      <c r="H112" s="5">
        <v>1</v>
      </c>
      <c r="I112" s="3" t="s">
        <v>19</v>
      </c>
      <c r="J112" s="6">
        <v>10000</v>
      </c>
      <c r="K112" s="6">
        <v>0</v>
      </c>
      <c r="L112" s="6">
        <v>2087.18</v>
      </c>
      <c r="M112" s="6">
        <v>0</v>
      </c>
      <c r="N112" s="3" t="s">
        <v>19</v>
      </c>
      <c r="O112" s="6">
        <v>0</v>
      </c>
      <c r="P112" s="6">
        <f>J112-L112</f>
        <v>7912.82</v>
      </c>
    </row>
    <row r="113" spans="1:16" x14ac:dyDescent="0.25">
      <c r="A113" s="3" t="s">
        <v>281</v>
      </c>
      <c r="B113" s="4" t="s">
        <v>282</v>
      </c>
      <c r="C113" s="3" t="s">
        <v>19</v>
      </c>
      <c r="D113" s="3" t="s">
        <v>19</v>
      </c>
      <c r="E113" s="3" t="s">
        <v>20</v>
      </c>
      <c r="F113" s="3" t="s">
        <v>19</v>
      </c>
      <c r="G113" s="3" t="s">
        <v>870</v>
      </c>
      <c r="H113" s="5">
        <v>1</v>
      </c>
      <c r="I113" s="3" t="s">
        <v>19</v>
      </c>
      <c r="J113" s="6">
        <v>15000</v>
      </c>
      <c r="K113" s="6">
        <v>0</v>
      </c>
      <c r="L113" s="6">
        <v>4527.77</v>
      </c>
      <c r="M113" s="6">
        <v>0</v>
      </c>
      <c r="N113" s="3" t="s">
        <v>19</v>
      </c>
      <c r="O113" s="6">
        <v>0</v>
      </c>
      <c r="P113" s="6">
        <f>J113-L113</f>
        <v>10472.23</v>
      </c>
    </row>
    <row r="114" spans="1:16" x14ac:dyDescent="0.25">
      <c r="A114" s="3" t="s">
        <v>1011</v>
      </c>
      <c r="B114" s="4" t="s">
        <v>1012</v>
      </c>
      <c r="C114" s="3" t="s">
        <v>19</v>
      </c>
      <c r="D114" s="3" t="s">
        <v>19</v>
      </c>
      <c r="E114" s="3" t="s">
        <v>20</v>
      </c>
      <c r="F114" s="3" t="s">
        <v>19</v>
      </c>
      <c r="G114" s="3" t="s">
        <v>873</v>
      </c>
      <c r="H114" s="5">
        <v>1</v>
      </c>
      <c r="I114" s="3" t="s">
        <v>19</v>
      </c>
      <c r="J114" s="6">
        <v>12000</v>
      </c>
      <c r="K114" s="6">
        <v>0</v>
      </c>
      <c r="L114" s="6">
        <v>6250</v>
      </c>
      <c r="M114" s="6">
        <v>0</v>
      </c>
      <c r="N114" s="3" t="s">
        <v>19</v>
      </c>
      <c r="O114" s="6">
        <v>0</v>
      </c>
      <c r="P114" s="6">
        <f>J114-L114</f>
        <v>5750</v>
      </c>
    </row>
    <row r="115" spans="1:16" x14ac:dyDescent="0.25">
      <c r="A115" s="3" t="s">
        <v>1013</v>
      </c>
      <c r="B115" s="4" t="s">
        <v>1014</v>
      </c>
      <c r="C115" s="3" t="s">
        <v>19</v>
      </c>
      <c r="D115" s="3" t="s">
        <v>19</v>
      </c>
      <c r="E115" s="3" t="s">
        <v>20</v>
      </c>
      <c r="F115" s="3" t="s">
        <v>19</v>
      </c>
      <c r="G115" s="3" t="s">
        <v>870</v>
      </c>
      <c r="H115" s="5">
        <v>1</v>
      </c>
      <c r="I115" s="3" t="s">
        <v>19</v>
      </c>
      <c r="J115" s="6">
        <v>15000</v>
      </c>
      <c r="K115" s="6">
        <v>0</v>
      </c>
      <c r="L115" s="6">
        <v>4527.77</v>
      </c>
      <c r="M115" s="6">
        <v>0</v>
      </c>
      <c r="N115" s="3" t="s">
        <v>19</v>
      </c>
      <c r="O115" s="6">
        <v>0</v>
      </c>
      <c r="P115" s="6">
        <f>J115-L115</f>
        <v>10472.23</v>
      </c>
    </row>
    <row r="116" spans="1:16" x14ac:dyDescent="0.25">
      <c r="A116" s="3" t="s">
        <v>1015</v>
      </c>
      <c r="B116" s="4" t="s">
        <v>1016</v>
      </c>
      <c r="C116" s="3" t="s">
        <v>19</v>
      </c>
      <c r="D116" s="3" t="s">
        <v>19</v>
      </c>
      <c r="E116" s="3" t="s">
        <v>20</v>
      </c>
      <c r="F116" s="3" t="s">
        <v>19</v>
      </c>
      <c r="G116" s="3" t="s">
        <v>884</v>
      </c>
      <c r="H116" s="5">
        <v>1</v>
      </c>
      <c r="I116" s="3" t="s">
        <v>19</v>
      </c>
      <c r="J116" s="6">
        <v>10000</v>
      </c>
      <c r="K116" s="6">
        <v>0</v>
      </c>
      <c r="L116" s="6">
        <v>2087.18</v>
      </c>
      <c r="M116" s="6">
        <v>0</v>
      </c>
      <c r="N116" s="3" t="s">
        <v>19</v>
      </c>
      <c r="O116" s="6">
        <v>0</v>
      </c>
      <c r="P116" s="6">
        <f>J116-L116</f>
        <v>7912.82</v>
      </c>
    </row>
    <row r="117" spans="1:16" x14ac:dyDescent="0.25">
      <c r="A117" s="3" t="s">
        <v>1017</v>
      </c>
      <c r="B117" s="4" t="s">
        <v>1018</v>
      </c>
      <c r="C117" s="3" t="s">
        <v>19</v>
      </c>
      <c r="D117" s="3" t="s">
        <v>19</v>
      </c>
      <c r="E117" s="3" t="s">
        <v>20</v>
      </c>
      <c r="F117" s="3" t="s">
        <v>19</v>
      </c>
      <c r="G117" s="3" t="s">
        <v>899</v>
      </c>
      <c r="H117" s="5">
        <v>1</v>
      </c>
      <c r="I117" s="3" t="s">
        <v>19</v>
      </c>
      <c r="J117" s="6">
        <v>12000</v>
      </c>
      <c r="K117" s="6">
        <v>0</v>
      </c>
      <c r="L117" s="6">
        <v>6250</v>
      </c>
      <c r="M117" s="6">
        <v>0</v>
      </c>
      <c r="N117" s="3" t="s">
        <v>19</v>
      </c>
      <c r="O117" s="6">
        <v>0</v>
      </c>
      <c r="P117" s="6">
        <f>J117-L117</f>
        <v>5750</v>
      </c>
    </row>
    <row r="118" spans="1:16" x14ac:dyDescent="0.25">
      <c r="A118" s="3" t="s">
        <v>287</v>
      </c>
      <c r="B118" s="4" t="s">
        <v>288</v>
      </c>
      <c r="C118" s="3" t="s">
        <v>19</v>
      </c>
      <c r="D118" s="3" t="s">
        <v>19</v>
      </c>
      <c r="E118" s="3" t="s">
        <v>20</v>
      </c>
      <c r="F118" s="3" t="s">
        <v>19</v>
      </c>
      <c r="G118" s="3" t="s">
        <v>870</v>
      </c>
      <c r="H118" s="5">
        <v>1</v>
      </c>
      <c r="I118" s="3" t="s">
        <v>19</v>
      </c>
      <c r="J118" s="6">
        <v>15000</v>
      </c>
      <c r="K118" s="6">
        <v>0</v>
      </c>
      <c r="L118" s="6">
        <v>4527.77</v>
      </c>
      <c r="M118" s="6">
        <v>0</v>
      </c>
      <c r="N118" s="3" t="s">
        <v>19</v>
      </c>
      <c r="O118" s="6">
        <v>0</v>
      </c>
      <c r="P118" s="6">
        <f>J118-L118</f>
        <v>10472.23</v>
      </c>
    </row>
    <row r="119" spans="1:16" x14ac:dyDescent="0.25">
      <c r="A119" s="3" t="s">
        <v>1019</v>
      </c>
      <c r="B119" s="4" t="s">
        <v>1020</v>
      </c>
      <c r="C119" s="3" t="s">
        <v>19</v>
      </c>
      <c r="D119" s="3" t="s">
        <v>19</v>
      </c>
      <c r="E119" s="3" t="s">
        <v>20</v>
      </c>
      <c r="F119" s="3" t="s">
        <v>19</v>
      </c>
      <c r="G119" s="3" t="s">
        <v>870</v>
      </c>
      <c r="H119" s="5">
        <v>1</v>
      </c>
      <c r="I119" s="3" t="s">
        <v>19</v>
      </c>
      <c r="J119" s="6">
        <v>15000</v>
      </c>
      <c r="K119" s="6">
        <v>0</v>
      </c>
      <c r="L119" s="6">
        <v>4527.77</v>
      </c>
      <c r="M119" s="6">
        <v>0</v>
      </c>
      <c r="N119" s="3" t="s">
        <v>19</v>
      </c>
      <c r="O119" s="6">
        <v>0</v>
      </c>
      <c r="P119" s="6">
        <f>J119-L119</f>
        <v>10472.23</v>
      </c>
    </row>
    <row r="120" spans="1:16" x14ac:dyDescent="0.25">
      <c r="A120" s="3" t="s">
        <v>289</v>
      </c>
      <c r="B120" s="4" t="s">
        <v>290</v>
      </c>
      <c r="C120" s="3" t="s">
        <v>19</v>
      </c>
      <c r="D120" s="3" t="s">
        <v>19</v>
      </c>
      <c r="E120" s="3" t="s">
        <v>20</v>
      </c>
      <c r="F120" s="3" t="s">
        <v>19</v>
      </c>
      <c r="G120" s="3" t="s">
        <v>870</v>
      </c>
      <c r="H120" s="5">
        <v>1</v>
      </c>
      <c r="I120" s="3" t="s">
        <v>19</v>
      </c>
      <c r="J120" s="6">
        <v>15000</v>
      </c>
      <c r="K120" s="6">
        <v>0</v>
      </c>
      <c r="L120" s="6">
        <v>4527.77</v>
      </c>
      <c r="M120" s="6">
        <v>0</v>
      </c>
      <c r="N120" s="3" t="s">
        <v>19</v>
      </c>
      <c r="O120" s="6">
        <v>0</v>
      </c>
      <c r="P120" s="6">
        <f>J120-L120</f>
        <v>10472.23</v>
      </c>
    </row>
    <row r="121" spans="1:16" x14ac:dyDescent="0.25">
      <c r="A121" s="3" t="s">
        <v>289</v>
      </c>
      <c r="B121" s="4" t="s">
        <v>290</v>
      </c>
      <c r="C121" s="3" t="s">
        <v>19</v>
      </c>
      <c r="D121" s="3" t="s">
        <v>19</v>
      </c>
      <c r="E121" s="3" t="s">
        <v>20</v>
      </c>
      <c r="F121" s="3" t="s">
        <v>19</v>
      </c>
      <c r="G121" s="3" t="s">
        <v>899</v>
      </c>
      <c r="H121" s="5">
        <v>1</v>
      </c>
      <c r="I121" s="3" t="s">
        <v>19</v>
      </c>
      <c r="J121" s="6">
        <v>12000</v>
      </c>
      <c r="K121" s="6">
        <v>0</v>
      </c>
      <c r="L121" s="6">
        <v>6250</v>
      </c>
      <c r="M121" s="6">
        <v>0</v>
      </c>
      <c r="N121" s="3" t="s">
        <v>19</v>
      </c>
      <c r="O121" s="6">
        <v>0</v>
      </c>
      <c r="P121" s="6">
        <f>J121-L121</f>
        <v>5750</v>
      </c>
    </row>
    <row r="122" spans="1:16" x14ac:dyDescent="0.25">
      <c r="A122" s="3" t="s">
        <v>1021</v>
      </c>
      <c r="B122" s="4" t="s">
        <v>1022</v>
      </c>
      <c r="C122" s="3" t="s">
        <v>19</v>
      </c>
      <c r="D122" s="3" t="s">
        <v>19</v>
      </c>
      <c r="E122" s="3" t="s">
        <v>20</v>
      </c>
      <c r="F122" s="3" t="s">
        <v>19</v>
      </c>
      <c r="G122" s="3" t="s">
        <v>870</v>
      </c>
      <c r="H122" s="5">
        <v>1</v>
      </c>
      <c r="I122" s="3" t="s">
        <v>19</v>
      </c>
      <c r="J122" s="6">
        <v>15000</v>
      </c>
      <c r="K122" s="6">
        <v>0</v>
      </c>
      <c r="L122" s="6">
        <v>4527.77</v>
      </c>
      <c r="M122" s="6">
        <v>0</v>
      </c>
      <c r="N122" s="3" t="s">
        <v>19</v>
      </c>
      <c r="O122" s="6">
        <v>0</v>
      </c>
      <c r="P122" s="6">
        <f>J122-L122</f>
        <v>10472.23</v>
      </c>
    </row>
    <row r="123" spans="1:16" x14ac:dyDescent="0.25">
      <c r="A123" s="3" t="s">
        <v>1023</v>
      </c>
      <c r="B123" s="4" t="s">
        <v>1024</v>
      </c>
      <c r="C123" s="3" t="s">
        <v>19</v>
      </c>
      <c r="D123" s="3" t="s">
        <v>19</v>
      </c>
      <c r="E123" s="3" t="s">
        <v>20</v>
      </c>
      <c r="F123" s="3" t="s">
        <v>19</v>
      </c>
      <c r="G123" s="3" t="s">
        <v>870</v>
      </c>
      <c r="H123" s="5">
        <v>1</v>
      </c>
      <c r="I123" s="3" t="s">
        <v>19</v>
      </c>
      <c r="J123" s="6">
        <v>15000</v>
      </c>
      <c r="K123" s="6">
        <v>0</v>
      </c>
      <c r="L123" s="6">
        <v>4527.77</v>
      </c>
      <c r="M123" s="6">
        <v>0</v>
      </c>
      <c r="N123" s="3" t="s">
        <v>19</v>
      </c>
      <c r="O123" s="6">
        <v>0</v>
      </c>
      <c r="P123" s="6">
        <f>J123-L123</f>
        <v>10472.23</v>
      </c>
    </row>
    <row r="124" spans="1:16" x14ac:dyDescent="0.25">
      <c r="A124" s="3" t="s">
        <v>1025</v>
      </c>
      <c r="B124" s="4" t="s">
        <v>1026</v>
      </c>
      <c r="C124" s="3" t="s">
        <v>19</v>
      </c>
      <c r="D124" s="3" t="s">
        <v>19</v>
      </c>
      <c r="E124" s="3" t="s">
        <v>20</v>
      </c>
      <c r="F124" s="3" t="s">
        <v>19</v>
      </c>
      <c r="G124" s="3" t="s">
        <v>870</v>
      </c>
      <c r="H124" s="5">
        <v>1</v>
      </c>
      <c r="I124" s="3" t="s">
        <v>19</v>
      </c>
      <c r="J124" s="6">
        <v>15000</v>
      </c>
      <c r="K124" s="6">
        <v>0</v>
      </c>
      <c r="L124" s="6">
        <v>4527.77</v>
      </c>
      <c r="M124" s="6">
        <v>0</v>
      </c>
      <c r="N124" s="3" t="s">
        <v>19</v>
      </c>
      <c r="O124" s="6">
        <v>0</v>
      </c>
      <c r="P124" s="6">
        <f>J124-L124</f>
        <v>10472.23</v>
      </c>
    </row>
    <row r="125" spans="1:16" x14ac:dyDescent="0.25">
      <c r="A125" s="3" t="s">
        <v>1027</v>
      </c>
      <c r="B125" s="4" t="s">
        <v>1028</v>
      </c>
      <c r="C125" s="3" t="s">
        <v>19</v>
      </c>
      <c r="D125" s="3" t="s">
        <v>19</v>
      </c>
      <c r="E125" s="3" t="s">
        <v>20</v>
      </c>
      <c r="F125" s="3" t="s">
        <v>19</v>
      </c>
      <c r="G125" s="3" t="s">
        <v>873</v>
      </c>
      <c r="H125" s="5">
        <v>1</v>
      </c>
      <c r="I125" s="3" t="s">
        <v>19</v>
      </c>
      <c r="J125" s="6">
        <v>12000</v>
      </c>
      <c r="K125" s="6">
        <v>0</v>
      </c>
      <c r="L125" s="6">
        <v>6250</v>
      </c>
      <c r="M125" s="6">
        <v>0</v>
      </c>
      <c r="N125" s="3" t="s">
        <v>19</v>
      </c>
      <c r="O125" s="6">
        <v>0</v>
      </c>
      <c r="P125" s="6">
        <f>J125-L125</f>
        <v>5750</v>
      </c>
    </row>
    <row r="126" spans="1:16" x14ac:dyDescent="0.25">
      <c r="A126" s="3" t="s">
        <v>1029</v>
      </c>
      <c r="B126" s="4" t="s">
        <v>1030</v>
      </c>
      <c r="C126" s="3" t="s">
        <v>19</v>
      </c>
      <c r="D126" s="3" t="s">
        <v>19</v>
      </c>
      <c r="E126" s="3" t="s">
        <v>25</v>
      </c>
      <c r="F126" s="3" t="s">
        <v>19</v>
      </c>
      <c r="G126" s="3" t="s">
        <v>870</v>
      </c>
      <c r="H126" s="5">
        <v>1</v>
      </c>
      <c r="I126" s="3" t="s">
        <v>19</v>
      </c>
      <c r="J126" s="6">
        <v>15000</v>
      </c>
      <c r="K126" s="6">
        <v>0</v>
      </c>
      <c r="L126" s="6">
        <v>4527.77</v>
      </c>
      <c r="M126" s="6">
        <v>0</v>
      </c>
      <c r="N126" s="3" t="s">
        <v>19</v>
      </c>
      <c r="O126" s="6">
        <v>0</v>
      </c>
      <c r="P126" s="6">
        <f>J126-L126</f>
        <v>10472.23</v>
      </c>
    </row>
    <row r="127" spans="1:16" x14ac:dyDescent="0.25">
      <c r="A127" s="3" t="s">
        <v>1031</v>
      </c>
      <c r="B127" s="4" t="s">
        <v>1032</v>
      </c>
      <c r="C127" s="3" t="s">
        <v>19</v>
      </c>
      <c r="D127" s="3" t="s">
        <v>19</v>
      </c>
      <c r="E127" s="3" t="s">
        <v>25</v>
      </c>
      <c r="F127" s="3" t="s">
        <v>19</v>
      </c>
      <c r="G127" s="3" t="s">
        <v>870</v>
      </c>
      <c r="H127" s="5">
        <v>1</v>
      </c>
      <c r="I127" s="3" t="s">
        <v>19</v>
      </c>
      <c r="J127" s="6">
        <v>15000</v>
      </c>
      <c r="K127" s="6">
        <v>0</v>
      </c>
      <c r="L127" s="6">
        <v>4527.77</v>
      </c>
      <c r="M127" s="6">
        <v>0</v>
      </c>
      <c r="N127" s="3" t="s">
        <v>19</v>
      </c>
      <c r="O127" s="6">
        <v>0</v>
      </c>
      <c r="P127" s="6">
        <f>J127-L127</f>
        <v>10472.23</v>
      </c>
    </row>
    <row r="128" spans="1:16" x14ac:dyDescent="0.25">
      <c r="A128" s="3" t="s">
        <v>1031</v>
      </c>
      <c r="B128" s="4" t="s">
        <v>1032</v>
      </c>
      <c r="C128" s="3" t="s">
        <v>19</v>
      </c>
      <c r="D128" s="3" t="s">
        <v>19</v>
      </c>
      <c r="E128" s="3" t="s">
        <v>25</v>
      </c>
      <c r="F128" s="3" t="s">
        <v>19</v>
      </c>
      <c r="G128" s="3" t="s">
        <v>899</v>
      </c>
      <c r="H128" s="5">
        <v>1</v>
      </c>
      <c r="I128" s="3" t="s">
        <v>19</v>
      </c>
      <c r="J128" s="6">
        <v>12000</v>
      </c>
      <c r="K128" s="6">
        <v>0</v>
      </c>
      <c r="L128" s="6">
        <v>6250</v>
      </c>
      <c r="M128" s="6">
        <v>0</v>
      </c>
      <c r="N128" s="3" t="s">
        <v>19</v>
      </c>
      <c r="O128" s="6">
        <v>0</v>
      </c>
      <c r="P128" s="6">
        <f>J128-L128</f>
        <v>5750</v>
      </c>
    </row>
    <row r="129" spans="1:16" x14ac:dyDescent="0.25">
      <c r="A129" s="3" t="s">
        <v>1033</v>
      </c>
      <c r="B129" s="4" t="s">
        <v>1034</v>
      </c>
      <c r="C129" s="3" t="s">
        <v>19</v>
      </c>
      <c r="D129" s="3" t="s">
        <v>19</v>
      </c>
      <c r="E129" s="3" t="s">
        <v>25</v>
      </c>
      <c r="F129" s="3" t="s">
        <v>19</v>
      </c>
      <c r="G129" s="3" t="s">
        <v>870</v>
      </c>
      <c r="H129" s="5">
        <v>1</v>
      </c>
      <c r="I129" s="3" t="s">
        <v>19</v>
      </c>
      <c r="J129" s="6">
        <v>15000</v>
      </c>
      <c r="K129" s="6">
        <v>0</v>
      </c>
      <c r="L129" s="6">
        <v>4527.77</v>
      </c>
      <c r="M129" s="6">
        <v>0</v>
      </c>
      <c r="N129" s="3" t="s">
        <v>19</v>
      </c>
      <c r="O129" s="6">
        <v>0</v>
      </c>
      <c r="P129" s="6">
        <f>J129-L129</f>
        <v>10472.23</v>
      </c>
    </row>
    <row r="130" spans="1:16" x14ac:dyDescent="0.25">
      <c r="A130" s="3" t="s">
        <v>1035</v>
      </c>
      <c r="B130" s="4" t="s">
        <v>1036</v>
      </c>
      <c r="C130" s="3" t="s">
        <v>19</v>
      </c>
      <c r="D130" s="3" t="s">
        <v>19</v>
      </c>
      <c r="E130" s="3" t="s">
        <v>25</v>
      </c>
      <c r="F130" s="3" t="s">
        <v>19</v>
      </c>
      <c r="G130" s="3" t="s">
        <v>870</v>
      </c>
      <c r="H130" s="5">
        <v>1</v>
      </c>
      <c r="I130" s="3" t="s">
        <v>19</v>
      </c>
      <c r="J130" s="6">
        <v>15000</v>
      </c>
      <c r="K130" s="6">
        <v>0</v>
      </c>
      <c r="L130" s="6">
        <v>4527.77</v>
      </c>
      <c r="M130" s="6">
        <v>0</v>
      </c>
      <c r="N130" s="3" t="s">
        <v>19</v>
      </c>
      <c r="O130" s="6">
        <v>0</v>
      </c>
      <c r="P130" s="6">
        <f>J130-L130</f>
        <v>10472.23</v>
      </c>
    </row>
    <row r="131" spans="1:16" x14ac:dyDescent="0.25">
      <c r="A131" s="3" t="s">
        <v>1037</v>
      </c>
      <c r="B131" s="4" t="s">
        <v>1038</v>
      </c>
      <c r="C131" s="3" t="s">
        <v>19</v>
      </c>
      <c r="D131" s="3" t="s">
        <v>19</v>
      </c>
      <c r="E131" s="3" t="s">
        <v>25</v>
      </c>
      <c r="F131" s="3" t="s">
        <v>19</v>
      </c>
      <c r="G131" s="3" t="s">
        <v>873</v>
      </c>
      <c r="H131" s="5">
        <v>2</v>
      </c>
      <c r="I131" s="3" t="s">
        <v>19</v>
      </c>
      <c r="J131" s="6">
        <v>24000</v>
      </c>
      <c r="K131" s="6">
        <v>0</v>
      </c>
      <c r="L131" s="6">
        <v>12500</v>
      </c>
      <c r="M131" s="6">
        <v>0</v>
      </c>
      <c r="N131" s="3" t="s">
        <v>19</v>
      </c>
      <c r="O131" s="6">
        <v>0</v>
      </c>
      <c r="P131" s="6">
        <f>J131-L131</f>
        <v>11500</v>
      </c>
    </row>
    <row r="132" spans="1:16" x14ac:dyDescent="0.25">
      <c r="A132" s="3" t="s">
        <v>1039</v>
      </c>
      <c r="B132" s="4" t="s">
        <v>1040</v>
      </c>
      <c r="C132" s="3" t="s">
        <v>19</v>
      </c>
      <c r="D132" s="3" t="s">
        <v>19</v>
      </c>
      <c r="E132" s="3" t="s">
        <v>25</v>
      </c>
      <c r="F132" s="3" t="s">
        <v>19</v>
      </c>
      <c r="G132" s="3" t="s">
        <v>870</v>
      </c>
      <c r="H132" s="5">
        <v>2</v>
      </c>
      <c r="I132" s="3" t="s">
        <v>19</v>
      </c>
      <c r="J132" s="6">
        <v>30000</v>
      </c>
      <c r="K132" s="6">
        <v>0</v>
      </c>
      <c r="L132" s="6">
        <v>9055.54</v>
      </c>
      <c r="M132" s="6">
        <v>0</v>
      </c>
      <c r="N132" s="3" t="s">
        <v>19</v>
      </c>
      <c r="O132" s="6">
        <v>0</v>
      </c>
      <c r="P132" s="6">
        <f>J132-L132</f>
        <v>20944.46</v>
      </c>
    </row>
    <row r="133" spans="1:16" x14ac:dyDescent="0.25">
      <c r="A133" s="3" t="s">
        <v>1039</v>
      </c>
      <c r="B133" s="4" t="s">
        <v>1040</v>
      </c>
      <c r="C133" s="3" t="s">
        <v>19</v>
      </c>
      <c r="D133" s="3" t="s">
        <v>19</v>
      </c>
      <c r="E133" s="3" t="s">
        <v>25</v>
      </c>
      <c r="F133" s="3" t="s">
        <v>19</v>
      </c>
      <c r="G133" s="3" t="s">
        <v>899</v>
      </c>
      <c r="H133" s="5">
        <v>1</v>
      </c>
      <c r="I133" s="3" t="s">
        <v>19</v>
      </c>
      <c r="J133" s="6">
        <v>12000</v>
      </c>
      <c r="K133" s="6">
        <v>0</v>
      </c>
      <c r="L133" s="6">
        <v>6250</v>
      </c>
      <c r="M133" s="6">
        <v>0</v>
      </c>
      <c r="N133" s="3" t="s">
        <v>19</v>
      </c>
      <c r="O133" s="6">
        <v>0</v>
      </c>
      <c r="P133" s="6">
        <f>J133-L133</f>
        <v>5750</v>
      </c>
    </row>
    <row r="134" spans="1:16" x14ac:dyDescent="0.25">
      <c r="A134" s="3" t="s">
        <v>1041</v>
      </c>
      <c r="B134" s="4" t="s">
        <v>1042</v>
      </c>
      <c r="C134" s="3" t="s">
        <v>19</v>
      </c>
      <c r="D134" s="3" t="s">
        <v>19</v>
      </c>
      <c r="E134" s="3" t="s">
        <v>25</v>
      </c>
      <c r="F134" s="3" t="s">
        <v>19</v>
      </c>
      <c r="G134" s="3" t="s">
        <v>873</v>
      </c>
      <c r="H134" s="5">
        <v>1</v>
      </c>
      <c r="I134" s="3" t="s">
        <v>19</v>
      </c>
      <c r="J134" s="6">
        <v>12000</v>
      </c>
      <c r="K134" s="6">
        <v>0</v>
      </c>
      <c r="L134" s="6">
        <v>6250</v>
      </c>
      <c r="M134" s="6">
        <v>0</v>
      </c>
      <c r="N134" s="3" t="s">
        <v>19</v>
      </c>
      <c r="O134" s="6">
        <v>0</v>
      </c>
      <c r="P134" s="6">
        <f>J134-L134</f>
        <v>5750</v>
      </c>
    </row>
    <row r="135" spans="1:16" x14ac:dyDescent="0.25">
      <c r="A135" s="3" t="s">
        <v>1043</v>
      </c>
      <c r="B135" s="4" t="s">
        <v>1044</v>
      </c>
      <c r="C135" s="3" t="s">
        <v>19</v>
      </c>
      <c r="D135" s="3" t="s">
        <v>19</v>
      </c>
      <c r="E135" s="3" t="s">
        <v>25</v>
      </c>
      <c r="F135" s="3" t="s">
        <v>19</v>
      </c>
      <c r="G135" s="3" t="s">
        <v>904</v>
      </c>
      <c r="H135" s="5">
        <v>1</v>
      </c>
      <c r="I135" s="3" t="s">
        <v>19</v>
      </c>
      <c r="J135" s="6">
        <v>20000</v>
      </c>
      <c r="K135" s="6">
        <v>0</v>
      </c>
      <c r="L135" s="6">
        <v>10250</v>
      </c>
      <c r="M135" s="6">
        <v>0</v>
      </c>
      <c r="N135" s="3" t="s">
        <v>19</v>
      </c>
      <c r="O135" s="6">
        <v>0</v>
      </c>
      <c r="P135" s="6">
        <f>J135-L135</f>
        <v>9750</v>
      </c>
    </row>
    <row r="136" spans="1:16" x14ac:dyDescent="0.25">
      <c r="A136" s="3" t="s">
        <v>1045</v>
      </c>
      <c r="B136" s="4" t="s">
        <v>1046</v>
      </c>
      <c r="C136" s="3" t="s">
        <v>19</v>
      </c>
      <c r="D136" s="3" t="s">
        <v>19</v>
      </c>
      <c r="E136" s="3" t="s">
        <v>25</v>
      </c>
      <c r="F136" s="3" t="s">
        <v>19</v>
      </c>
      <c r="G136" s="3" t="s">
        <v>870</v>
      </c>
      <c r="H136" s="5">
        <v>1</v>
      </c>
      <c r="I136" s="3" t="s">
        <v>19</v>
      </c>
      <c r="J136" s="6">
        <v>15000</v>
      </c>
      <c r="K136" s="6">
        <v>0</v>
      </c>
      <c r="L136" s="6">
        <v>4527.77</v>
      </c>
      <c r="M136" s="6">
        <v>0</v>
      </c>
      <c r="N136" s="3" t="s">
        <v>19</v>
      </c>
      <c r="O136" s="6">
        <v>0</v>
      </c>
      <c r="P136" s="6">
        <f>J136-L136</f>
        <v>10472.23</v>
      </c>
    </row>
    <row r="137" spans="1:16" x14ac:dyDescent="0.25">
      <c r="A137" s="3" t="s">
        <v>1047</v>
      </c>
      <c r="B137" s="4" t="s">
        <v>1048</v>
      </c>
      <c r="C137" s="3" t="s">
        <v>19</v>
      </c>
      <c r="D137" s="3" t="s">
        <v>19</v>
      </c>
      <c r="E137" s="3" t="s">
        <v>25</v>
      </c>
      <c r="F137" s="3" t="s">
        <v>19</v>
      </c>
      <c r="G137" s="3" t="s">
        <v>870</v>
      </c>
      <c r="H137" s="5">
        <v>1</v>
      </c>
      <c r="I137" s="3" t="s">
        <v>19</v>
      </c>
      <c r="J137" s="6">
        <v>15000</v>
      </c>
      <c r="K137" s="6">
        <v>0</v>
      </c>
      <c r="L137" s="6">
        <v>4527.77</v>
      </c>
      <c r="M137" s="6">
        <v>0</v>
      </c>
      <c r="N137" s="3" t="s">
        <v>19</v>
      </c>
      <c r="O137" s="6">
        <v>0</v>
      </c>
      <c r="P137" s="6">
        <f>J137-L137</f>
        <v>10472.23</v>
      </c>
    </row>
    <row r="138" spans="1:16" x14ac:dyDescent="0.25">
      <c r="A138" s="3" t="s">
        <v>1049</v>
      </c>
      <c r="B138" s="4" t="s">
        <v>1050</v>
      </c>
      <c r="C138" s="3" t="s">
        <v>19</v>
      </c>
      <c r="D138" s="3" t="s">
        <v>19</v>
      </c>
      <c r="E138" s="3" t="s">
        <v>25</v>
      </c>
      <c r="F138" s="3" t="s">
        <v>19</v>
      </c>
      <c r="G138" s="3" t="s">
        <v>884</v>
      </c>
      <c r="H138" s="5">
        <v>1</v>
      </c>
      <c r="I138" s="3" t="s">
        <v>19</v>
      </c>
      <c r="J138" s="6">
        <v>10000</v>
      </c>
      <c r="K138" s="6">
        <v>0</v>
      </c>
      <c r="L138" s="6">
        <v>2087.18</v>
      </c>
      <c r="M138" s="6">
        <v>0</v>
      </c>
      <c r="N138" s="3" t="s">
        <v>19</v>
      </c>
      <c r="O138" s="6">
        <v>0</v>
      </c>
      <c r="P138" s="6">
        <f>J138-L138</f>
        <v>7912.82</v>
      </c>
    </row>
    <row r="139" spans="1:16" x14ac:dyDescent="0.25">
      <c r="A139" s="3" t="s">
        <v>1051</v>
      </c>
      <c r="B139" s="4" t="s">
        <v>1052</v>
      </c>
      <c r="C139" s="3" t="s">
        <v>19</v>
      </c>
      <c r="D139" s="3" t="s">
        <v>19</v>
      </c>
      <c r="E139" s="3" t="s">
        <v>52</v>
      </c>
      <c r="F139" s="3" t="s">
        <v>19</v>
      </c>
      <c r="G139" s="3" t="s">
        <v>904</v>
      </c>
      <c r="H139" s="5">
        <v>1</v>
      </c>
      <c r="I139" s="3" t="s">
        <v>19</v>
      </c>
      <c r="J139" s="6">
        <v>20000</v>
      </c>
      <c r="K139" s="6">
        <v>0</v>
      </c>
      <c r="L139" s="6">
        <v>10250</v>
      </c>
      <c r="M139" s="6">
        <v>0</v>
      </c>
      <c r="N139" s="3" t="s">
        <v>19</v>
      </c>
      <c r="O139" s="6">
        <v>0</v>
      </c>
      <c r="P139" s="6">
        <f>J139-L139</f>
        <v>9750</v>
      </c>
    </row>
    <row r="140" spans="1:16" x14ac:dyDescent="0.25">
      <c r="A140" s="3" t="s">
        <v>1053</v>
      </c>
      <c r="B140" s="4" t="s">
        <v>1054</v>
      </c>
      <c r="C140" s="3" t="s">
        <v>19</v>
      </c>
      <c r="D140" s="3" t="s">
        <v>19</v>
      </c>
      <c r="E140" s="3" t="s">
        <v>52</v>
      </c>
      <c r="F140" s="3" t="s">
        <v>19</v>
      </c>
      <c r="G140" s="3" t="s">
        <v>904</v>
      </c>
      <c r="H140" s="5">
        <v>1</v>
      </c>
      <c r="I140" s="3" t="s">
        <v>19</v>
      </c>
      <c r="J140" s="6">
        <v>20000</v>
      </c>
      <c r="K140" s="6">
        <v>0</v>
      </c>
      <c r="L140" s="6">
        <v>10250</v>
      </c>
      <c r="M140" s="6">
        <v>0</v>
      </c>
      <c r="N140" s="3" t="s">
        <v>19</v>
      </c>
      <c r="O140" s="6">
        <v>0</v>
      </c>
      <c r="P140" s="6">
        <f>J140-L140</f>
        <v>9750</v>
      </c>
    </row>
    <row r="141" spans="1:16" x14ac:dyDescent="0.25">
      <c r="A141" s="3" t="s">
        <v>1055</v>
      </c>
      <c r="B141" s="4" t="s">
        <v>1056</v>
      </c>
      <c r="C141" s="3" t="s">
        <v>19</v>
      </c>
      <c r="D141" s="3" t="s">
        <v>19</v>
      </c>
      <c r="E141" s="3" t="s">
        <v>52</v>
      </c>
      <c r="F141" s="3" t="s">
        <v>19</v>
      </c>
      <c r="G141" s="3" t="s">
        <v>904</v>
      </c>
      <c r="H141" s="5">
        <v>1</v>
      </c>
      <c r="I141" s="3" t="s">
        <v>19</v>
      </c>
      <c r="J141" s="6">
        <v>20000</v>
      </c>
      <c r="K141" s="6">
        <v>0</v>
      </c>
      <c r="L141" s="6">
        <v>10250</v>
      </c>
      <c r="M141" s="6">
        <v>0</v>
      </c>
      <c r="N141" s="3" t="s">
        <v>19</v>
      </c>
      <c r="O141" s="6">
        <v>0</v>
      </c>
      <c r="P141" s="6">
        <f>J141-L141</f>
        <v>9750</v>
      </c>
    </row>
    <row r="142" spans="1:16" x14ac:dyDescent="0.25">
      <c r="A142" s="3" t="s">
        <v>1057</v>
      </c>
      <c r="B142" s="4" t="s">
        <v>1058</v>
      </c>
      <c r="C142" s="3" t="s">
        <v>19</v>
      </c>
      <c r="D142" s="3" t="s">
        <v>19</v>
      </c>
      <c r="E142" s="3" t="s">
        <v>52</v>
      </c>
      <c r="F142" s="3" t="s">
        <v>19</v>
      </c>
      <c r="G142" s="3" t="s">
        <v>904</v>
      </c>
      <c r="H142" s="5">
        <v>1</v>
      </c>
      <c r="I142" s="3" t="s">
        <v>19</v>
      </c>
      <c r="J142" s="6">
        <v>20000</v>
      </c>
      <c r="K142" s="6">
        <v>0</v>
      </c>
      <c r="L142" s="6">
        <v>10250</v>
      </c>
      <c r="M142" s="6">
        <v>0</v>
      </c>
      <c r="N142" s="3" t="s">
        <v>19</v>
      </c>
      <c r="O142" s="6">
        <v>0</v>
      </c>
      <c r="P142" s="6">
        <f>J142-L142</f>
        <v>9750</v>
      </c>
    </row>
    <row r="143" spans="1:16" x14ac:dyDescent="0.25">
      <c r="A143" s="3" t="s">
        <v>1059</v>
      </c>
      <c r="B143" s="4" t="s">
        <v>1060</v>
      </c>
      <c r="C143" s="3" t="s">
        <v>19</v>
      </c>
      <c r="D143" s="3" t="s">
        <v>19</v>
      </c>
      <c r="E143" s="3" t="s">
        <v>52</v>
      </c>
      <c r="F143" s="3" t="s">
        <v>19</v>
      </c>
      <c r="G143" s="3" t="s">
        <v>884</v>
      </c>
      <c r="H143" s="5">
        <v>1</v>
      </c>
      <c r="I143" s="3" t="s">
        <v>19</v>
      </c>
      <c r="J143" s="6">
        <v>10000</v>
      </c>
      <c r="K143" s="6">
        <v>0</v>
      </c>
      <c r="L143" s="6">
        <v>2087.18</v>
      </c>
      <c r="M143" s="6">
        <v>0</v>
      </c>
      <c r="N143" s="3" t="s">
        <v>19</v>
      </c>
      <c r="O143" s="6">
        <v>0</v>
      </c>
      <c r="P143" s="6">
        <f>J143-L143</f>
        <v>7912.82</v>
      </c>
    </row>
    <row r="144" spans="1:16" x14ac:dyDescent="0.25">
      <c r="A144" s="3" t="s">
        <v>1061</v>
      </c>
      <c r="B144" s="4" t="s">
        <v>1062</v>
      </c>
      <c r="C144" s="3" t="s">
        <v>19</v>
      </c>
      <c r="D144" s="3" t="s">
        <v>19</v>
      </c>
      <c r="E144" s="3" t="s">
        <v>52</v>
      </c>
      <c r="F144" s="3" t="s">
        <v>19</v>
      </c>
      <c r="G144" s="3" t="s">
        <v>899</v>
      </c>
      <c r="H144" s="5">
        <v>1</v>
      </c>
      <c r="I144" s="3" t="s">
        <v>19</v>
      </c>
      <c r="J144" s="6">
        <v>12000</v>
      </c>
      <c r="K144" s="6">
        <v>0</v>
      </c>
      <c r="L144" s="6">
        <v>6250</v>
      </c>
      <c r="M144" s="6">
        <v>0</v>
      </c>
      <c r="N144" s="3" t="s">
        <v>19</v>
      </c>
      <c r="O144" s="6">
        <v>0</v>
      </c>
      <c r="P144" s="6">
        <f>J144-L144</f>
        <v>5750</v>
      </c>
    </row>
    <row r="145" spans="1:16" x14ac:dyDescent="0.25">
      <c r="A145" s="3" t="s">
        <v>1063</v>
      </c>
      <c r="B145" s="4" t="s">
        <v>1064</v>
      </c>
      <c r="C145" s="3" t="s">
        <v>19</v>
      </c>
      <c r="D145" s="3" t="s">
        <v>19</v>
      </c>
      <c r="E145" s="3" t="s">
        <v>52</v>
      </c>
      <c r="F145" s="3" t="s">
        <v>19</v>
      </c>
      <c r="G145" s="3" t="s">
        <v>884</v>
      </c>
      <c r="H145" s="5">
        <v>1</v>
      </c>
      <c r="I145" s="3" t="s">
        <v>19</v>
      </c>
      <c r="J145" s="6">
        <v>10000</v>
      </c>
      <c r="K145" s="6">
        <v>0</v>
      </c>
      <c r="L145" s="6">
        <v>2087.18</v>
      </c>
      <c r="M145" s="6">
        <v>0</v>
      </c>
      <c r="N145" s="3" t="s">
        <v>19</v>
      </c>
      <c r="O145" s="6">
        <v>0</v>
      </c>
      <c r="P145" s="6">
        <f>J145-L145</f>
        <v>7912.82</v>
      </c>
    </row>
    <row r="146" spans="1:16" x14ac:dyDescent="0.25">
      <c r="A146" s="3" t="s">
        <v>1065</v>
      </c>
      <c r="B146" s="4" t="s">
        <v>1066</v>
      </c>
      <c r="C146" s="3" t="s">
        <v>19</v>
      </c>
      <c r="D146" s="3" t="s">
        <v>19</v>
      </c>
      <c r="E146" s="3" t="s">
        <v>52</v>
      </c>
      <c r="F146" s="3" t="s">
        <v>19</v>
      </c>
      <c r="G146" s="3" t="s">
        <v>904</v>
      </c>
      <c r="H146" s="5">
        <v>1</v>
      </c>
      <c r="I146" s="3" t="s">
        <v>19</v>
      </c>
      <c r="J146" s="6">
        <v>20000</v>
      </c>
      <c r="K146" s="6">
        <v>0</v>
      </c>
      <c r="L146" s="6">
        <v>10250</v>
      </c>
      <c r="M146" s="6">
        <v>0</v>
      </c>
      <c r="N146" s="3" t="s">
        <v>19</v>
      </c>
      <c r="O146" s="6">
        <v>0</v>
      </c>
      <c r="P146" s="6">
        <f>J146-L146</f>
        <v>9750</v>
      </c>
    </row>
    <row r="147" ht="18" customHeight="1" spans="1:16" x14ac:dyDescent="0.25">
      <c r="A147" s="7" t="s">
        <v>34</v>
      </c>
      <c r="B147" s="7"/>
      <c r="C147" s="7"/>
      <c r="D147" s="7"/>
      <c r="E147" s="7"/>
      <c r="F147" s="7"/>
      <c r="G147" s="7"/>
      <c r="H147" s="8">
        <f>SUM(H92:H146)</f>
        <v>57</v>
      </c>
      <c r="I147" s="7"/>
      <c r="J147" s="9">
        <f>SUM(J92:J146)</f>
        <v>804000</v>
      </c>
      <c r="K147" s="9">
        <f>SUM(K92:K146)</f>
        <v>0</v>
      </c>
      <c r="L147" s="9">
        <f>SUM(L92:L146)</f>
        <v>310332.2799999999</v>
      </c>
      <c r="M147" s="9">
        <f>SUM(M92:M146)</f>
        <v>0</v>
      </c>
      <c r="N147" s="7"/>
      <c r="O147" s="9">
        <f>SUM(O92:O146)</f>
        <v>0</v>
      </c>
      <c r="P147" s="9">
        <f>SUM(P92:P146)</f>
        <v>493667.72</v>
      </c>
    </row>
    <row r="151" ht="15.75" customHeight="1" spans="1:16" x14ac:dyDescent="0.25">
      <c r="A151" s="1" t="s">
        <v>60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39.4" customHeight="1" spans="1:16" x14ac:dyDescent="0.25">
      <c r="A152" s="2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  <c r="H152" s="2" t="s">
        <v>8</v>
      </c>
      <c r="I152" s="2" t="s">
        <v>9</v>
      </c>
      <c r="J152" s="2" t="s">
        <v>10</v>
      </c>
      <c r="K152" s="2" t="s">
        <v>11</v>
      </c>
      <c r="L152" s="2" t="s">
        <v>12</v>
      </c>
      <c r="M152" s="2" t="s">
        <v>13</v>
      </c>
      <c r="N152" s="2" t="s">
        <v>14</v>
      </c>
      <c r="O152" s="2" t="s">
        <v>15</v>
      </c>
      <c r="P152" s="2" t="s">
        <v>16</v>
      </c>
    </row>
    <row r="153" spans="1:16" x14ac:dyDescent="0.25">
      <c r="A153" s="3" t="s">
        <v>1067</v>
      </c>
      <c r="B153" s="4" t="s">
        <v>1068</v>
      </c>
      <c r="C153" s="3" t="s">
        <v>19</v>
      </c>
      <c r="D153" s="3" t="s">
        <v>19</v>
      </c>
      <c r="E153" s="3" t="s">
        <v>52</v>
      </c>
      <c r="F153" s="3" t="s">
        <v>19</v>
      </c>
      <c r="G153" s="3" t="s">
        <v>884</v>
      </c>
      <c r="H153" s="5">
        <v>1</v>
      </c>
      <c r="I153" s="3" t="s">
        <v>19</v>
      </c>
      <c r="J153" s="6">
        <v>10000</v>
      </c>
      <c r="K153" s="6">
        <v>0</v>
      </c>
      <c r="L153" s="6">
        <v>2087.18</v>
      </c>
      <c r="M153" s="6">
        <v>0</v>
      </c>
      <c r="N153" s="3" t="s">
        <v>19</v>
      </c>
      <c r="O153" s="6">
        <v>0</v>
      </c>
      <c r="P153" s="6">
        <f>J153-L153</f>
        <v>7912.82</v>
      </c>
    </row>
    <row r="154" spans="1:16" x14ac:dyDescent="0.25">
      <c r="A154" s="3" t="s">
        <v>1069</v>
      </c>
      <c r="B154" s="4" t="s">
        <v>1070</v>
      </c>
      <c r="C154" s="3" t="s">
        <v>19</v>
      </c>
      <c r="D154" s="3" t="s">
        <v>19</v>
      </c>
      <c r="E154" s="3" t="s">
        <v>52</v>
      </c>
      <c r="F154" s="3" t="s">
        <v>19</v>
      </c>
      <c r="G154" s="3" t="s">
        <v>870</v>
      </c>
      <c r="H154" s="5">
        <v>1</v>
      </c>
      <c r="I154" s="3" t="s">
        <v>19</v>
      </c>
      <c r="J154" s="6">
        <v>15000</v>
      </c>
      <c r="K154" s="6">
        <v>0</v>
      </c>
      <c r="L154" s="6">
        <v>4527.77</v>
      </c>
      <c r="M154" s="6">
        <v>0</v>
      </c>
      <c r="N154" s="3" t="s">
        <v>19</v>
      </c>
      <c r="O154" s="6">
        <v>0</v>
      </c>
      <c r="P154" s="6">
        <f>J154-L154</f>
        <v>10472.23</v>
      </c>
    </row>
    <row r="155" spans="1:16" x14ac:dyDescent="0.25">
      <c r="A155" s="3" t="s">
        <v>1069</v>
      </c>
      <c r="B155" s="4" t="s">
        <v>1070</v>
      </c>
      <c r="C155" s="3" t="s">
        <v>19</v>
      </c>
      <c r="D155" s="3" t="s">
        <v>19</v>
      </c>
      <c r="E155" s="3" t="s">
        <v>52</v>
      </c>
      <c r="F155" s="3" t="s">
        <v>19</v>
      </c>
      <c r="G155" s="3" t="s">
        <v>884</v>
      </c>
      <c r="H155" s="5">
        <v>1</v>
      </c>
      <c r="I155" s="3" t="s">
        <v>19</v>
      </c>
      <c r="J155" s="6">
        <v>10000</v>
      </c>
      <c r="K155" s="6">
        <v>0</v>
      </c>
      <c r="L155" s="6">
        <v>2087.18</v>
      </c>
      <c r="M155" s="6">
        <v>0</v>
      </c>
      <c r="N155" s="3" t="s">
        <v>19</v>
      </c>
      <c r="O155" s="6">
        <v>0</v>
      </c>
      <c r="P155" s="6">
        <f>J155-L155</f>
        <v>7912.82</v>
      </c>
    </row>
    <row r="156" spans="1:16" x14ac:dyDescent="0.25">
      <c r="A156" s="3" t="s">
        <v>1071</v>
      </c>
      <c r="B156" s="4" t="s">
        <v>1072</v>
      </c>
      <c r="C156" s="3" t="s">
        <v>19</v>
      </c>
      <c r="D156" s="3" t="s">
        <v>19</v>
      </c>
      <c r="E156" s="3" t="s">
        <v>52</v>
      </c>
      <c r="F156" s="3" t="s">
        <v>19</v>
      </c>
      <c r="G156" s="3" t="s">
        <v>884</v>
      </c>
      <c r="H156" s="5">
        <v>1</v>
      </c>
      <c r="I156" s="3" t="s">
        <v>19</v>
      </c>
      <c r="J156" s="6">
        <v>10000</v>
      </c>
      <c r="K156" s="6">
        <v>0</v>
      </c>
      <c r="L156" s="6">
        <v>2087.18</v>
      </c>
      <c r="M156" s="6">
        <v>0</v>
      </c>
      <c r="N156" s="3" t="s">
        <v>19</v>
      </c>
      <c r="O156" s="6">
        <v>0</v>
      </c>
      <c r="P156" s="6">
        <f>J156-L156</f>
        <v>7912.82</v>
      </c>
    </row>
    <row r="157" spans="1:16" x14ac:dyDescent="0.25">
      <c r="A157" s="3" t="s">
        <v>738</v>
      </c>
      <c r="B157" s="4" t="s">
        <v>739</v>
      </c>
      <c r="C157" s="3" t="s">
        <v>19</v>
      </c>
      <c r="D157" s="3" t="s">
        <v>19</v>
      </c>
      <c r="E157" s="3" t="s">
        <v>52</v>
      </c>
      <c r="F157" s="3" t="s">
        <v>19</v>
      </c>
      <c r="G157" s="3" t="s">
        <v>870</v>
      </c>
      <c r="H157" s="5">
        <v>1</v>
      </c>
      <c r="I157" s="3" t="s">
        <v>19</v>
      </c>
      <c r="J157" s="6">
        <v>15000</v>
      </c>
      <c r="K157" s="6">
        <v>0</v>
      </c>
      <c r="L157" s="6">
        <v>4527.77</v>
      </c>
      <c r="M157" s="6">
        <v>0</v>
      </c>
      <c r="N157" s="3" t="s">
        <v>19</v>
      </c>
      <c r="O157" s="6">
        <v>0</v>
      </c>
      <c r="P157" s="6">
        <f>J157-L157</f>
        <v>10472.23</v>
      </c>
    </row>
    <row r="158" spans="1:16" x14ac:dyDescent="0.25">
      <c r="A158" s="3" t="s">
        <v>1073</v>
      </c>
      <c r="B158" s="4" t="s">
        <v>1074</v>
      </c>
      <c r="C158" s="3" t="s">
        <v>19</v>
      </c>
      <c r="D158" s="3" t="s">
        <v>19</v>
      </c>
      <c r="E158" s="3" t="s">
        <v>52</v>
      </c>
      <c r="F158" s="3" t="s">
        <v>19</v>
      </c>
      <c r="G158" s="3" t="s">
        <v>870</v>
      </c>
      <c r="H158" s="5">
        <v>1</v>
      </c>
      <c r="I158" s="3" t="s">
        <v>19</v>
      </c>
      <c r="J158" s="6">
        <v>15000</v>
      </c>
      <c r="K158" s="6">
        <v>0</v>
      </c>
      <c r="L158" s="6">
        <v>4527.77</v>
      </c>
      <c r="M158" s="6">
        <v>0</v>
      </c>
      <c r="N158" s="3" t="s">
        <v>19</v>
      </c>
      <c r="O158" s="6">
        <v>0</v>
      </c>
      <c r="P158" s="6">
        <f>J158-L158</f>
        <v>10472.23</v>
      </c>
    </row>
    <row r="159" spans="1:16" x14ac:dyDescent="0.25">
      <c r="A159" s="3" t="s">
        <v>1075</v>
      </c>
      <c r="B159" s="4" t="s">
        <v>1076</v>
      </c>
      <c r="C159" s="3" t="s">
        <v>19</v>
      </c>
      <c r="D159" s="3" t="s">
        <v>19</v>
      </c>
      <c r="E159" s="3" t="s">
        <v>52</v>
      </c>
      <c r="F159" s="3" t="s">
        <v>19</v>
      </c>
      <c r="G159" s="3" t="s">
        <v>884</v>
      </c>
      <c r="H159" s="5">
        <v>1</v>
      </c>
      <c r="I159" s="3" t="s">
        <v>19</v>
      </c>
      <c r="J159" s="6">
        <v>10000</v>
      </c>
      <c r="K159" s="6">
        <v>0</v>
      </c>
      <c r="L159" s="6">
        <v>2087.18</v>
      </c>
      <c r="M159" s="6">
        <v>0</v>
      </c>
      <c r="N159" s="3" t="s">
        <v>19</v>
      </c>
      <c r="O159" s="6">
        <v>0</v>
      </c>
      <c r="P159" s="6">
        <f>J159-L159</f>
        <v>7912.82</v>
      </c>
    </row>
    <row r="160" spans="1:16" x14ac:dyDescent="0.25">
      <c r="A160" s="3" t="s">
        <v>1077</v>
      </c>
      <c r="B160" s="4" t="s">
        <v>1078</v>
      </c>
      <c r="C160" s="3" t="s">
        <v>19</v>
      </c>
      <c r="D160" s="3" t="s">
        <v>19</v>
      </c>
      <c r="E160" s="3" t="s">
        <v>52</v>
      </c>
      <c r="F160" s="3" t="s">
        <v>19</v>
      </c>
      <c r="G160" s="3" t="s">
        <v>870</v>
      </c>
      <c r="H160" s="5">
        <v>1</v>
      </c>
      <c r="I160" s="3" t="s">
        <v>19</v>
      </c>
      <c r="J160" s="6">
        <v>15000</v>
      </c>
      <c r="K160" s="6">
        <v>0</v>
      </c>
      <c r="L160" s="6">
        <v>4527.77</v>
      </c>
      <c r="M160" s="6">
        <v>0</v>
      </c>
      <c r="N160" s="3" t="s">
        <v>19</v>
      </c>
      <c r="O160" s="6">
        <v>0</v>
      </c>
      <c r="P160" s="6">
        <f>J160-L160</f>
        <v>10472.23</v>
      </c>
    </row>
    <row r="161" spans="1:16" x14ac:dyDescent="0.25">
      <c r="A161" s="3" t="s">
        <v>1079</v>
      </c>
      <c r="B161" s="4" t="s">
        <v>1080</v>
      </c>
      <c r="C161" s="3" t="s">
        <v>19</v>
      </c>
      <c r="D161" s="3" t="s">
        <v>19</v>
      </c>
      <c r="E161" s="3" t="s">
        <v>52</v>
      </c>
      <c r="F161" s="3" t="s">
        <v>19</v>
      </c>
      <c r="G161" s="3" t="s">
        <v>904</v>
      </c>
      <c r="H161" s="5">
        <v>1</v>
      </c>
      <c r="I161" s="3" t="s">
        <v>19</v>
      </c>
      <c r="J161" s="6">
        <v>20000</v>
      </c>
      <c r="K161" s="6">
        <v>0</v>
      </c>
      <c r="L161" s="6">
        <v>10250</v>
      </c>
      <c r="M161" s="6">
        <v>0</v>
      </c>
      <c r="N161" s="3" t="s">
        <v>19</v>
      </c>
      <c r="O161" s="6">
        <v>0</v>
      </c>
      <c r="P161" s="6">
        <f>J161-L161</f>
        <v>9750</v>
      </c>
    </row>
    <row r="162" spans="1:16" x14ac:dyDescent="0.25">
      <c r="A162" s="3" t="s">
        <v>1081</v>
      </c>
      <c r="B162" s="4" t="s">
        <v>1082</v>
      </c>
      <c r="C162" s="3" t="s">
        <v>19</v>
      </c>
      <c r="D162" s="3" t="s">
        <v>19</v>
      </c>
      <c r="E162" s="3" t="s">
        <v>52</v>
      </c>
      <c r="F162" s="3" t="s">
        <v>19</v>
      </c>
      <c r="G162" s="3" t="s">
        <v>870</v>
      </c>
      <c r="H162" s="5">
        <v>1</v>
      </c>
      <c r="I162" s="3" t="s">
        <v>19</v>
      </c>
      <c r="J162" s="6">
        <v>15000</v>
      </c>
      <c r="K162" s="6">
        <v>0</v>
      </c>
      <c r="L162" s="6">
        <v>4527.77</v>
      </c>
      <c r="M162" s="6">
        <v>0</v>
      </c>
      <c r="N162" s="3" t="s">
        <v>19</v>
      </c>
      <c r="O162" s="6">
        <v>0</v>
      </c>
      <c r="P162" s="6">
        <f>J162-L162</f>
        <v>10472.23</v>
      </c>
    </row>
    <row r="163" spans="1:16" x14ac:dyDescent="0.25">
      <c r="A163" s="3" t="s">
        <v>1083</v>
      </c>
      <c r="B163" s="4" t="s">
        <v>1084</v>
      </c>
      <c r="C163" s="3" t="s">
        <v>19</v>
      </c>
      <c r="D163" s="3" t="s">
        <v>19</v>
      </c>
      <c r="E163" s="3" t="s">
        <v>52</v>
      </c>
      <c r="F163" s="3" t="s">
        <v>19</v>
      </c>
      <c r="G163" s="3" t="s">
        <v>873</v>
      </c>
      <c r="H163" s="5">
        <v>1</v>
      </c>
      <c r="I163" s="3" t="s">
        <v>19</v>
      </c>
      <c r="J163" s="6">
        <v>12000</v>
      </c>
      <c r="K163" s="6">
        <v>0</v>
      </c>
      <c r="L163" s="6">
        <v>6250</v>
      </c>
      <c r="M163" s="6">
        <v>0</v>
      </c>
      <c r="N163" s="3" t="s">
        <v>19</v>
      </c>
      <c r="O163" s="6">
        <v>0</v>
      </c>
      <c r="P163" s="6">
        <f>J163-L163</f>
        <v>5750</v>
      </c>
    </row>
    <row r="164" spans="1:16" x14ac:dyDescent="0.25">
      <c r="A164" s="3" t="s">
        <v>1085</v>
      </c>
      <c r="B164" s="4" t="s">
        <v>1086</v>
      </c>
      <c r="C164" s="3" t="s">
        <v>19</v>
      </c>
      <c r="D164" s="3" t="s">
        <v>19</v>
      </c>
      <c r="E164" s="3" t="s">
        <v>52</v>
      </c>
      <c r="F164" s="3" t="s">
        <v>19</v>
      </c>
      <c r="G164" s="3" t="s">
        <v>870</v>
      </c>
      <c r="H164" s="5">
        <v>1</v>
      </c>
      <c r="I164" s="3" t="s">
        <v>19</v>
      </c>
      <c r="J164" s="6">
        <v>15000</v>
      </c>
      <c r="K164" s="6">
        <v>0</v>
      </c>
      <c r="L164" s="6">
        <v>4527.77</v>
      </c>
      <c r="M164" s="6">
        <v>0</v>
      </c>
      <c r="N164" s="3" t="s">
        <v>19</v>
      </c>
      <c r="O164" s="6">
        <v>0</v>
      </c>
      <c r="P164" s="6">
        <f>J164-L164</f>
        <v>10472.23</v>
      </c>
    </row>
    <row r="165" spans="1:16" x14ac:dyDescent="0.25">
      <c r="A165" s="3" t="s">
        <v>1087</v>
      </c>
      <c r="B165" s="4" t="s">
        <v>1088</v>
      </c>
      <c r="C165" s="3" t="s">
        <v>19</v>
      </c>
      <c r="D165" s="3" t="s">
        <v>19</v>
      </c>
      <c r="E165" s="3" t="s">
        <v>52</v>
      </c>
      <c r="F165" s="3" t="s">
        <v>19</v>
      </c>
      <c r="G165" s="3" t="s">
        <v>870</v>
      </c>
      <c r="H165" s="5">
        <v>1</v>
      </c>
      <c r="I165" s="3" t="s">
        <v>19</v>
      </c>
      <c r="J165" s="6">
        <v>15000</v>
      </c>
      <c r="K165" s="6">
        <v>0</v>
      </c>
      <c r="L165" s="6">
        <v>4527.77</v>
      </c>
      <c r="M165" s="6">
        <v>0</v>
      </c>
      <c r="N165" s="3" t="s">
        <v>19</v>
      </c>
      <c r="O165" s="6">
        <v>0</v>
      </c>
      <c r="P165" s="6">
        <f>J165-L165</f>
        <v>10472.23</v>
      </c>
    </row>
    <row r="166" spans="1:16" x14ac:dyDescent="0.25">
      <c r="A166" s="3" t="s">
        <v>1089</v>
      </c>
      <c r="B166" s="4" t="s">
        <v>1090</v>
      </c>
      <c r="C166" s="3" t="s">
        <v>19</v>
      </c>
      <c r="D166" s="3" t="s">
        <v>19</v>
      </c>
      <c r="E166" s="3" t="s">
        <v>52</v>
      </c>
      <c r="F166" s="3" t="s">
        <v>19</v>
      </c>
      <c r="G166" s="3" t="s">
        <v>873</v>
      </c>
      <c r="H166" s="5">
        <v>1</v>
      </c>
      <c r="I166" s="3" t="s">
        <v>19</v>
      </c>
      <c r="J166" s="6">
        <v>12000</v>
      </c>
      <c r="K166" s="6">
        <v>0</v>
      </c>
      <c r="L166" s="6">
        <v>6250</v>
      </c>
      <c r="M166" s="6">
        <v>0</v>
      </c>
      <c r="N166" s="3" t="s">
        <v>19</v>
      </c>
      <c r="O166" s="6">
        <v>0</v>
      </c>
      <c r="P166" s="6">
        <f>J166-L166</f>
        <v>5750</v>
      </c>
    </row>
    <row r="167" spans="1:16" x14ac:dyDescent="0.25">
      <c r="A167" s="3" t="s">
        <v>1091</v>
      </c>
      <c r="B167" s="4" t="s">
        <v>1092</v>
      </c>
      <c r="C167" s="3" t="s">
        <v>19</v>
      </c>
      <c r="D167" s="3" t="s">
        <v>19</v>
      </c>
      <c r="E167" s="3" t="s">
        <v>52</v>
      </c>
      <c r="F167" s="3" t="s">
        <v>19</v>
      </c>
      <c r="G167" s="3" t="s">
        <v>884</v>
      </c>
      <c r="H167" s="5">
        <v>1</v>
      </c>
      <c r="I167" s="3" t="s">
        <v>19</v>
      </c>
      <c r="J167" s="6">
        <v>10000</v>
      </c>
      <c r="K167" s="6">
        <v>0</v>
      </c>
      <c r="L167" s="6">
        <v>2087.18</v>
      </c>
      <c r="M167" s="6">
        <v>0</v>
      </c>
      <c r="N167" s="3" t="s">
        <v>19</v>
      </c>
      <c r="O167" s="6">
        <v>0</v>
      </c>
      <c r="P167" s="6">
        <f>J167-L167</f>
        <v>7912.82</v>
      </c>
    </row>
    <row r="168" spans="1:16" x14ac:dyDescent="0.25">
      <c r="A168" s="3" t="s">
        <v>1093</v>
      </c>
      <c r="B168" s="4" t="s">
        <v>1094</v>
      </c>
      <c r="C168" s="3" t="s">
        <v>19</v>
      </c>
      <c r="D168" s="3" t="s">
        <v>19</v>
      </c>
      <c r="E168" s="3" t="s">
        <v>52</v>
      </c>
      <c r="F168" s="3" t="s">
        <v>19</v>
      </c>
      <c r="G168" s="3" t="s">
        <v>870</v>
      </c>
      <c r="H168" s="5">
        <v>1</v>
      </c>
      <c r="I168" s="3" t="s">
        <v>19</v>
      </c>
      <c r="J168" s="6">
        <v>15000</v>
      </c>
      <c r="K168" s="6">
        <v>0</v>
      </c>
      <c r="L168" s="6">
        <v>4527.77</v>
      </c>
      <c r="M168" s="6">
        <v>0</v>
      </c>
      <c r="N168" s="3" t="s">
        <v>19</v>
      </c>
      <c r="O168" s="6">
        <v>0</v>
      </c>
      <c r="P168" s="6">
        <f>J168-L168</f>
        <v>10472.23</v>
      </c>
    </row>
    <row r="169" spans="1:16" x14ac:dyDescent="0.25">
      <c r="A169" s="3" t="s">
        <v>1093</v>
      </c>
      <c r="B169" s="4" t="s">
        <v>1094</v>
      </c>
      <c r="C169" s="3" t="s">
        <v>19</v>
      </c>
      <c r="D169" s="3" t="s">
        <v>19</v>
      </c>
      <c r="E169" s="3" t="s">
        <v>52</v>
      </c>
      <c r="F169" s="3" t="s">
        <v>19</v>
      </c>
      <c r="G169" s="3" t="s">
        <v>884</v>
      </c>
      <c r="H169" s="5">
        <v>14</v>
      </c>
      <c r="I169" s="3" t="s">
        <v>19</v>
      </c>
      <c r="J169" s="6">
        <v>140000</v>
      </c>
      <c r="K169" s="6">
        <v>0</v>
      </c>
      <c r="L169" s="6">
        <v>29220.52</v>
      </c>
      <c r="M169" s="6">
        <v>0</v>
      </c>
      <c r="N169" s="3" t="s">
        <v>19</v>
      </c>
      <c r="O169" s="6">
        <v>0</v>
      </c>
      <c r="P169" s="6">
        <f>J169-L169</f>
        <v>110779.48</v>
      </c>
    </row>
    <row r="170" spans="1:16" x14ac:dyDescent="0.25">
      <c r="A170" s="3" t="s">
        <v>1095</v>
      </c>
      <c r="B170" s="4" t="s">
        <v>1096</v>
      </c>
      <c r="C170" s="3" t="s">
        <v>19</v>
      </c>
      <c r="D170" s="3" t="s">
        <v>19</v>
      </c>
      <c r="E170" s="3" t="s">
        <v>52</v>
      </c>
      <c r="F170" s="3" t="s">
        <v>19</v>
      </c>
      <c r="G170" s="3" t="s">
        <v>904</v>
      </c>
      <c r="H170" s="5">
        <v>1</v>
      </c>
      <c r="I170" s="3" t="s">
        <v>19</v>
      </c>
      <c r="J170" s="6">
        <v>20000</v>
      </c>
      <c r="K170" s="6">
        <v>0</v>
      </c>
      <c r="L170" s="6">
        <v>10250</v>
      </c>
      <c r="M170" s="6">
        <v>0</v>
      </c>
      <c r="N170" s="3" t="s">
        <v>19</v>
      </c>
      <c r="O170" s="6">
        <v>0</v>
      </c>
      <c r="P170" s="6">
        <f>J170-L170</f>
        <v>9750</v>
      </c>
    </row>
    <row r="171" spans="1:16" x14ac:dyDescent="0.25">
      <c r="A171" s="3" t="s">
        <v>1097</v>
      </c>
      <c r="B171" s="4" t="s">
        <v>1098</v>
      </c>
      <c r="C171" s="3" t="s">
        <v>19</v>
      </c>
      <c r="D171" s="3" t="s">
        <v>19</v>
      </c>
      <c r="E171" s="3" t="s">
        <v>52</v>
      </c>
      <c r="F171" s="3" t="s">
        <v>19</v>
      </c>
      <c r="G171" s="3" t="s">
        <v>870</v>
      </c>
      <c r="H171" s="5">
        <v>1</v>
      </c>
      <c r="I171" s="3" t="s">
        <v>19</v>
      </c>
      <c r="J171" s="6">
        <v>15000</v>
      </c>
      <c r="K171" s="6">
        <v>0</v>
      </c>
      <c r="L171" s="6">
        <v>4527.77</v>
      </c>
      <c r="M171" s="6">
        <v>0</v>
      </c>
      <c r="N171" s="3" t="s">
        <v>19</v>
      </c>
      <c r="O171" s="6">
        <v>0</v>
      </c>
      <c r="P171" s="6">
        <f>J171-L171</f>
        <v>10472.23</v>
      </c>
    </row>
    <row r="172" spans="1:16" x14ac:dyDescent="0.25">
      <c r="A172" s="3" t="s">
        <v>1099</v>
      </c>
      <c r="B172" s="4" t="s">
        <v>1100</v>
      </c>
      <c r="C172" s="3" t="s">
        <v>19</v>
      </c>
      <c r="D172" s="3" t="s">
        <v>19</v>
      </c>
      <c r="E172" s="3" t="s">
        <v>52</v>
      </c>
      <c r="F172" s="3" t="s">
        <v>19</v>
      </c>
      <c r="G172" s="3" t="s">
        <v>873</v>
      </c>
      <c r="H172" s="5">
        <v>3</v>
      </c>
      <c r="I172" s="3" t="s">
        <v>19</v>
      </c>
      <c r="J172" s="6">
        <v>36000</v>
      </c>
      <c r="K172" s="6">
        <v>0</v>
      </c>
      <c r="L172" s="6">
        <v>18750</v>
      </c>
      <c r="M172" s="6">
        <v>0</v>
      </c>
      <c r="N172" s="3" t="s">
        <v>19</v>
      </c>
      <c r="O172" s="6">
        <v>0</v>
      </c>
      <c r="P172" s="6">
        <f>J172-L172</f>
        <v>17250</v>
      </c>
    </row>
    <row r="173" spans="1:16" x14ac:dyDescent="0.25">
      <c r="A173" s="3" t="s">
        <v>1101</v>
      </c>
      <c r="B173" s="4" t="s">
        <v>1102</v>
      </c>
      <c r="C173" s="3" t="s">
        <v>19</v>
      </c>
      <c r="D173" s="3" t="s">
        <v>19</v>
      </c>
      <c r="E173" s="3" t="s">
        <v>52</v>
      </c>
      <c r="F173" s="3" t="s">
        <v>19</v>
      </c>
      <c r="G173" s="3" t="s">
        <v>899</v>
      </c>
      <c r="H173" s="5">
        <v>1</v>
      </c>
      <c r="I173" s="3" t="s">
        <v>19</v>
      </c>
      <c r="J173" s="6">
        <v>12000</v>
      </c>
      <c r="K173" s="6">
        <v>0</v>
      </c>
      <c r="L173" s="6">
        <v>6250</v>
      </c>
      <c r="M173" s="6">
        <v>0</v>
      </c>
      <c r="N173" s="3" t="s">
        <v>19</v>
      </c>
      <c r="O173" s="6">
        <v>0</v>
      </c>
      <c r="P173" s="6">
        <f>J173-L173</f>
        <v>5750</v>
      </c>
    </row>
    <row r="174" spans="1:16" x14ac:dyDescent="0.25">
      <c r="A174" s="3" t="s">
        <v>1103</v>
      </c>
      <c r="B174" s="4" t="s">
        <v>1104</v>
      </c>
      <c r="C174" s="3" t="s">
        <v>19</v>
      </c>
      <c r="D174" s="3" t="s">
        <v>19</v>
      </c>
      <c r="E174" s="3" t="s">
        <v>52</v>
      </c>
      <c r="F174" s="3" t="s">
        <v>19</v>
      </c>
      <c r="G174" s="3" t="s">
        <v>873</v>
      </c>
      <c r="H174" s="5">
        <v>1</v>
      </c>
      <c r="I174" s="3" t="s">
        <v>19</v>
      </c>
      <c r="J174" s="6">
        <v>12000</v>
      </c>
      <c r="K174" s="6">
        <v>0</v>
      </c>
      <c r="L174" s="6">
        <v>6250</v>
      </c>
      <c r="M174" s="6">
        <v>0</v>
      </c>
      <c r="N174" s="3" t="s">
        <v>19</v>
      </c>
      <c r="O174" s="6">
        <v>0</v>
      </c>
      <c r="P174" s="6">
        <f>J174-L174</f>
        <v>5750</v>
      </c>
    </row>
    <row r="175" spans="1:16" x14ac:dyDescent="0.25">
      <c r="A175" s="3" t="s">
        <v>1103</v>
      </c>
      <c r="B175" s="4" t="s">
        <v>1104</v>
      </c>
      <c r="C175" s="3" t="s">
        <v>19</v>
      </c>
      <c r="D175" s="3" t="s">
        <v>19</v>
      </c>
      <c r="E175" s="3" t="s">
        <v>52</v>
      </c>
      <c r="F175" s="3" t="s">
        <v>19</v>
      </c>
      <c r="G175" s="3" t="s">
        <v>870</v>
      </c>
      <c r="H175" s="5">
        <v>1</v>
      </c>
      <c r="I175" s="3" t="s">
        <v>19</v>
      </c>
      <c r="J175" s="6">
        <v>15000</v>
      </c>
      <c r="K175" s="6">
        <v>0</v>
      </c>
      <c r="L175" s="6">
        <v>4527.77</v>
      </c>
      <c r="M175" s="6">
        <v>0</v>
      </c>
      <c r="N175" s="3" t="s">
        <v>19</v>
      </c>
      <c r="O175" s="6">
        <v>0</v>
      </c>
      <c r="P175" s="6">
        <f>J175-L175</f>
        <v>10472.23</v>
      </c>
    </row>
    <row r="176" ht="18" customHeight="1" spans="1:16" x14ac:dyDescent="0.25">
      <c r="A176" s="7" t="s">
        <v>34</v>
      </c>
      <c r="B176" s="7"/>
      <c r="C176" s="7"/>
      <c r="D176" s="7"/>
      <c r="E176" s="7"/>
      <c r="F176" s="7"/>
      <c r="G176" s="7"/>
      <c r="H176" s="8">
        <f>SUM(H153:H175)</f>
        <v>38</v>
      </c>
      <c r="I176" s="7"/>
      <c r="J176" s="9">
        <f>SUM(J153:J175)</f>
        <v>464000</v>
      </c>
      <c r="K176" s="9">
        <f>SUM(K153:K175)</f>
        <v>0</v>
      </c>
      <c r="L176" s="9">
        <f>SUM(L153:L175)</f>
        <v>149184.12000000002</v>
      </c>
      <c r="M176" s="9">
        <f>SUM(M153:M175)</f>
        <v>0</v>
      </c>
      <c r="N176" s="7"/>
      <c r="O176" s="9">
        <f>SUM(O153:O175)</f>
        <v>0</v>
      </c>
      <c r="P176" s="9">
        <f>SUM(P153:P175)</f>
        <v>314815.87999999995</v>
      </c>
    </row>
    <row r="180" ht="15.75" customHeight="1" spans="1:16" x14ac:dyDescent="0.25">
      <c r="A180" s="1" t="s">
        <v>65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39.4" customHeight="1" spans="1:16" x14ac:dyDescent="0.25">
      <c r="A181" s="2" t="s">
        <v>1</v>
      </c>
      <c r="B181" s="2" t="s">
        <v>2</v>
      </c>
      <c r="C181" s="2" t="s">
        <v>3</v>
      </c>
      <c r="D181" s="2" t="s">
        <v>4</v>
      </c>
      <c r="E181" s="2" t="s">
        <v>5</v>
      </c>
      <c r="F181" s="2" t="s">
        <v>6</v>
      </c>
      <c r="G181" s="2" t="s">
        <v>7</v>
      </c>
      <c r="H181" s="2" t="s">
        <v>8</v>
      </c>
      <c r="I181" s="2" t="s">
        <v>9</v>
      </c>
      <c r="J181" s="2" t="s">
        <v>10</v>
      </c>
      <c r="K181" s="2" t="s">
        <v>11</v>
      </c>
      <c r="L181" s="2" t="s">
        <v>12</v>
      </c>
      <c r="M181" s="2" t="s">
        <v>13</v>
      </c>
      <c r="N181" s="2" t="s">
        <v>14</v>
      </c>
      <c r="O181" s="2" t="s">
        <v>15</v>
      </c>
      <c r="P181" s="2" t="s">
        <v>16</v>
      </c>
    </row>
    <row r="182" spans="1:16" x14ac:dyDescent="0.25">
      <c r="A182" s="3" t="s">
        <v>347</v>
      </c>
      <c r="B182" s="4" t="s">
        <v>348</v>
      </c>
      <c r="C182" s="3" t="s">
        <v>19</v>
      </c>
      <c r="D182" s="3" t="s">
        <v>19</v>
      </c>
      <c r="E182" s="3" t="s">
        <v>20</v>
      </c>
      <c r="F182" s="3" t="s">
        <v>19</v>
      </c>
      <c r="G182" s="3" t="s">
        <v>873</v>
      </c>
      <c r="H182" s="5">
        <v>1</v>
      </c>
      <c r="I182" s="3" t="s">
        <v>19</v>
      </c>
      <c r="J182" s="6">
        <v>12000</v>
      </c>
      <c r="K182" s="6">
        <v>0</v>
      </c>
      <c r="L182" s="6">
        <v>6250</v>
      </c>
      <c r="M182" s="6">
        <v>0</v>
      </c>
      <c r="N182" s="3" t="s">
        <v>19</v>
      </c>
      <c r="O182" s="6">
        <v>0</v>
      </c>
      <c r="P182" s="6">
        <f>J182-L182</f>
        <v>5750</v>
      </c>
    </row>
    <row r="183" spans="1:16" x14ac:dyDescent="0.25">
      <c r="A183" s="3" t="s">
        <v>1105</v>
      </c>
      <c r="B183" s="4" t="s">
        <v>1106</v>
      </c>
      <c r="C183" s="3" t="s">
        <v>19</v>
      </c>
      <c r="D183" s="3" t="s">
        <v>19</v>
      </c>
      <c r="E183" s="3" t="s">
        <v>20</v>
      </c>
      <c r="F183" s="3" t="s">
        <v>19</v>
      </c>
      <c r="G183" s="3" t="s">
        <v>884</v>
      </c>
      <c r="H183" s="5">
        <v>1</v>
      </c>
      <c r="I183" s="3" t="s">
        <v>19</v>
      </c>
      <c r="J183" s="6">
        <v>10000</v>
      </c>
      <c r="K183" s="6">
        <v>0</v>
      </c>
      <c r="L183" s="6">
        <v>2087.18</v>
      </c>
      <c r="M183" s="6">
        <v>0</v>
      </c>
      <c r="N183" s="3" t="s">
        <v>19</v>
      </c>
      <c r="O183" s="6">
        <v>0</v>
      </c>
      <c r="P183" s="6">
        <f>J183-L183</f>
        <v>7912.82</v>
      </c>
    </row>
    <row r="184" spans="1:16" x14ac:dyDescent="0.25">
      <c r="A184" s="3" t="s">
        <v>1107</v>
      </c>
      <c r="B184" s="4" t="s">
        <v>1108</v>
      </c>
      <c r="C184" s="3" t="s">
        <v>19</v>
      </c>
      <c r="D184" s="3" t="s">
        <v>19</v>
      </c>
      <c r="E184" s="3" t="s">
        <v>20</v>
      </c>
      <c r="F184" s="3" t="s">
        <v>19</v>
      </c>
      <c r="G184" s="3" t="s">
        <v>873</v>
      </c>
      <c r="H184" s="5">
        <v>1</v>
      </c>
      <c r="I184" s="3" t="s">
        <v>19</v>
      </c>
      <c r="J184" s="6">
        <v>12000</v>
      </c>
      <c r="K184" s="6">
        <v>0</v>
      </c>
      <c r="L184" s="6">
        <v>6250</v>
      </c>
      <c r="M184" s="6">
        <v>0</v>
      </c>
      <c r="N184" s="3" t="s">
        <v>19</v>
      </c>
      <c r="O184" s="6">
        <v>0</v>
      </c>
      <c r="P184" s="6">
        <f>J184-L184</f>
        <v>5750</v>
      </c>
    </row>
    <row r="185" spans="1:16" x14ac:dyDescent="0.25">
      <c r="A185" s="3" t="s">
        <v>1109</v>
      </c>
      <c r="B185" s="4" t="s">
        <v>1110</v>
      </c>
      <c r="C185" s="3" t="s">
        <v>19</v>
      </c>
      <c r="D185" s="3" t="s">
        <v>19</v>
      </c>
      <c r="E185" s="3" t="s">
        <v>20</v>
      </c>
      <c r="F185" s="3" t="s">
        <v>19</v>
      </c>
      <c r="G185" s="3" t="s">
        <v>870</v>
      </c>
      <c r="H185" s="5">
        <v>1</v>
      </c>
      <c r="I185" s="3" t="s">
        <v>19</v>
      </c>
      <c r="J185" s="6">
        <v>15000</v>
      </c>
      <c r="K185" s="6">
        <v>0</v>
      </c>
      <c r="L185" s="6">
        <v>4527.77</v>
      </c>
      <c r="M185" s="6">
        <v>0</v>
      </c>
      <c r="N185" s="3" t="s">
        <v>19</v>
      </c>
      <c r="O185" s="6">
        <v>0</v>
      </c>
      <c r="P185" s="6">
        <f>J185-L185</f>
        <v>10472.23</v>
      </c>
    </row>
    <row r="186" spans="1:16" x14ac:dyDescent="0.25">
      <c r="A186" s="3" t="s">
        <v>1111</v>
      </c>
      <c r="B186" s="4" t="s">
        <v>1112</v>
      </c>
      <c r="C186" s="3" t="s">
        <v>19</v>
      </c>
      <c r="D186" s="3" t="s">
        <v>19</v>
      </c>
      <c r="E186" s="3" t="s">
        <v>20</v>
      </c>
      <c r="F186" s="3" t="s">
        <v>19</v>
      </c>
      <c r="G186" s="3" t="s">
        <v>870</v>
      </c>
      <c r="H186" s="5">
        <v>1</v>
      </c>
      <c r="I186" s="3" t="s">
        <v>19</v>
      </c>
      <c r="J186" s="6">
        <v>15000</v>
      </c>
      <c r="K186" s="6">
        <v>0</v>
      </c>
      <c r="L186" s="6">
        <v>4527.77</v>
      </c>
      <c r="M186" s="6">
        <v>0</v>
      </c>
      <c r="N186" s="3" t="s">
        <v>19</v>
      </c>
      <c r="O186" s="6">
        <v>0</v>
      </c>
      <c r="P186" s="6">
        <f>J186-L186</f>
        <v>10472.23</v>
      </c>
    </row>
    <row r="187" spans="1:16" x14ac:dyDescent="0.25">
      <c r="A187" s="3" t="s">
        <v>1113</v>
      </c>
      <c r="B187" s="4" t="s">
        <v>1114</v>
      </c>
      <c r="C187" s="3" t="s">
        <v>19</v>
      </c>
      <c r="D187" s="3" t="s">
        <v>19</v>
      </c>
      <c r="E187" s="3" t="s">
        <v>20</v>
      </c>
      <c r="F187" s="3" t="s">
        <v>19</v>
      </c>
      <c r="G187" s="3" t="s">
        <v>873</v>
      </c>
      <c r="H187" s="5">
        <v>3</v>
      </c>
      <c r="I187" s="3" t="s">
        <v>19</v>
      </c>
      <c r="J187" s="6">
        <v>36000</v>
      </c>
      <c r="K187" s="6">
        <v>0</v>
      </c>
      <c r="L187" s="6">
        <v>18750</v>
      </c>
      <c r="M187" s="6">
        <v>0</v>
      </c>
      <c r="N187" s="3" t="s">
        <v>19</v>
      </c>
      <c r="O187" s="6">
        <v>0</v>
      </c>
      <c r="P187" s="6">
        <f>J187-L187</f>
        <v>17250</v>
      </c>
    </row>
    <row r="188" spans="1:16" x14ac:dyDescent="0.25">
      <c r="A188" s="3" t="s">
        <v>1115</v>
      </c>
      <c r="B188" s="4" t="s">
        <v>1116</v>
      </c>
      <c r="C188" s="3" t="s">
        <v>19</v>
      </c>
      <c r="D188" s="3" t="s">
        <v>19</v>
      </c>
      <c r="E188" s="3" t="s">
        <v>20</v>
      </c>
      <c r="F188" s="3" t="s">
        <v>19</v>
      </c>
      <c r="G188" s="3" t="s">
        <v>884</v>
      </c>
      <c r="H188" s="5">
        <v>1</v>
      </c>
      <c r="I188" s="3" t="s">
        <v>19</v>
      </c>
      <c r="J188" s="6">
        <v>10000</v>
      </c>
      <c r="K188" s="6">
        <v>0</v>
      </c>
      <c r="L188" s="6">
        <v>2087.18</v>
      </c>
      <c r="M188" s="6">
        <v>0</v>
      </c>
      <c r="N188" s="3" t="s">
        <v>19</v>
      </c>
      <c r="O188" s="6">
        <v>0</v>
      </c>
      <c r="P188" s="6">
        <f>J188-L188</f>
        <v>7912.82</v>
      </c>
    </row>
    <row r="189" spans="1:16" x14ac:dyDescent="0.25">
      <c r="A189" s="3" t="s">
        <v>367</v>
      </c>
      <c r="B189" s="4" t="s">
        <v>368</v>
      </c>
      <c r="C189" s="3" t="s">
        <v>19</v>
      </c>
      <c r="D189" s="3" t="s">
        <v>19</v>
      </c>
      <c r="E189" s="3" t="s">
        <v>20</v>
      </c>
      <c r="F189" s="3" t="s">
        <v>19</v>
      </c>
      <c r="G189" s="3" t="s">
        <v>899</v>
      </c>
      <c r="H189" s="5">
        <v>1</v>
      </c>
      <c r="I189" s="3" t="s">
        <v>19</v>
      </c>
      <c r="J189" s="6">
        <v>12000</v>
      </c>
      <c r="K189" s="6">
        <v>0</v>
      </c>
      <c r="L189" s="6">
        <v>6250</v>
      </c>
      <c r="M189" s="6">
        <v>0</v>
      </c>
      <c r="N189" s="3" t="s">
        <v>19</v>
      </c>
      <c r="O189" s="6">
        <v>0</v>
      </c>
      <c r="P189" s="6">
        <f>J189-L189</f>
        <v>5750</v>
      </c>
    </row>
    <row r="190" spans="1:16" x14ac:dyDescent="0.25">
      <c r="A190" s="3" t="s">
        <v>367</v>
      </c>
      <c r="B190" s="4" t="s">
        <v>368</v>
      </c>
      <c r="C190" s="3" t="s">
        <v>19</v>
      </c>
      <c r="D190" s="3" t="s">
        <v>19</v>
      </c>
      <c r="E190" s="3" t="s">
        <v>20</v>
      </c>
      <c r="F190" s="3" t="s">
        <v>19</v>
      </c>
      <c r="G190" s="3" t="s">
        <v>870</v>
      </c>
      <c r="H190" s="5">
        <v>1</v>
      </c>
      <c r="I190" s="3" t="s">
        <v>19</v>
      </c>
      <c r="J190" s="6">
        <v>15000</v>
      </c>
      <c r="K190" s="6">
        <v>0</v>
      </c>
      <c r="L190" s="6">
        <v>4527.77</v>
      </c>
      <c r="M190" s="6">
        <v>0</v>
      </c>
      <c r="N190" s="3" t="s">
        <v>19</v>
      </c>
      <c r="O190" s="6">
        <v>0</v>
      </c>
      <c r="P190" s="6">
        <f>J190-L190</f>
        <v>10472.23</v>
      </c>
    </row>
    <row r="191" spans="1:16" x14ac:dyDescent="0.25">
      <c r="A191" s="3" t="s">
        <v>1117</v>
      </c>
      <c r="B191" s="4" t="s">
        <v>1118</v>
      </c>
      <c r="C191" s="3" t="s">
        <v>19</v>
      </c>
      <c r="D191" s="3" t="s">
        <v>19</v>
      </c>
      <c r="E191" s="3" t="s">
        <v>20</v>
      </c>
      <c r="F191" s="3" t="s">
        <v>19</v>
      </c>
      <c r="G191" s="3" t="s">
        <v>870</v>
      </c>
      <c r="H191" s="5">
        <v>1</v>
      </c>
      <c r="I191" s="3" t="s">
        <v>19</v>
      </c>
      <c r="J191" s="6">
        <v>15000</v>
      </c>
      <c r="K191" s="6">
        <v>0</v>
      </c>
      <c r="L191" s="6">
        <v>4527.77</v>
      </c>
      <c r="M191" s="6">
        <v>0</v>
      </c>
      <c r="N191" s="3" t="s">
        <v>19</v>
      </c>
      <c r="O191" s="6">
        <v>0</v>
      </c>
      <c r="P191" s="6">
        <f>J191-L191</f>
        <v>10472.23</v>
      </c>
    </row>
    <row r="192" spans="1:16" x14ac:dyDescent="0.25">
      <c r="A192" s="3" t="s">
        <v>1119</v>
      </c>
      <c r="B192" s="4" t="s">
        <v>1120</v>
      </c>
      <c r="C192" s="3" t="s">
        <v>19</v>
      </c>
      <c r="D192" s="3" t="s">
        <v>19</v>
      </c>
      <c r="E192" s="3" t="s">
        <v>20</v>
      </c>
      <c r="F192" s="3" t="s">
        <v>19</v>
      </c>
      <c r="G192" s="3" t="s">
        <v>884</v>
      </c>
      <c r="H192" s="5">
        <v>1</v>
      </c>
      <c r="I192" s="3" t="s">
        <v>19</v>
      </c>
      <c r="J192" s="6">
        <v>10000</v>
      </c>
      <c r="K192" s="6">
        <v>0</v>
      </c>
      <c r="L192" s="6">
        <v>2087.18</v>
      </c>
      <c r="M192" s="6">
        <v>0</v>
      </c>
      <c r="N192" s="3" t="s">
        <v>19</v>
      </c>
      <c r="O192" s="6">
        <v>0</v>
      </c>
      <c r="P192" s="6">
        <f>J192-L192</f>
        <v>7912.82</v>
      </c>
    </row>
    <row r="193" spans="1:16" x14ac:dyDescent="0.25">
      <c r="A193" s="3" t="s">
        <v>1121</v>
      </c>
      <c r="B193" s="4" t="s">
        <v>1122</v>
      </c>
      <c r="C193" s="3" t="s">
        <v>19</v>
      </c>
      <c r="D193" s="3" t="s">
        <v>19</v>
      </c>
      <c r="E193" s="3" t="s">
        <v>20</v>
      </c>
      <c r="F193" s="3" t="s">
        <v>19</v>
      </c>
      <c r="G193" s="3" t="s">
        <v>884</v>
      </c>
      <c r="H193" s="5">
        <v>3</v>
      </c>
      <c r="I193" s="3" t="s">
        <v>19</v>
      </c>
      <c r="J193" s="6">
        <v>30000</v>
      </c>
      <c r="K193" s="6">
        <v>0</v>
      </c>
      <c r="L193" s="6">
        <v>6261.54</v>
      </c>
      <c r="M193" s="6">
        <v>0</v>
      </c>
      <c r="N193" s="3" t="s">
        <v>19</v>
      </c>
      <c r="O193" s="6">
        <v>0</v>
      </c>
      <c r="P193" s="6">
        <f>J193-L193</f>
        <v>23738.46</v>
      </c>
    </row>
    <row r="194" spans="1:16" x14ac:dyDescent="0.25">
      <c r="A194" s="3" t="s">
        <v>369</v>
      </c>
      <c r="B194" s="4" t="s">
        <v>370</v>
      </c>
      <c r="C194" s="3" t="s">
        <v>19</v>
      </c>
      <c r="D194" s="3" t="s">
        <v>19</v>
      </c>
      <c r="E194" s="3" t="s">
        <v>20</v>
      </c>
      <c r="F194" s="3" t="s">
        <v>19</v>
      </c>
      <c r="G194" s="3" t="s">
        <v>870</v>
      </c>
      <c r="H194" s="5">
        <v>1</v>
      </c>
      <c r="I194" s="3" t="s">
        <v>19</v>
      </c>
      <c r="J194" s="6">
        <v>15000</v>
      </c>
      <c r="K194" s="6">
        <v>0</v>
      </c>
      <c r="L194" s="6">
        <v>4527.77</v>
      </c>
      <c r="M194" s="6">
        <v>0</v>
      </c>
      <c r="N194" s="3" t="s">
        <v>19</v>
      </c>
      <c r="O194" s="6">
        <v>0</v>
      </c>
      <c r="P194" s="6">
        <f>J194-L194</f>
        <v>10472.23</v>
      </c>
    </row>
    <row r="195" spans="1:16" x14ac:dyDescent="0.25">
      <c r="A195" s="3" t="s">
        <v>1123</v>
      </c>
      <c r="B195" s="4" t="s">
        <v>1124</v>
      </c>
      <c r="C195" s="3" t="s">
        <v>19</v>
      </c>
      <c r="D195" s="3" t="s">
        <v>19</v>
      </c>
      <c r="E195" s="3" t="s">
        <v>20</v>
      </c>
      <c r="F195" s="3" t="s">
        <v>19</v>
      </c>
      <c r="G195" s="3" t="s">
        <v>870</v>
      </c>
      <c r="H195" s="5">
        <v>1</v>
      </c>
      <c r="I195" s="3" t="s">
        <v>19</v>
      </c>
      <c r="J195" s="6">
        <v>15000</v>
      </c>
      <c r="K195" s="6">
        <v>0</v>
      </c>
      <c r="L195" s="6">
        <v>4527.77</v>
      </c>
      <c r="M195" s="6">
        <v>0</v>
      </c>
      <c r="N195" s="3" t="s">
        <v>19</v>
      </c>
      <c r="O195" s="6">
        <v>0</v>
      </c>
      <c r="P195" s="6">
        <f>J195-L195</f>
        <v>10472.23</v>
      </c>
    </row>
    <row r="196" spans="1:16" x14ac:dyDescent="0.25">
      <c r="A196" s="3" t="s">
        <v>1125</v>
      </c>
      <c r="B196" s="4" t="s">
        <v>1126</v>
      </c>
      <c r="C196" s="3" t="s">
        <v>19</v>
      </c>
      <c r="D196" s="3" t="s">
        <v>19</v>
      </c>
      <c r="E196" s="3" t="s">
        <v>20</v>
      </c>
      <c r="F196" s="3" t="s">
        <v>19</v>
      </c>
      <c r="G196" s="3" t="s">
        <v>899</v>
      </c>
      <c r="H196" s="5">
        <v>1</v>
      </c>
      <c r="I196" s="3" t="s">
        <v>19</v>
      </c>
      <c r="J196" s="6">
        <v>12000</v>
      </c>
      <c r="K196" s="6">
        <v>0</v>
      </c>
      <c r="L196" s="6">
        <v>6250</v>
      </c>
      <c r="M196" s="6">
        <v>0</v>
      </c>
      <c r="N196" s="3" t="s">
        <v>19</v>
      </c>
      <c r="O196" s="6">
        <v>0</v>
      </c>
      <c r="P196" s="6">
        <f>J196-L196</f>
        <v>5750</v>
      </c>
    </row>
    <row r="197" spans="1:16" x14ac:dyDescent="0.25">
      <c r="A197" s="3" t="s">
        <v>387</v>
      </c>
      <c r="B197" s="4" t="s">
        <v>388</v>
      </c>
      <c r="C197" s="3" t="s">
        <v>19</v>
      </c>
      <c r="D197" s="3" t="s">
        <v>19</v>
      </c>
      <c r="E197" s="3" t="s">
        <v>20</v>
      </c>
      <c r="F197" s="3" t="s">
        <v>19</v>
      </c>
      <c r="G197" s="3" t="s">
        <v>899</v>
      </c>
      <c r="H197" s="5">
        <v>1</v>
      </c>
      <c r="I197" s="3" t="s">
        <v>19</v>
      </c>
      <c r="J197" s="6">
        <v>12000</v>
      </c>
      <c r="K197" s="6">
        <v>0</v>
      </c>
      <c r="L197" s="6">
        <v>6250</v>
      </c>
      <c r="M197" s="6">
        <v>0</v>
      </c>
      <c r="N197" s="3" t="s">
        <v>19</v>
      </c>
      <c r="O197" s="6">
        <v>0</v>
      </c>
      <c r="P197" s="6">
        <f>J197-L197</f>
        <v>5750</v>
      </c>
    </row>
    <row r="198" spans="1:16" x14ac:dyDescent="0.25">
      <c r="A198" s="3" t="s">
        <v>1127</v>
      </c>
      <c r="B198" s="4" t="s">
        <v>1128</v>
      </c>
      <c r="C198" s="3" t="s">
        <v>19</v>
      </c>
      <c r="D198" s="3" t="s">
        <v>19</v>
      </c>
      <c r="E198" s="3" t="s">
        <v>20</v>
      </c>
      <c r="F198" s="3" t="s">
        <v>19</v>
      </c>
      <c r="G198" s="3" t="s">
        <v>884</v>
      </c>
      <c r="H198" s="5">
        <v>6</v>
      </c>
      <c r="I198" s="3" t="s">
        <v>19</v>
      </c>
      <c r="J198" s="6">
        <v>60000</v>
      </c>
      <c r="K198" s="6">
        <v>0</v>
      </c>
      <c r="L198" s="6">
        <v>12523.08</v>
      </c>
      <c r="M198" s="6">
        <v>0</v>
      </c>
      <c r="N198" s="3" t="s">
        <v>19</v>
      </c>
      <c r="O198" s="6">
        <v>0</v>
      </c>
      <c r="P198" s="6">
        <f>J198-L198</f>
        <v>47476.92</v>
      </c>
    </row>
    <row r="199" spans="1:16" x14ac:dyDescent="0.25">
      <c r="A199" s="3" t="s">
        <v>1127</v>
      </c>
      <c r="B199" s="4" t="s">
        <v>1128</v>
      </c>
      <c r="C199" s="3" t="s">
        <v>19</v>
      </c>
      <c r="D199" s="3" t="s">
        <v>19</v>
      </c>
      <c r="E199" s="3" t="s">
        <v>20</v>
      </c>
      <c r="F199" s="3" t="s">
        <v>19</v>
      </c>
      <c r="G199" s="3" t="s">
        <v>873</v>
      </c>
      <c r="H199" s="5">
        <v>6</v>
      </c>
      <c r="I199" s="3" t="s">
        <v>19</v>
      </c>
      <c r="J199" s="6">
        <v>72000</v>
      </c>
      <c r="K199" s="6">
        <v>0</v>
      </c>
      <c r="L199" s="6">
        <v>37500</v>
      </c>
      <c r="M199" s="6">
        <v>0</v>
      </c>
      <c r="N199" s="3" t="s">
        <v>19</v>
      </c>
      <c r="O199" s="6">
        <v>0</v>
      </c>
      <c r="P199" s="6">
        <f>J199-L199</f>
        <v>34500</v>
      </c>
    </row>
    <row r="200" spans="1:16" x14ac:dyDescent="0.25">
      <c r="A200" s="3" t="s">
        <v>1129</v>
      </c>
      <c r="B200" s="4" t="s">
        <v>1130</v>
      </c>
      <c r="C200" s="3" t="s">
        <v>19</v>
      </c>
      <c r="D200" s="3" t="s">
        <v>19</v>
      </c>
      <c r="E200" s="3" t="s">
        <v>52</v>
      </c>
      <c r="F200" s="3" t="s">
        <v>19</v>
      </c>
      <c r="G200" s="3" t="s">
        <v>899</v>
      </c>
      <c r="H200" s="5">
        <v>4</v>
      </c>
      <c r="I200" s="3" t="s">
        <v>19</v>
      </c>
      <c r="J200" s="6">
        <v>48000</v>
      </c>
      <c r="K200" s="6">
        <v>0</v>
      </c>
      <c r="L200" s="6">
        <v>25000</v>
      </c>
      <c r="M200" s="6">
        <v>0</v>
      </c>
      <c r="N200" s="3" t="s">
        <v>19</v>
      </c>
      <c r="O200" s="6">
        <v>0</v>
      </c>
      <c r="P200" s="6">
        <f>J200-L200</f>
        <v>23000</v>
      </c>
    </row>
    <row r="201" spans="1:16" x14ac:dyDescent="0.25">
      <c r="A201" s="3" t="s">
        <v>1131</v>
      </c>
      <c r="B201" s="4" t="s">
        <v>1132</v>
      </c>
      <c r="C201" s="3" t="s">
        <v>19</v>
      </c>
      <c r="D201" s="3" t="s">
        <v>19</v>
      </c>
      <c r="E201" s="3" t="s">
        <v>52</v>
      </c>
      <c r="F201" s="3" t="s">
        <v>19</v>
      </c>
      <c r="G201" s="3" t="s">
        <v>884</v>
      </c>
      <c r="H201" s="5">
        <v>3</v>
      </c>
      <c r="I201" s="3" t="s">
        <v>19</v>
      </c>
      <c r="J201" s="6">
        <v>30000</v>
      </c>
      <c r="K201" s="6">
        <v>0</v>
      </c>
      <c r="L201" s="6">
        <v>6261.54</v>
      </c>
      <c r="M201" s="6">
        <v>0</v>
      </c>
      <c r="N201" s="3" t="s">
        <v>19</v>
      </c>
      <c r="O201" s="6">
        <v>0</v>
      </c>
      <c r="P201" s="6">
        <f>J201-L201</f>
        <v>23738.46</v>
      </c>
    </row>
    <row r="202" spans="1:16" x14ac:dyDescent="0.25">
      <c r="A202" s="3" t="s">
        <v>1133</v>
      </c>
      <c r="B202" s="4" t="s">
        <v>1134</v>
      </c>
      <c r="C202" s="3" t="s">
        <v>19</v>
      </c>
      <c r="D202" s="3" t="s">
        <v>19</v>
      </c>
      <c r="E202" s="3" t="s">
        <v>52</v>
      </c>
      <c r="F202" s="3" t="s">
        <v>19</v>
      </c>
      <c r="G202" s="3" t="s">
        <v>873</v>
      </c>
      <c r="H202" s="5">
        <v>1</v>
      </c>
      <c r="I202" s="3" t="s">
        <v>19</v>
      </c>
      <c r="J202" s="6">
        <v>12000</v>
      </c>
      <c r="K202" s="6">
        <v>0</v>
      </c>
      <c r="L202" s="6">
        <v>6250</v>
      </c>
      <c r="M202" s="6">
        <v>0</v>
      </c>
      <c r="N202" s="3" t="s">
        <v>19</v>
      </c>
      <c r="O202" s="6">
        <v>0</v>
      </c>
      <c r="P202" s="6">
        <f>J202-L202</f>
        <v>5750</v>
      </c>
    </row>
    <row r="203" spans="1:16" x14ac:dyDescent="0.25">
      <c r="A203" s="3" t="s">
        <v>1135</v>
      </c>
      <c r="B203" s="4" t="s">
        <v>1136</v>
      </c>
      <c r="C203" s="3" t="s">
        <v>19</v>
      </c>
      <c r="D203" s="3" t="s">
        <v>19</v>
      </c>
      <c r="E203" s="3" t="s">
        <v>52</v>
      </c>
      <c r="F203" s="3" t="s">
        <v>19</v>
      </c>
      <c r="G203" s="3" t="s">
        <v>870</v>
      </c>
      <c r="H203" s="5">
        <v>2</v>
      </c>
      <c r="I203" s="3" t="s">
        <v>19</v>
      </c>
      <c r="J203" s="6">
        <v>30000</v>
      </c>
      <c r="K203" s="6">
        <v>0</v>
      </c>
      <c r="L203" s="6">
        <v>9055.54</v>
      </c>
      <c r="M203" s="6">
        <v>0</v>
      </c>
      <c r="N203" s="3" t="s">
        <v>19</v>
      </c>
      <c r="O203" s="6">
        <v>0</v>
      </c>
      <c r="P203" s="6">
        <f>J203-L203</f>
        <v>20944.46</v>
      </c>
    </row>
    <row r="204" spans="1:16" x14ac:dyDescent="0.25">
      <c r="A204" s="3" t="s">
        <v>1137</v>
      </c>
      <c r="B204" s="4" t="s">
        <v>1138</v>
      </c>
      <c r="C204" s="3" t="s">
        <v>19</v>
      </c>
      <c r="D204" s="3" t="s">
        <v>19</v>
      </c>
      <c r="E204" s="3" t="s">
        <v>52</v>
      </c>
      <c r="F204" s="3" t="s">
        <v>19</v>
      </c>
      <c r="G204" s="3" t="s">
        <v>884</v>
      </c>
      <c r="H204" s="5">
        <v>4</v>
      </c>
      <c r="I204" s="3" t="s">
        <v>19</v>
      </c>
      <c r="J204" s="6">
        <v>40000</v>
      </c>
      <c r="K204" s="6">
        <v>0</v>
      </c>
      <c r="L204" s="6">
        <v>8348.72</v>
      </c>
      <c r="M204" s="6">
        <v>0</v>
      </c>
      <c r="N204" s="3" t="s">
        <v>19</v>
      </c>
      <c r="O204" s="6">
        <v>0</v>
      </c>
      <c r="P204" s="6">
        <f>J204-L204</f>
        <v>31651.28</v>
      </c>
    </row>
    <row r="205" spans="1:16" x14ac:dyDescent="0.25">
      <c r="A205" s="3" t="s">
        <v>1139</v>
      </c>
      <c r="B205" s="4" t="s">
        <v>1140</v>
      </c>
      <c r="C205" s="3" t="s">
        <v>19</v>
      </c>
      <c r="D205" s="3" t="s">
        <v>19</v>
      </c>
      <c r="E205" s="3" t="s">
        <v>52</v>
      </c>
      <c r="F205" s="3" t="s">
        <v>19</v>
      </c>
      <c r="G205" s="3" t="s">
        <v>870</v>
      </c>
      <c r="H205" s="5">
        <v>1</v>
      </c>
      <c r="I205" s="3" t="s">
        <v>19</v>
      </c>
      <c r="J205" s="6">
        <v>15000</v>
      </c>
      <c r="K205" s="6">
        <v>0</v>
      </c>
      <c r="L205" s="6">
        <v>4527.77</v>
      </c>
      <c r="M205" s="6">
        <v>0</v>
      </c>
      <c r="N205" s="3" t="s">
        <v>19</v>
      </c>
      <c r="O205" s="6">
        <v>0</v>
      </c>
      <c r="P205" s="6">
        <f>J205-L205</f>
        <v>10472.23</v>
      </c>
    </row>
    <row r="206" spans="1:16" x14ac:dyDescent="0.25">
      <c r="A206" s="3" t="s">
        <v>1141</v>
      </c>
      <c r="B206" s="4" t="s">
        <v>1142</v>
      </c>
      <c r="C206" s="3" t="s">
        <v>19</v>
      </c>
      <c r="D206" s="3" t="s">
        <v>19</v>
      </c>
      <c r="E206" s="3" t="s">
        <v>52</v>
      </c>
      <c r="F206" s="3" t="s">
        <v>19</v>
      </c>
      <c r="G206" s="3" t="s">
        <v>884</v>
      </c>
      <c r="H206" s="5">
        <v>1</v>
      </c>
      <c r="I206" s="3" t="s">
        <v>19</v>
      </c>
      <c r="J206" s="6">
        <v>10000</v>
      </c>
      <c r="K206" s="6">
        <v>0</v>
      </c>
      <c r="L206" s="6">
        <v>2087.18</v>
      </c>
      <c r="M206" s="6">
        <v>0</v>
      </c>
      <c r="N206" s="3" t="s">
        <v>19</v>
      </c>
      <c r="O206" s="6">
        <v>0</v>
      </c>
      <c r="P206" s="6">
        <f>J206-L206</f>
        <v>7912.82</v>
      </c>
    </row>
    <row r="207" spans="1:16" x14ac:dyDescent="0.25">
      <c r="A207" s="3" t="s">
        <v>1143</v>
      </c>
      <c r="B207" s="4" t="s">
        <v>1144</v>
      </c>
      <c r="C207" s="3" t="s">
        <v>19</v>
      </c>
      <c r="D207" s="3" t="s">
        <v>19</v>
      </c>
      <c r="E207" s="3" t="s">
        <v>52</v>
      </c>
      <c r="F207" s="3" t="s">
        <v>19</v>
      </c>
      <c r="G207" s="3" t="s">
        <v>884</v>
      </c>
      <c r="H207" s="5">
        <v>1</v>
      </c>
      <c r="I207" s="3" t="s">
        <v>19</v>
      </c>
      <c r="J207" s="6">
        <v>10000</v>
      </c>
      <c r="K207" s="6">
        <v>0</v>
      </c>
      <c r="L207" s="6">
        <v>2087.18</v>
      </c>
      <c r="M207" s="6">
        <v>0</v>
      </c>
      <c r="N207" s="3" t="s">
        <v>19</v>
      </c>
      <c r="O207" s="6">
        <v>0</v>
      </c>
      <c r="P207" s="6">
        <f>J207-L207</f>
        <v>7912.82</v>
      </c>
    </row>
    <row r="208" ht="18" customHeight="1" spans="1:16" x14ac:dyDescent="0.25">
      <c r="A208" s="7" t="s">
        <v>34</v>
      </c>
      <c r="B208" s="7"/>
      <c r="C208" s="7"/>
      <c r="D208" s="7"/>
      <c r="E208" s="7"/>
      <c r="F208" s="7"/>
      <c r="G208" s="7"/>
      <c r="H208" s="8">
        <f>SUM(H182:H207)</f>
        <v>49</v>
      </c>
      <c r="I208" s="7"/>
      <c r="J208" s="9">
        <f>SUM(J182:J207)</f>
        <v>573000</v>
      </c>
      <c r="K208" s="9">
        <f>SUM(K182:K207)</f>
        <v>0</v>
      </c>
      <c r="L208" s="9">
        <f>SUM(L182:L207)</f>
        <v>203330.71000000002</v>
      </c>
      <c r="M208" s="9">
        <f>SUM(M182:M207)</f>
        <v>0</v>
      </c>
      <c r="N208" s="7"/>
      <c r="O208" s="9">
        <f>SUM(O182:O207)</f>
        <v>0</v>
      </c>
      <c r="P208" s="9">
        <f>SUM(P182:P207)</f>
        <v>369669.29000000004</v>
      </c>
    </row>
    <row r="212" ht="15.75" customHeight="1" spans="1:16" x14ac:dyDescent="0.25">
      <c r="A212" s="1" t="s">
        <v>80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39.4" customHeight="1" spans="1:16" x14ac:dyDescent="0.25">
      <c r="A213" s="2" t="s">
        <v>1</v>
      </c>
      <c r="B213" s="2" t="s">
        <v>2</v>
      </c>
      <c r="C213" s="2" t="s">
        <v>3</v>
      </c>
      <c r="D213" s="2" t="s">
        <v>4</v>
      </c>
      <c r="E213" s="2" t="s">
        <v>5</v>
      </c>
      <c r="F213" s="2" t="s">
        <v>6</v>
      </c>
      <c r="G213" s="2" t="s">
        <v>7</v>
      </c>
      <c r="H213" s="2" t="s">
        <v>8</v>
      </c>
      <c r="I213" s="2" t="s">
        <v>9</v>
      </c>
      <c r="J213" s="2" t="s">
        <v>10</v>
      </c>
      <c r="K213" s="2" t="s">
        <v>11</v>
      </c>
      <c r="L213" s="2" t="s">
        <v>12</v>
      </c>
      <c r="M213" s="2" t="s">
        <v>13</v>
      </c>
      <c r="N213" s="2" t="s">
        <v>14</v>
      </c>
      <c r="O213" s="2" t="s">
        <v>15</v>
      </c>
      <c r="P213" s="2" t="s">
        <v>16</v>
      </c>
    </row>
    <row r="214" spans="1:16" x14ac:dyDescent="0.25">
      <c r="A214" s="3" t="s">
        <v>1145</v>
      </c>
      <c r="B214" s="4" t="s">
        <v>1146</v>
      </c>
      <c r="C214" s="3" t="s">
        <v>19</v>
      </c>
      <c r="D214" s="3" t="s">
        <v>19</v>
      </c>
      <c r="E214" s="3" t="s">
        <v>20</v>
      </c>
      <c r="F214" s="3" t="s">
        <v>19</v>
      </c>
      <c r="G214" s="3" t="s">
        <v>870</v>
      </c>
      <c r="H214" s="5">
        <v>1</v>
      </c>
      <c r="I214" s="3" t="s">
        <v>19</v>
      </c>
      <c r="J214" s="6">
        <v>15000</v>
      </c>
      <c r="K214" s="6">
        <v>0</v>
      </c>
      <c r="L214" s="6">
        <v>4527.77</v>
      </c>
      <c r="M214" s="6">
        <v>0</v>
      </c>
      <c r="N214" s="3" t="s">
        <v>19</v>
      </c>
      <c r="O214" s="6">
        <v>0</v>
      </c>
      <c r="P214" s="6">
        <f>J214-L214</f>
        <v>10472.23</v>
      </c>
    </row>
    <row r="215" spans="1:16" x14ac:dyDescent="0.25">
      <c r="A215" s="3" t="s">
        <v>1147</v>
      </c>
      <c r="B215" s="4" t="s">
        <v>1148</v>
      </c>
      <c r="C215" s="3" t="s">
        <v>19</v>
      </c>
      <c r="D215" s="3" t="s">
        <v>19</v>
      </c>
      <c r="E215" s="3" t="s">
        <v>20</v>
      </c>
      <c r="F215" s="3" t="s">
        <v>19</v>
      </c>
      <c r="G215" s="3" t="s">
        <v>870</v>
      </c>
      <c r="H215" s="5">
        <v>1</v>
      </c>
      <c r="I215" s="3" t="s">
        <v>19</v>
      </c>
      <c r="J215" s="6">
        <v>15000</v>
      </c>
      <c r="K215" s="6">
        <v>0</v>
      </c>
      <c r="L215" s="6">
        <v>4527.77</v>
      </c>
      <c r="M215" s="6">
        <v>0</v>
      </c>
      <c r="N215" s="3" t="s">
        <v>19</v>
      </c>
      <c r="O215" s="6">
        <v>0</v>
      </c>
      <c r="P215" s="6">
        <f>J215-L215</f>
        <v>10472.23</v>
      </c>
    </row>
    <row r="216" spans="1:16" x14ac:dyDescent="0.25">
      <c r="A216" s="3" t="s">
        <v>1149</v>
      </c>
      <c r="B216" s="4" t="s">
        <v>1150</v>
      </c>
      <c r="C216" s="3" t="s">
        <v>19</v>
      </c>
      <c r="D216" s="3" t="s">
        <v>19</v>
      </c>
      <c r="E216" s="3" t="s">
        <v>20</v>
      </c>
      <c r="F216" s="3" t="s">
        <v>19</v>
      </c>
      <c r="G216" s="3" t="s">
        <v>899</v>
      </c>
      <c r="H216" s="5">
        <v>1</v>
      </c>
      <c r="I216" s="3" t="s">
        <v>19</v>
      </c>
      <c r="J216" s="6">
        <v>12000</v>
      </c>
      <c r="K216" s="6">
        <v>0</v>
      </c>
      <c r="L216" s="6">
        <v>6250</v>
      </c>
      <c r="M216" s="6">
        <v>0</v>
      </c>
      <c r="N216" s="3" t="s">
        <v>19</v>
      </c>
      <c r="O216" s="6">
        <v>0</v>
      </c>
      <c r="P216" s="6">
        <f>J216-L216</f>
        <v>5750</v>
      </c>
    </row>
    <row r="217" spans="1:16" x14ac:dyDescent="0.25">
      <c r="A217" s="3" t="s">
        <v>1151</v>
      </c>
      <c r="B217" s="4" t="s">
        <v>1152</v>
      </c>
      <c r="C217" s="3" t="s">
        <v>19</v>
      </c>
      <c r="D217" s="3" t="s">
        <v>19</v>
      </c>
      <c r="E217" s="3" t="s">
        <v>20</v>
      </c>
      <c r="F217" s="3" t="s">
        <v>19</v>
      </c>
      <c r="G217" s="3" t="s">
        <v>870</v>
      </c>
      <c r="H217" s="5">
        <v>1</v>
      </c>
      <c r="I217" s="3" t="s">
        <v>19</v>
      </c>
      <c r="J217" s="6">
        <v>15000</v>
      </c>
      <c r="K217" s="6">
        <v>0</v>
      </c>
      <c r="L217" s="6">
        <v>4527.77</v>
      </c>
      <c r="M217" s="6">
        <v>0</v>
      </c>
      <c r="N217" s="3" t="s">
        <v>19</v>
      </c>
      <c r="O217" s="6">
        <v>0</v>
      </c>
      <c r="P217" s="6">
        <f>J217-L217</f>
        <v>10472.23</v>
      </c>
    </row>
    <row r="218" spans="1:16" x14ac:dyDescent="0.25">
      <c r="A218" s="3" t="s">
        <v>1153</v>
      </c>
      <c r="B218" s="4" t="s">
        <v>1154</v>
      </c>
      <c r="C218" s="3" t="s">
        <v>19</v>
      </c>
      <c r="D218" s="3" t="s">
        <v>19</v>
      </c>
      <c r="E218" s="3" t="s">
        <v>20</v>
      </c>
      <c r="F218" s="3" t="s">
        <v>19</v>
      </c>
      <c r="G218" s="3" t="s">
        <v>870</v>
      </c>
      <c r="H218" s="5">
        <v>2</v>
      </c>
      <c r="I218" s="3" t="s">
        <v>19</v>
      </c>
      <c r="J218" s="6">
        <v>30000</v>
      </c>
      <c r="K218" s="6">
        <v>0</v>
      </c>
      <c r="L218" s="6">
        <v>9055.54</v>
      </c>
      <c r="M218" s="6">
        <v>0</v>
      </c>
      <c r="N218" s="3" t="s">
        <v>19</v>
      </c>
      <c r="O218" s="6">
        <v>0</v>
      </c>
      <c r="P218" s="6">
        <f>J218-L218</f>
        <v>20944.46</v>
      </c>
    </row>
    <row r="219" spans="1:16" x14ac:dyDescent="0.25">
      <c r="A219" s="3" t="s">
        <v>1155</v>
      </c>
      <c r="B219" s="4" t="s">
        <v>1156</v>
      </c>
      <c r="C219" s="3" t="s">
        <v>19</v>
      </c>
      <c r="D219" s="3" t="s">
        <v>19</v>
      </c>
      <c r="E219" s="3" t="s">
        <v>20</v>
      </c>
      <c r="F219" s="3" t="s">
        <v>19</v>
      </c>
      <c r="G219" s="3" t="s">
        <v>870</v>
      </c>
      <c r="H219" s="5">
        <v>2</v>
      </c>
      <c r="I219" s="3" t="s">
        <v>19</v>
      </c>
      <c r="J219" s="6">
        <v>30000</v>
      </c>
      <c r="K219" s="6">
        <v>0</v>
      </c>
      <c r="L219" s="6">
        <v>9055.54</v>
      </c>
      <c r="M219" s="6">
        <v>0</v>
      </c>
      <c r="N219" s="3" t="s">
        <v>19</v>
      </c>
      <c r="O219" s="6">
        <v>0</v>
      </c>
      <c r="P219" s="6">
        <f>J219-L219</f>
        <v>20944.46</v>
      </c>
    </row>
    <row r="220" spans="1:16" x14ac:dyDescent="0.25">
      <c r="A220" s="3" t="s">
        <v>409</v>
      </c>
      <c r="B220" s="4" t="s">
        <v>410</v>
      </c>
      <c r="C220" s="3" t="s">
        <v>19</v>
      </c>
      <c r="D220" s="3" t="s">
        <v>19</v>
      </c>
      <c r="E220" s="3" t="s">
        <v>20</v>
      </c>
      <c r="F220" s="3" t="s">
        <v>19</v>
      </c>
      <c r="G220" s="3" t="s">
        <v>884</v>
      </c>
      <c r="H220" s="5">
        <v>1</v>
      </c>
      <c r="I220" s="3" t="s">
        <v>19</v>
      </c>
      <c r="J220" s="6">
        <v>10000</v>
      </c>
      <c r="K220" s="6">
        <v>0</v>
      </c>
      <c r="L220" s="6">
        <v>2087.18</v>
      </c>
      <c r="M220" s="6">
        <v>0</v>
      </c>
      <c r="N220" s="3" t="s">
        <v>19</v>
      </c>
      <c r="O220" s="6">
        <v>0</v>
      </c>
      <c r="P220" s="6">
        <f>J220-L220</f>
        <v>7912.82</v>
      </c>
    </row>
    <row r="221" spans="1:16" x14ac:dyDescent="0.25">
      <c r="A221" s="3" t="s">
        <v>1157</v>
      </c>
      <c r="B221" s="4" t="s">
        <v>1158</v>
      </c>
      <c r="C221" s="3" t="s">
        <v>19</v>
      </c>
      <c r="D221" s="3" t="s">
        <v>19</v>
      </c>
      <c r="E221" s="3" t="s">
        <v>20</v>
      </c>
      <c r="F221" s="3" t="s">
        <v>19</v>
      </c>
      <c r="G221" s="3" t="s">
        <v>899</v>
      </c>
      <c r="H221" s="5">
        <v>1</v>
      </c>
      <c r="I221" s="3" t="s">
        <v>19</v>
      </c>
      <c r="J221" s="6">
        <v>12000</v>
      </c>
      <c r="K221" s="6">
        <v>0</v>
      </c>
      <c r="L221" s="6">
        <v>6250</v>
      </c>
      <c r="M221" s="6">
        <v>0</v>
      </c>
      <c r="N221" s="3" t="s">
        <v>19</v>
      </c>
      <c r="O221" s="6">
        <v>0</v>
      </c>
      <c r="P221" s="6">
        <f>J221-L221</f>
        <v>5750</v>
      </c>
    </row>
    <row r="222" spans="1:16" x14ac:dyDescent="0.25">
      <c r="A222" s="3" t="s">
        <v>780</v>
      </c>
      <c r="B222" s="4" t="s">
        <v>781</v>
      </c>
      <c r="C222" s="3" t="s">
        <v>19</v>
      </c>
      <c r="D222" s="3" t="s">
        <v>19</v>
      </c>
      <c r="E222" s="3" t="s">
        <v>20</v>
      </c>
      <c r="F222" s="3" t="s">
        <v>19</v>
      </c>
      <c r="G222" s="3" t="s">
        <v>870</v>
      </c>
      <c r="H222" s="5">
        <v>1</v>
      </c>
      <c r="I222" s="3" t="s">
        <v>19</v>
      </c>
      <c r="J222" s="6">
        <v>15000</v>
      </c>
      <c r="K222" s="6">
        <v>0</v>
      </c>
      <c r="L222" s="6">
        <v>4527.77</v>
      </c>
      <c r="M222" s="6">
        <v>0</v>
      </c>
      <c r="N222" s="3" t="s">
        <v>19</v>
      </c>
      <c r="O222" s="6">
        <v>0</v>
      </c>
      <c r="P222" s="6">
        <f>J222-L222</f>
        <v>10472.23</v>
      </c>
    </row>
    <row r="223" spans="1:16" x14ac:dyDescent="0.25">
      <c r="A223" s="3" t="s">
        <v>417</v>
      </c>
      <c r="B223" s="4" t="s">
        <v>418</v>
      </c>
      <c r="C223" s="3" t="s">
        <v>19</v>
      </c>
      <c r="D223" s="3" t="s">
        <v>19</v>
      </c>
      <c r="E223" s="3" t="s">
        <v>20</v>
      </c>
      <c r="F223" s="3" t="s">
        <v>19</v>
      </c>
      <c r="G223" s="3" t="s">
        <v>884</v>
      </c>
      <c r="H223" s="5">
        <v>1</v>
      </c>
      <c r="I223" s="3" t="s">
        <v>19</v>
      </c>
      <c r="J223" s="6">
        <v>10000</v>
      </c>
      <c r="K223" s="6">
        <v>0</v>
      </c>
      <c r="L223" s="6">
        <v>2087.18</v>
      </c>
      <c r="M223" s="6">
        <v>0</v>
      </c>
      <c r="N223" s="3" t="s">
        <v>19</v>
      </c>
      <c r="O223" s="6">
        <v>0</v>
      </c>
      <c r="P223" s="6">
        <f>J223-L223</f>
        <v>7912.82</v>
      </c>
    </row>
    <row r="224" spans="1:16" x14ac:dyDescent="0.25">
      <c r="A224" s="3" t="s">
        <v>87</v>
      </c>
      <c r="B224" s="4" t="s">
        <v>88</v>
      </c>
      <c r="C224" s="3" t="s">
        <v>19</v>
      </c>
      <c r="D224" s="3" t="s">
        <v>19</v>
      </c>
      <c r="E224" s="3" t="s">
        <v>25</v>
      </c>
      <c r="F224" s="3" t="s">
        <v>19</v>
      </c>
      <c r="G224" s="3" t="s">
        <v>873</v>
      </c>
      <c r="H224" s="5">
        <v>4</v>
      </c>
      <c r="I224" s="3" t="s">
        <v>19</v>
      </c>
      <c r="J224" s="6">
        <v>48000</v>
      </c>
      <c r="K224" s="6">
        <v>0</v>
      </c>
      <c r="L224" s="6">
        <v>25000</v>
      </c>
      <c r="M224" s="6">
        <v>0</v>
      </c>
      <c r="N224" s="3" t="s">
        <v>19</v>
      </c>
      <c r="O224" s="6">
        <v>0</v>
      </c>
      <c r="P224" s="6">
        <f>J224-L224</f>
        <v>23000</v>
      </c>
    </row>
    <row r="225" spans="1:16" x14ac:dyDescent="0.25">
      <c r="A225" s="3" t="s">
        <v>87</v>
      </c>
      <c r="B225" s="4" t="s">
        <v>88</v>
      </c>
      <c r="C225" s="3" t="s">
        <v>19</v>
      </c>
      <c r="D225" s="3" t="s">
        <v>19</v>
      </c>
      <c r="E225" s="3" t="s">
        <v>25</v>
      </c>
      <c r="F225" s="3" t="s">
        <v>19</v>
      </c>
      <c r="G225" s="3" t="s">
        <v>899</v>
      </c>
      <c r="H225" s="5">
        <v>1</v>
      </c>
      <c r="I225" s="3" t="s">
        <v>19</v>
      </c>
      <c r="J225" s="6">
        <v>12000</v>
      </c>
      <c r="K225" s="6">
        <v>0</v>
      </c>
      <c r="L225" s="6">
        <v>6250</v>
      </c>
      <c r="M225" s="6">
        <v>0</v>
      </c>
      <c r="N225" s="3" t="s">
        <v>19</v>
      </c>
      <c r="O225" s="6">
        <v>0</v>
      </c>
      <c r="P225" s="6">
        <f>J225-L225</f>
        <v>5750</v>
      </c>
    </row>
    <row r="226" spans="1:16" x14ac:dyDescent="0.25">
      <c r="A226" s="3" t="s">
        <v>87</v>
      </c>
      <c r="B226" s="4" t="s">
        <v>88</v>
      </c>
      <c r="C226" s="3" t="s">
        <v>19</v>
      </c>
      <c r="D226" s="3" t="s">
        <v>19</v>
      </c>
      <c r="E226" s="3" t="s">
        <v>25</v>
      </c>
      <c r="F226" s="3" t="s">
        <v>19</v>
      </c>
      <c r="G226" s="3" t="s">
        <v>870</v>
      </c>
      <c r="H226" s="5">
        <v>1</v>
      </c>
      <c r="I226" s="3" t="s">
        <v>19</v>
      </c>
      <c r="J226" s="6">
        <v>15000</v>
      </c>
      <c r="K226" s="6">
        <v>0</v>
      </c>
      <c r="L226" s="6">
        <v>4527.77</v>
      </c>
      <c r="M226" s="6">
        <v>0</v>
      </c>
      <c r="N226" s="3" t="s">
        <v>19</v>
      </c>
      <c r="O226" s="6">
        <v>0</v>
      </c>
      <c r="P226" s="6">
        <f>J226-L226</f>
        <v>10472.23</v>
      </c>
    </row>
    <row r="227" spans="1:16" x14ac:dyDescent="0.25">
      <c r="A227" s="3" t="s">
        <v>427</v>
      </c>
      <c r="B227" s="4" t="s">
        <v>428</v>
      </c>
      <c r="C227" s="3" t="s">
        <v>19</v>
      </c>
      <c r="D227" s="3" t="s">
        <v>19</v>
      </c>
      <c r="E227" s="3" t="s">
        <v>52</v>
      </c>
      <c r="F227" s="3" t="s">
        <v>19</v>
      </c>
      <c r="G227" s="3" t="s">
        <v>884</v>
      </c>
      <c r="H227" s="5">
        <v>1</v>
      </c>
      <c r="I227" s="3" t="s">
        <v>19</v>
      </c>
      <c r="J227" s="6">
        <v>10000</v>
      </c>
      <c r="K227" s="6">
        <v>0</v>
      </c>
      <c r="L227" s="6">
        <v>2087.18</v>
      </c>
      <c r="M227" s="6">
        <v>0</v>
      </c>
      <c r="N227" s="3" t="s">
        <v>19</v>
      </c>
      <c r="O227" s="6">
        <v>0</v>
      </c>
      <c r="P227" s="6">
        <f>J227-L227</f>
        <v>7912.82</v>
      </c>
    </row>
    <row r="228" spans="1:16" x14ac:dyDescent="0.25">
      <c r="A228" s="3" t="s">
        <v>1159</v>
      </c>
      <c r="B228" s="4" t="s">
        <v>1160</v>
      </c>
      <c r="C228" s="3" t="s">
        <v>19</v>
      </c>
      <c r="D228" s="3" t="s">
        <v>19</v>
      </c>
      <c r="E228" s="3" t="s">
        <v>52</v>
      </c>
      <c r="F228" s="3" t="s">
        <v>19</v>
      </c>
      <c r="G228" s="3" t="s">
        <v>873</v>
      </c>
      <c r="H228" s="5">
        <v>1</v>
      </c>
      <c r="I228" s="3" t="s">
        <v>19</v>
      </c>
      <c r="J228" s="6">
        <v>12000</v>
      </c>
      <c r="K228" s="6">
        <v>0</v>
      </c>
      <c r="L228" s="6">
        <v>6250</v>
      </c>
      <c r="M228" s="6">
        <v>0</v>
      </c>
      <c r="N228" s="3" t="s">
        <v>19</v>
      </c>
      <c r="O228" s="6">
        <v>0</v>
      </c>
      <c r="P228" s="6">
        <f>J228-L228</f>
        <v>5750</v>
      </c>
    </row>
    <row r="229" spans="1:16" x14ac:dyDescent="0.25">
      <c r="A229" s="3" t="s">
        <v>1161</v>
      </c>
      <c r="B229" s="4" t="s">
        <v>1162</v>
      </c>
      <c r="C229" s="3" t="s">
        <v>19</v>
      </c>
      <c r="D229" s="3" t="s">
        <v>19</v>
      </c>
      <c r="E229" s="3" t="s">
        <v>52</v>
      </c>
      <c r="F229" s="3" t="s">
        <v>19</v>
      </c>
      <c r="G229" s="3" t="s">
        <v>873</v>
      </c>
      <c r="H229" s="5">
        <v>2</v>
      </c>
      <c r="I229" s="3" t="s">
        <v>19</v>
      </c>
      <c r="J229" s="6">
        <v>24000</v>
      </c>
      <c r="K229" s="6">
        <v>0</v>
      </c>
      <c r="L229" s="6">
        <v>12500</v>
      </c>
      <c r="M229" s="6">
        <v>0</v>
      </c>
      <c r="N229" s="3" t="s">
        <v>19</v>
      </c>
      <c r="O229" s="6">
        <v>0</v>
      </c>
      <c r="P229" s="6">
        <f>J229-L229</f>
        <v>11500</v>
      </c>
    </row>
    <row r="230" spans="1:16" x14ac:dyDescent="0.25">
      <c r="A230" s="3" t="s">
        <v>1163</v>
      </c>
      <c r="B230" s="4" t="s">
        <v>1164</v>
      </c>
      <c r="C230" s="3" t="s">
        <v>19</v>
      </c>
      <c r="D230" s="3" t="s">
        <v>19</v>
      </c>
      <c r="E230" s="3" t="s">
        <v>52</v>
      </c>
      <c r="F230" s="3" t="s">
        <v>19</v>
      </c>
      <c r="G230" s="3" t="s">
        <v>873</v>
      </c>
      <c r="H230" s="5">
        <v>1</v>
      </c>
      <c r="I230" s="3" t="s">
        <v>19</v>
      </c>
      <c r="J230" s="6">
        <v>12000</v>
      </c>
      <c r="K230" s="6">
        <v>0</v>
      </c>
      <c r="L230" s="6">
        <v>6250</v>
      </c>
      <c r="M230" s="6">
        <v>0</v>
      </c>
      <c r="N230" s="3" t="s">
        <v>19</v>
      </c>
      <c r="O230" s="6">
        <v>0</v>
      </c>
      <c r="P230" s="6">
        <f>J230-L230</f>
        <v>5750</v>
      </c>
    </row>
    <row r="231" spans="1:16" x14ac:dyDescent="0.25">
      <c r="A231" s="3" t="s">
        <v>1165</v>
      </c>
      <c r="B231" s="4" t="s">
        <v>1166</v>
      </c>
      <c r="C231" s="3" t="s">
        <v>19</v>
      </c>
      <c r="D231" s="3" t="s">
        <v>19</v>
      </c>
      <c r="E231" s="3" t="s">
        <v>52</v>
      </c>
      <c r="F231" s="3" t="s">
        <v>19</v>
      </c>
      <c r="G231" s="3" t="s">
        <v>899</v>
      </c>
      <c r="H231" s="5">
        <v>6</v>
      </c>
      <c r="I231" s="3" t="s">
        <v>19</v>
      </c>
      <c r="J231" s="6">
        <v>72000</v>
      </c>
      <c r="K231" s="6">
        <v>0</v>
      </c>
      <c r="L231" s="6">
        <v>37500</v>
      </c>
      <c r="M231" s="6">
        <v>0</v>
      </c>
      <c r="N231" s="3" t="s">
        <v>19</v>
      </c>
      <c r="O231" s="6">
        <v>0</v>
      </c>
      <c r="P231" s="6">
        <f>J231-L231</f>
        <v>34500</v>
      </c>
    </row>
    <row r="232" spans="1:16" x14ac:dyDescent="0.25">
      <c r="A232" s="3" t="s">
        <v>433</v>
      </c>
      <c r="B232" s="4" t="s">
        <v>434</v>
      </c>
      <c r="C232" s="3" t="s">
        <v>19</v>
      </c>
      <c r="D232" s="3" t="s">
        <v>19</v>
      </c>
      <c r="E232" s="3" t="s">
        <v>52</v>
      </c>
      <c r="F232" s="3" t="s">
        <v>19</v>
      </c>
      <c r="G232" s="3" t="s">
        <v>884</v>
      </c>
      <c r="H232" s="5">
        <v>1</v>
      </c>
      <c r="I232" s="3" t="s">
        <v>19</v>
      </c>
      <c r="J232" s="6">
        <v>10000</v>
      </c>
      <c r="K232" s="6">
        <v>0</v>
      </c>
      <c r="L232" s="6">
        <v>2087.18</v>
      </c>
      <c r="M232" s="6">
        <v>0</v>
      </c>
      <c r="N232" s="3" t="s">
        <v>19</v>
      </c>
      <c r="O232" s="6">
        <v>0</v>
      </c>
      <c r="P232" s="6">
        <f>J232-L232</f>
        <v>7912.82</v>
      </c>
    </row>
    <row r="233" spans="1:16" x14ac:dyDescent="0.25">
      <c r="A233" s="3" t="s">
        <v>1167</v>
      </c>
      <c r="B233" s="4" t="s">
        <v>1168</v>
      </c>
      <c r="C233" s="3" t="s">
        <v>19</v>
      </c>
      <c r="D233" s="3" t="s">
        <v>19</v>
      </c>
      <c r="E233" s="3" t="s">
        <v>52</v>
      </c>
      <c r="F233" s="3" t="s">
        <v>19</v>
      </c>
      <c r="G233" s="3" t="s">
        <v>870</v>
      </c>
      <c r="H233" s="5">
        <v>1</v>
      </c>
      <c r="I233" s="3" t="s">
        <v>19</v>
      </c>
      <c r="J233" s="6">
        <v>15000</v>
      </c>
      <c r="K233" s="6">
        <v>0</v>
      </c>
      <c r="L233" s="6">
        <v>4527.77</v>
      </c>
      <c r="M233" s="6">
        <v>0</v>
      </c>
      <c r="N233" s="3" t="s">
        <v>19</v>
      </c>
      <c r="O233" s="6">
        <v>0</v>
      </c>
      <c r="P233" s="6">
        <f>J233-L233</f>
        <v>10472.23</v>
      </c>
    </row>
    <row r="234" spans="1:16" x14ac:dyDescent="0.25">
      <c r="A234" s="3" t="s">
        <v>800</v>
      </c>
      <c r="B234" s="4" t="s">
        <v>801</v>
      </c>
      <c r="C234" s="3" t="s">
        <v>19</v>
      </c>
      <c r="D234" s="3" t="s">
        <v>19</v>
      </c>
      <c r="E234" s="3" t="s">
        <v>52</v>
      </c>
      <c r="F234" s="3" t="s">
        <v>19</v>
      </c>
      <c r="G234" s="3" t="s">
        <v>884</v>
      </c>
      <c r="H234" s="5">
        <v>1</v>
      </c>
      <c r="I234" s="3" t="s">
        <v>19</v>
      </c>
      <c r="J234" s="6">
        <v>10000</v>
      </c>
      <c r="K234" s="6">
        <v>0</v>
      </c>
      <c r="L234" s="6">
        <v>2087.18</v>
      </c>
      <c r="M234" s="6">
        <v>0</v>
      </c>
      <c r="N234" s="3" t="s">
        <v>19</v>
      </c>
      <c r="O234" s="6">
        <v>0</v>
      </c>
      <c r="P234" s="6">
        <f>J234-L234</f>
        <v>7912.82</v>
      </c>
    </row>
    <row r="235" spans="1:16" x14ac:dyDescent="0.25">
      <c r="A235" s="3" t="s">
        <v>435</v>
      </c>
      <c r="B235" s="4" t="s">
        <v>436</v>
      </c>
      <c r="C235" s="3" t="s">
        <v>19</v>
      </c>
      <c r="D235" s="3" t="s">
        <v>19</v>
      </c>
      <c r="E235" s="3" t="s">
        <v>52</v>
      </c>
      <c r="F235" s="3" t="s">
        <v>19</v>
      </c>
      <c r="G235" s="3" t="s">
        <v>884</v>
      </c>
      <c r="H235" s="5">
        <v>8</v>
      </c>
      <c r="I235" s="3" t="s">
        <v>19</v>
      </c>
      <c r="J235" s="6">
        <v>80000</v>
      </c>
      <c r="K235" s="6">
        <v>0</v>
      </c>
      <c r="L235" s="6">
        <v>16697.44</v>
      </c>
      <c r="M235" s="6">
        <v>0</v>
      </c>
      <c r="N235" s="3" t="s">
        <v>19</v>
      </c>
      <c r="O235" s="6">
        <v>0</v>
      </c>
      <c r="P235" s="6">
        <f>J235-L235</f>
        <v>63302.56</v>
      </c>
    </row>
    <row r="236" spans="1:16" x14ac:dyDescent="0.25">
      <c r="A236" s="3" t="s">
        <v>1169</v>
      </c>
      <c r="B236" s="4" t="s">
        <v>1170</v>
      </c>
      <c r="C236" s="3" t="s">
        <v>19</v>
      </c>
      <c r="D236" s="3" t="s">
        <v>19</v>
      </c>
      <c r="E236" s="3" t="s">
        <v>25</v>
      </c>
      <c r="F236" s="3" t="s">
        <v>19</v>
      </c>
      <c r="G236" s="3" t="s">
        <v>870</v>
      </c>
      <c r="H236" s="5">
        <v>1</v>
      </c>
      <c r="I236" s="3" t="s">
        <v>19</v>
      </c>
      <c r="J236" s="6">
        <v>15000</v>
      </c>
      <c r="K236" s="6">
        <v>0</v>
      </c>
      <c r="L236" s="6">
        <v>4527.77</v>
      </c>
      <c r="M236" s="6">
        <v>0</v>
      </c>
      <c r="N236" s="3" t="s">
        <v>19</v>
      </c>
      <c r="O236" s="6">
        <v>0</v>
      </c>
      <c r="P236" s="6">
        <f>J236-L236</f>
        <v>10472.23</v>
      </c>
    </row>
    <row r="237" spans="1:16" x14ac:dyDescent="0.25">
      <c r="A237" s="3" t="s">
        <v>1171</v>
      </c>
      <c r="B237" s="4" t="s">
        <v>1172</v>
      </c>
      <c r="C237" s="3" t="s">
        <v>19</v>
      </c>
      <c r="D237" s="3" t="s">
        <v>19</v>
      </c>
      <c r="E237" s="3" t="s">
        <v>25</v>
      </c>
      <c r="F237" s="3" t="s">
        <v>19</v>
      </c>
      <c r="G237" s="3" t="s">
        <v>899</v>
      </c>
      <c r="H237" s="5">
        <v>1</v>
      </c>
      <c r="I237" s="3" t="s">
        <v>19</v>
      </c>
      <c r="J237" s="6">
        <v>12000</v>
      </c>
      <c r="K237" s="6">
        <v>0</v>
      </c>
      <c r="L237" s="6">
        <v>6250</v>
      </c>
      <c r="M237" s="6">
        <v>0</v>
      </c>
      <c r="N237" s="3" t="s">
        <v>19</v>
      </c>
      <c r="O237" s="6">
        <v>0</v>
      </c>
      <c r="P237" s="6">
        <f>J237-L237</f>
        <v>5750</v>
      </c>
    </row>
    <row r="238" spans="1:16" x14ac:dyDescent="0.25">
      <c r="A238" s="3" t="s">
        <v>1173</v>
      </c>
      <c r="B238" s="4" t="s">
        <v>1174</v>
      </c>
      <c r="C238" s="3" t="s">
        <v>19</v>
      </c>
      <c r="D238" s="3" t="s">
        <v>19</v>
      </c>
      <c r="E238" s="3" t="s">
        <v>52</v>
      </c>
      <c r="F238" s="3" t="s">
        <v>19</v>
      </c>
      <c r="G238" s="3" t="s">
        <v>884</v>
      </c>
      <c r="H238" s="5">
        <v>3</v>
      </c>
      <c r="I238" s="3" t="s">
        <v>19</v>
      </c>
      <c r="J238" s="6">
        <v>30000</v>
      </c>
      <c r="K238" s="6">
        <v>0</v>
      </c>
      <c r="L238" s="6">
        <v>6261.54</v>
      </c>
      <c r="M238" s="6">
        <v>0</v>
      </c>
      <c r="N238" s="3" t="s">
        <v>19</v>
      </c>
      <c r="O238" s="6">
        <v>0</v>
      </c>
      <c r="P238" s="6">
        <f>J238-L238</f>
        <v>23738.46</v>
      </c>
    </row>
    <row r="239" spans="1:16" x14ac:dyDescent="0.25">
      <c r="A239" s="3" t="s">
        <v>1173</v>
      </c>
      <c r="B239" s="4" t="s">
        <v>1174</v>
      </c>
      <c r="C239" s="3" t="s">
        <v>19</v>
      </c>
      <c r="D239" s="3" t="s">
        <v>19</v>
      </c>
      <c r="E239" s="3" t="s">
        <v>52</v>
      </c>
      <c r="F239" s="3" t="s">
        <v>19</v>
      </c>
      <c r="G239" s="3" t="s">
        <v>870</v>
      </c>
      <c r="H239" s="5">
        <v>1</v>
      </c>
      <c r="I239" s="3" t="s">
        <v>19</v>
      </c>
      <c r="J239" s="6">
        <v>15000</v>
      </c>
      <c r="K239" s="6">
        <v>0</v>
      </c>
      <c r="L239" s="6">
        <v>4527.77</v>
      </c>
      <c r="M239" s="6">
        <v>0</v>
      </c>
      <c r="N239" s="3" t="s">
        <v>19</v>
      </c>
      <c r="O239" s="6">
        <v>0</v>
      </c>
      <c r="P239" s="6">
        <f>J239-L239</f>
        <v>10472.23</v>
      </c>
    </row>
    <row r="240" ht="18" customHeight="1" spans="1:16" x14ac:dyDescent="0.25">
      <c r="A240" s="7" t="s">
        <v>34</v>
      </c>
      <c r="B240" s="7"/>
      <c r="C240" s="7"/>
      <c r="D240" s="7"/>
      <c r="E240" s="7"/>
      <c r="F240" s="7"/>
      <c r="G240" s="7"/>
      <c r="H240" s="8">
        <f>SUM(H214:H239)</f>
        <v>46</v>
      </c>
      <c r="I240" s="7"/>
      <c r="J240" s="9">
        <f>SUM(J214:J239)</f>
        <v>556000</v>
      </c>
      <c r="K240" s="9">
        <f>SUM(K214:K239)</f>
        <v>0</v>
      </c>
      <c r="L240" s="9">
        <f>SUM(L214:L239)</f>
        <v>200228.11999999994</v>
      </c>
      <c r="M240" s="9">
        <f>SUM(M214:M239)</f>
        <v>0</v>
      </c>
      <c r="N240" s="7"/>
      <c r="O240" s="9">
        <f>SUM(O214:O239)</f>
        <v>0</v>
      </c>
      <c r="P240" s="9">
        <f>SUM(P214:P239)</f>
        <v>355771.88</v>
      </c>
    </row>
    <row r="244" ht="15.75" customHeight="1" spans="1:16" x14ac:dyDescent="0.25">
      <c r="A244" s="1" t="s">
        <v>99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39.4" customHeight="1" spans="1:16" x14ac:dyDescent="0.25">
      <c r="A245" s="2" t="s">
        <v>1</v>
      </c>
      <c r="B245" s="2" t="s">
        <v>2</v>
      </c>
      <c r="C245" s="2" t="s">
        <v>3</v>
      </c>
      <c r="D245" s="2" t="s">
        <v>4</v>
      </c>
      <c r="E245" s="2" t="s">
        <v>5</v>
      </c>
      <c r="F245" s="2" t="s">
        <v>6</v>
      </c>
      <c r="G245" s="2" t="s">
        <v>7</v>
      </c>
      <c r="H245" s="2" t="s">
        <v>8</v>
      </c>
      <c r="I245" s="2" t="s">
        <v>9</v>
      </c>
      <c r="J245" s="2" t="s">
        <v>10</v>
      </c>
      <c r="K245" s="2" t="s">
        <v>11</v>
      </c>
      <c r="L245" s="2" t="s">
        <v>12</v>
      </c>
      <c r="M245" s="2" t="s">
        <v>13</v>
      </c>
      <c r="N245" s="2" t="s">
        <v>14</v>
      </c>
      <c r="O245" s="2" t="s">
        <v>15</v>
      </c>
      <c r="P245" s="2" t="s">
        <v>16</v>
      </c>
    </row>
    <row r="246" spans="1:16" x14ac:dyDescent="0.25">
      <c r="A246" s="3" t="s">
        <v>443</v>
      </c>
      <c r="B246" s="4" t="s">
        <v>444</v>
      </c>
      <c r="C246" s="3" t="s">
        <v>19</v>
      </c>
      <c r="D246" s="3" t="s">
        <v>19</v>
      </c>
      <c r="E246" s="3" t="s">
        <v>20</v>
      </c>
      <c r="F246" s="3" t="s">
        <v>19</v>
      </c>
      <c r="G246" s="3" t="s">
        <v>870</v>
      </c>
      <c r="H246" s="5">
        <v>1</v>
      </c>
      <c r="I246" s="3" t="s">
        <v>19</v>
      </c>
      <c r="J246" s="6">
        <v>15000</v>
      </c>
      <c r="K246" s="6">
        <v>0</v>
      </c>
      <c r="L246" s="6">
        <v>4527.77</v>
      </c>
      <c r="M246" s="6">
        <v>0</v>
      </c>
      <c r="N246" s="3" t="s">
        <v>19</v>
      </c>
      <c r="O246" s="6">
        <v>0</v>
      </c>
      <c r="P246" s="6">
        <f>J246-L246</f>
        <v>10472.23</v>
      </c>
    </row>
    <row r="247" spans="1:16" x14ac:dyDescent="0.25">
      <c r="A247" s="3" t="s">
        <v>1175</v>
      </c>
      <c r="B247" s="4" t="s">
        <v>1176</v>
      </c>
      <c r="C247" s="3" t="s">
        <v>19</v>
      </c>
      <c r="D247" s="3" t="s">
        <v>19</v>
      </c>
      <c r="E247" s="3" t="s">
        <v>20</v>
      </c>
      <c r="F247" s="3" t="s">
        <v>19</v>
      </c>
      <c r="G247" s="3" t="s">
        <v>870</v>
      </c>
      <c r="H247" s="5">
        <v>1</v>
      </c>
      <c r="I247" s="3" t="s">
        <v>19</v>
      </c>
      <c r="J247" s="6">
        <v>15000</v>
      </c>
      <c r="K247" s="6">
        <v>0</v>
      </c>
      <c r="L247" s="6">
        <v>4527.77</v>
      </c>
      <c r="M247" s="6">
        <v>0</v>
      </c>
      <c r="N247" s="3" t="s">
        <v>19</v>
      </c>
      <c r="O247" s="6">
        <v>0</v>
      </c>
      <c r="P247" s="6">
        <f>J247-L247</f>
        <v>10472.23</v>
      </c>
    </row>
    <row r="248" spans="1:16" x14ac:dyDescent="0.25">
      <c r="A248" s="3" t="s">
        <v>447</v>
      </c>
      <c r="B248" s="4" t="s">
        <v>448</v>
      </c>
      <c r="C248" s="3" t="s">
        <v>19</v>
      </c>
      <c r="D248" s="3" t="s">
        <v>19</v>
      </c>
      <c r="E248" s="3" t="s">
        <v>20</v>
      </c>
      <c r="F248" s="3" t="s">
        <v>19</v>
      </c>
      <c r="G248" s="3" t="s">
        <v>873</v>
      </c>
      <c r="H248" s="5">
        <v>1</v>
      </c>
      <c r="I248" s="3" t="s">
        <v>19</v>
      </c>
      <c r="J248" s="6">
        <v>12000</v>
      </c>
      <c r="K248" s="6">
        <v>0</v>
      </c>
      <c r="L248" s="6">
        <v>6250</v>
      </c>
      <c r="M248" s="6">
        <v>0</v>
      </c>
      <c r="N248" s="3" t="s">
        <v>19</v>
      </c>
      <c r="O248" s="6">
        <v>0</v>
      </c>
      <c r="P248" s="6">
        <f>J248-L248</f>
        <v>5750</v>
      </c>
    </row>
    <row r="249" spans="1:16" x14ac:dyDescent="0.25">
      <c r="A249" s="3" t="s">
        <v>1177</v>
      </c>
      <c r="B249" s="4" t="s">
        <v>1178</v>
      </c>
      <c r="C249" s="3" t="s">
        <v>19</v>
      </c>
      <c r="D249" s="3" t="s">
        <v>19</v>
      </c>
      <c r="E249" s="3" t="s">
        <v>20</v>
      </c>
      <c r="F249" s="3" t="s">
        <v>19</v>
      </c>
      <c r="G249" s="3" t="s">
        <v>884</v>
      </c>
      <c r="H249" s="5">
        <v>1</v>
      </c>
      <c r="I249" s="3" t="s">
        <v>19</v>
      </c>
      <c r="J249" s="6">
        <v>10000</v>
      </c>
      <c r="K249" s="6">
        <v>0</v>
      </c>
      <c r="L249" s="6">
        <v>2087.18</v>
      </c>
      <c r="M249" s="6">
        <v>0</v>
      </c>
      <c r="N249" s="3" t="s">
        <v>19</v>
      </c>
      <c r="O249" s="6">
        <v>0</v>
      </c>
      <c r="P249" s="6">
        <f>J249-L249</f>
        <v>7912.82</v>
      </c>
    </row>
    <row r="250" spans="1:16" x14ac:dyDescent="0.25">
      <c r="A250" s="3" t="s">
        <v>1179</v>
      </c>
      <c r="B250" s="4" t="s">
        <v>1180</v>
      </c>
      <c r="C250" s="3" t="s">
        <v>19</v>
      </c>
      <c r="D250" s="3" t="s">
        <v>19</v>
      </c>
      <c r="E250" s="3" t="s">
        <v>20</v>
      </c>
      <c r="F250" s="3" t="s">
        <v>19</v>
      </c>
      <c r="G250" s="3" t="s">
        <v>870</v>
      </c>
      <c r="H250" s="5">
        <v>1</v>
      </c>
      <c r="I250" s="3" t="s">
        <v>19</v>
      </c>
      <c r="J250" s="6">
        <v>15000</v>
      </c>
      <c r="K250" s="6">
        <v>0</v>
      </c>
      <c r="L250" s="6">
        <v>4527.77</v>
      </c>
      <c r="M250" s="6">
        <v>0</v>
      </c>
      <c r="N250" s="3" t="s">
        <v>19</v>
      </c>
      <c r="O250" s="6">
        <v>0</v>
      </c>
      <c r="P250" s="6">
        <f>J250-L250</f>
        <v>10472.23</v>
      </c>
    </row>
    <row r="251" spans="1:16" x14ac:dyDescent="0.25">
      <c r="A251" s="3" t="s">
        <v>1181</v>
      </c>
      <c r="B251" s="4" t="s">
        <v>1182</v>
      </c>
      <c r="C251" s="3" t="s">
        <v>19</v>
      </c>
      <c r="D251" s="3" t="s">
        <v>19</v>
      </c>
      <c r="E251" s="3" t="s">
        <v>20</v>
      </c>
      <c r="F251" s="3" t="s">
        <v>19</v>
      </c>
      <c r="G251" s="3" t="s">
        <v>870</v>
      </c>
      <c r="H251" s="5">
        <v>1</v>
      </c>
      <c r="I251" s="3" t="s">
        <v>19</v>
      </c>
      <c r="J251" s="6">
        <v>15000</v>
      </c>
      <c r="K251" s="6">
        <v>0</v>
      </c>
      <c r="L251" s="6">
        <v>4527.77</v>
      </c>
      <c r="M251" s="6">
        <v>0</v>
      </c>
      <c r="N251" s="3" t="s">
        <v>19</v>
      </c>
      <c r="O251" s="6">
        <v>0</v>
      </c>
      <c r="P251" s="6">
        <f>J251-L251</f>
        <v>10472.23</v>
      </c>
    </row>
    <row r="252" spans="1:16" x14ac:dyDescent="0.25">
      <c r="A252" s="3" t="s">
        <v>1183</v>
      </c>
      <c r="B252" s="4" t="s">
        <v>1184</v>
      </c>
      <c r="C252" s="3" t="s">
        <v>19</v>
      </c>
      <c r="D252" s="3" t="s">
        <v>19</v>
      </c>
      <c r="E252" s="3" t="s">
        <v>20</v>
      </c>
      <c r="F252" s="3" t="s">
        <v>19</v>
      </c>
      <c r="G252" s="3" t="s">
        <v>873</v>
      </c>
      <c r="H252" s="5">
        <v>2</v>
      </c>
      <c r="I252" s="3" t="s">
        <v>19</v>
      </c>
      <c r="J252" s="6">
        <v>24000</v>
      </c>
      <c r="K252" s="6">
        <v>0</v>
      </c>
      <c r="L252" s="6">
        <v>12500</v>
      </c>
      <c r="M252" s="6">
        <v>0</v>
      </c>
      <c r="N252" s="3" t="s">
        <v>19</v>
      </c>
      <c r="O252" s="6">
        <v>0</v>
      </c>
      <c r="P252" s="6">
        <f>J252-L252</f>
        <v>11500</v>
      </c>
    </row>
    <row r="253" spans="1:16" x14ac:dyDescent="0.25">
      <c r="A253" s="3" t="s">
        <v>1185</v>
      </c>
      <c r="B253" s="4" t="s">
        <v>1186</v>
      </c>
      <c r="C253" s="3" t="s">
        <v>19</v>
      </c>
      <c r="D253" s="3" t="s">
        <v>19</v>
      </c>
      <c r="E253" s="3" t="s">
        <v>20</v>
      </c>
      <c r="F253" s="3" t="s">
        <v>19</v>
      </c>
      <c r="G253" s="3" t="s">
        <v>904</v>
      </c>
      <c r="H253" s="5">
        <v>2</v>
      </c>
      <c r="I253" s="3" t="s">
        <v>19</v>
      </c>
      <c r="J253" s="6">
        <v>40000</v>
      </c>
      <c r="K253" s="6">
        <v>0</v>
      </c>
      <c r="L253" s="6">
        <v>20500</v>
      </c>
      <c r="M253" s="6">
        <v>0</v>
      </c>
      <c r="N253" s="3" t="s">
        <v>19</v>
      </c>
      <c r="O253" s="6">
        <v>0</v>
      </c>
      <c r="P253" s="6">
        <f>J253-L253</f>
        <v>19500</v>
      </c>
    </row>
    <row r="254" spans="1:16" x14ac:dyDescent="0.25">
      <c r="A254" s="3" t="s">
        <v>1187</v>
      </c>
      <c r="B254" s="4" t="s">
        <v>1188</v>
      </c>
      <c r="C254" s="3" t="s">
        <v>19</v>
      </c>
      <c r="D254" s="3" t="s">
        <v>19</v>
      </c>
      <c r="E254" s="3" t="s">
        <v>52</v>
      </c>
      <c r="F254" s="3" t="s">
        <v>19</v>
      </c>
      <c r="G254" s="3" t="s">
        <v>870</v>
      </c>
      <c r="H254" s="5">
        <v>1</v>
      </c>
      <c r="I254" s="3" t="s">
        <v>19</v>
      </c>
      <c r="J254" s="6">
        <v>15000</v>
      </c>
      <c r="K254" s="6">
        <v>0</v>
      </c>
      <c r="L254" s="6">
        <v>4527.77</v>
      </c>
      <c r="M254" s="6">
        <v>0</v>
      </c>
      <c r="N254" s="3" t="s">
        <v>19</v>
      </c>
      <c r="O254" s="6">
        <v>0</v>
      </c>
      <c r="P254" s="6">
        <f>J254-L254</f>
        <v>10472.23</v>
      </c>
    </row>
    <row r="255" spans="1:16" x14ac:dyDescent="0.25">
      <c r="A255" s="3" t="s">
        <v>1189</v>
      </c>
      <c r="B255" s="4" t="s">
        <v>1190</v>
      </c>
      <c r="C255" s="3" t="s">
        <v>19</v>
      </c>
      <c r="D255" s="3" t="s">
        <v>19</v>
      </c>
      <c r="E255" s="3" t="s">
        <v>52</v>
      </c>
      <c r="F255" s="3" t="s">
        <v>19</v>
      </c>
      <c r="G255" s="3" t="s">
        <v>904</v>
      </c>
      <c r="H255" s="5">
        <v>1</v>
      </c>
      <c r="I255" s="3" t="s">
        <v>19</v>
      </c>
      <c r="J255" s="6">
        <v>20000</v>
      </c>
      <c r="K255" s="6">
        <v>0</v>
      </c>
      <c r="L255" s="6">
        <v>10250</v>
      </c>
      <c r="M255" s="6">
        <v>0</v>
      </c>
      <c r="N255" s="3" t="s">
        <v>19</v>
      </c>
      <c r="O255" s="6">
        <v>0</v>
      </c>
      <c r="P255" s="6">
        <f>J255-L255</f>
        <v>9750</v>
      </c>
    </row>
    <row r="256" spans="1:16" x14ac:dyDescent="0.25">
      <c r="A256" s="3" t="s">
        <v>1191</v>
      </c>
      <c r="B256" s="4" t="s">
        <v>1192</v>
      </c>
      <c r="C256" s="3" t="s">
        <v>19</v>
      </c>
      <c r="D256" s="3" t="s">
        <v>19</v>
      </c>
      <c r="E256" s="3" t="s">
        <v>52</v>
      </c>
      <c r="F256" s="3" t="s">
        <v>19</v>
      </c>
      <c r="G256" s="3" t="s">
        <v>904</v>
      </c>
      <c r="H256" s="5">
        <v>2</v>
      </c>
      <c r="I256" s="3" t="s">
        <v>19</v>
      </c>
      <c r="J256" s="6">
        <v>40000</v>
      </c>
      <c r="K256" s="6">
        <v>0</v>
      </c>
      <c r="L256" s="6">
        <v>20500</v>
      </c>
      <c r="M256" s="6">
        <v>0</v>
      </c>
      <c r="N256" s="3" t="s">
        <v>19</v>
      </c>
      <c r="O256" s="6">
        <v>0</v>
      </c>
      <c r="P256" s="6">
        <f>J256-L256</f>
        <v>19500</v>
      </c>
    </row>
    <row r="257" spans="1:16" x14ac:dyDescent="0.25">
      <c r="A257" s="3" t="s">
        <v>1193</v>
      </c>
      <c r="B257" s="4" t="s">
        <v>1194</v>
      </c>
      <c r="C257" s="3" t="s">
        <v>19</v>
      </c>
      <c r="D257" s="3" t="s">
        <v>19</v>
      </c>
      <c r="E257" s="3" t="s">
        <v>52</v>
      </c>
      <c r="F257" s="3" t="s">
        <v>19</v>
      </c>
      <c r="G257" s="3" t="s">
        <v>870</v>
      </c>
      <c r="H257" s="5">
        <v>2</v>
      </c>
      <c r="I257" s="3" t="s">
        <v>19</v>
      </c>
      <c r="J257" s="6">
        <v>30000</v>
      </c>
      <c r="K257" s="6">
        <v>0</v>
      </c>
      <c r="L257" s="6">
        <v>9055.54</v>
      </c>
      <c r="M257" s="6">
        <v>0</v>
      </c>
      <c r="N257" s="3" t="s">
        <v>19</v>
      </c>
      <c r="O257" s="6">
        <v>0</v>
      </c>
      <c r="P257" s="6">
        <f>J257-L257</f>
        <v>20944.46</v>
      </c>
    </row>
    <row r="258" spans="1:16" x14ac:dyDescent="0.25">
      <c r="A258" s="3" t="s">
        <v>1195</v>
      </c>
      <c r="B258" s="4" t="s">
        <v>1196</v>
      </c>
      <c r="C258" s="3" t="s">
        <v>19</v>
      </c>
      <c r="D258" s="3" t="s">
        <v>19</v>
      </c>
      <c r="E258" s="3" t="s">
        <v>52</v>
      </c>
      <c r="F258" s="3" t="s">
        <v>19</v>
      </c>
      <c r="G258" s="3" t="s">
        <v>873</v>
      </c>
      <c r="H258" s="5">
        <v>2</v>
      </c>
      <c r="I258" s="3" t="s">
        <v>19</v>
      </c>
      <c r="J258" s="6">
        <v>24000</v>
      </c>
      <c r="K258" s="6">
        <v>0</v>
      </c>
      <c r="L258" s="6">
        <v>12500</v>
      </c>
      <c r="M258" s="6">
        <v>0</v>
      </c>
      <c r="N258" s="3" t="s">
        <v>19</v>
      </c>
      <c r="O258" s="6">
        <v>0</v>
      </c>
      <c r="P258" s="6">
        <f>J258-L258</f>
        <v>11500</v>
      </c>
    </row>
    <row r="259" spans="1:16" x14ac:dyDescent="0.25">
      <c r="A259" s="3" t="s">
        <v>1197</v>
      </c>
      <c r="B259" s="4" t="s">
        <v>1198</v>
      </c>
      <c r="C259" s="3" t="s">
        <v>19</v>
      </c>
      <c r="D259" s="3" t="s">
        <v>19</v>
      </c>
      <c r="E259" s="3" t="s">
        <v>52</v>
      </c>
      <c r="F259" s="3" t="s">
        <v>19</v>
      </c>
      <c r="G259" s="3" t="s">
        <v>899</v>
      </c>
      <c r="H259" s="5">
        <v>1</v>
      </c>
      <c r="I259" s="3" t="s">
        <v>19</v>
      </c>
      <c r="J259" s="6">
        <v>12000</v>
      </c>
      <c r="K259" s="6">
        <v>0</v>
      </c>
      <c r="L259" s="6">
        <v>6250</v>
      </c>
      <c r="M259" s="6">
        <v>0</v>
      </c>
      <c r="N259" s="3" t="s">
        <v>19</v>
      </c>
      <c r="O259" s="6">
        <v>0</v>
      </c>
      <c r="P259" s="6">
        <f>J259-L259</f>
        <v>5750</v>
      </c>
    </row>
    <row r="260" spans="1:16" x14ac:dyDescent="0.25">
      <c r="A260" s="3" t="s">
        <v>1199</v>
      </c>
      <c r="B260" s="4" t="s">
        <v>1200</v>
      </c>
      <c r="C260" s="3" t="s">
        <v>19</v>
      </c>
      <c r="D260" s="3" t="s">
        <v>19</v>
      </c>
      <c r="E260" s="3" t="s">
        <v>52</v>
      </c>
      <c r="F260" s="3" t="s">
        <v>19</v>
      </c>
      <c r="G260" s="3" t="s">
        <v>873</v>
      </c>
      <c r="H260" s="5">
        <v>1</v>
      </c>
      <c r="I260" s="3" t="s">
        <v>19</v>
      </c>
      <c r="J260" s="6">
        <v>12000</v>
      </c>
      <c r="K260" s="6">
        <v>0</v>
      </c>
      <c r="L260" s="6">
        <v>6250</v>
      </c>
      <c r="M260" s="6">
        <v>0</v>
      </c>
      <c r="N260" s="3" t="s">
        <v>19</v>
      </c>
      <c r="O260" s="6">
        <v>0</v>
      </c>
      <c r="P260" s="6">
        <f>J260-L260</f>
        <v>5750</v>
      </c>
    </row>
    <row r="261" spans="1:16" x14ac:dyDescent="0.25">
      <c r="A261" s="3" t="s">
        <v>1199</v>
      </c>
      <c r="B261" s="4" t="s">
        <v>1200</v>
      </c>
      <c r="C261" s="3" t="s">
        <v>19</v>
      </c>
      <c r="D261" s="3" t="s">
        <v>19</v>
      </c>
      <c r="E261" s="3" t="s">
        <v>52</v>
      </c>
      <c r="F261" s="3" t="s">
        <v>19</v>
      </c>
      <c r="G261" s="3" t="s">
        <v>884</v>
      </c>
      <c r="H261" s="5">
        <v>1</v>
      </c>
      <c r="I261" s="3" t="s">
        <v>19</v>
      </c>
      <c r="J261" s="6">
        <v>10000</v>
      </c>
      <c r="K261" s="6">
        <v>0</v>
      </c>
      <c r="L261" s="6">
        <v>2087.18</v>
      </c>
      <c r="M261" s="6">
        <v>0</v>
      </c>
      <c r="N261" s="3" t="s">
        <v>19</v>
      </c>
      <c r="O261" s="6">
        <v>0</v>
      </c>
      <c r="P261" s="6">
        <f>J261-L261</f>
        <v>7912.82</v>
      </c>
    </row>
    <row r="262" spans="1:16" x14ac:dyDescent="0.25">
      <c r="A262" s="3" t="s">
        <v>1201</v>
      </c>
      <c r="B262" s="4" t="s">
        <v>1202</v>
      </c>
      <c r="C262" s="3" t="s">
        <v>19</v>
      </c>
      <c r="D262" s="3" t="s">
        <v>19</v>
      </c>
      <c r="E262" s="3" t="s">
        <v>52</v>
      </c>
      <c r="F262" s="3" t="s">
        <v>19</v>
      </c>
      <c r="G262" s="3" t="s">
        <v>873</v>
      </c>
      <c r="H262" s="5">
        <v>1</v>
      </c>
      <c r="I262" s="3" t="s">
        <v>19</v>
      </c>
      <c r="J262" s="6">
        <v>12000</v>
      </c>
      <c r="K262" s="6">
        <v>0</v>
      </c>
      <c r="L262" s="6">
        <v>6250</v>
      </c>
      <c r="M262" s="6">
        <v>0</v>
      </c>
      <c r="N262" s="3" t="s">
        <v>19</v>
      </c>
      <c r="O262" s="6">
        <v>0</v>
      </c>
      <c r="P262" s="6">
        <f>J262-L262</f>
        <v>5750</v>
      </c>
    </row>
    <row r="263" spans="1:16" x14ac:dyDescent="0.25">
      <c r="A263" s="3" t="s">
        <v>1203</v>
      </c>
      <c r="B263" s="4" t="s">
        <v>1204</v>
      </c>
      <c r="C263" s="3" t="s">
        <v>19</v>
      </c>
      <c r="D263" s="3" t="s">
        <v>19</v>
      </c>
      <c r="E263" s="3" t="s">
        <v>52</v>
      </c>
      <c r="F263" s="3" t="s">
        <v>19</v>
      </c>
      <c r="G263" s="3" t="s">
        <v>904</v>
      </c>
      <c r="H263" s="5">
        <v>1</v>
      </c>
      <c r="I263" s="3" t="s">
        <v>19</v>
      </c>
      <c r="J263" s="6">
        <v>20000</v>
      </c>
      <c r="K263" s="6">
        <v>0</v>
      </c>
      <c r="L263" s="6">
        <v>10250</v>
      </c>
      <c r="M263" s="6">
        <v>0</v>
      </c>
      <c r="N263" s="3" t="s">
        <v>19</v>
      </c>
      <c r="O263" s="6">
        <v>0</v>
      </c>
      <c r="P263" s="6">
        <f>J263-L263</f>
        <v>9750</v>
      </c>
    </row>
    <row r="264" spans="1:16" x14ac:dyDescent="0.25">
      <c r="A264" s="3" t="s">
        <v>1205</v>
      </c>
      <c r="B264" s="4" t="s">
        <v>1206</v>
      </c>
      <c r="C264" s="3" t="s">
        <v>19</v>
      </c>
      <c r="D264" s="3" t="s">
        <v>19</v>
      </c>
      <c r="E264" s="3" t="s">
        <v>52</v>
      </c>
      <c r="F264" s="3" t="s">
        <v>19</v>
      </c>
      <c r="G264" s="3" t="s">
        <v>870</v>
      </c>
      <c r="H264" s="5">
        <v>1</v>
      </c>
      <c r="I264" s="3" t="s">
        <v>19</v>
      </c>
      <c r="J264" s="6">
        <v>15000</v>
      </c>
      <c r="K264" s="6">
        <v>0</v>
      </c>
      <c r="L264" s="6">
        <v>4527.77</v>
      </c>
      <c r="M264" s="6">
        <v>0</v>
      </c>
      <c r="N264" s="3" t="s">
        <v>19</v>
      </c>
      <c r="O264" s="6">
        <v>0</v>
      </c>
      <c r="P264" s="6">
        <f>J264-L264</f>
        <v>10472.23</v>
      </c>
    </row>
    <row r="265" ht="18" customHeight="1" spans="1:16" x14ac:dyDescent="0.25">
      <c r="A265" s="7" t="s">
        <v>34</v>
      </c>
      <c r="B265" s="7"/>
      <c r="C265" s="7"/>
      <c r="D265" s="7"/>
      <c r="E265" s="7"/>
      <c r="F265" s="7"/>
      <c r="G265" s="7"/>
      <c r="H265" s="8">
        <f>SUM(H246:H264)</f>
        <v>24</v>
      </c>
      <c r="I265" s="7"/>
      <c r="J265" s="9">
        <f>SUM(J246:J264)</f>
        <v>356000</v>
      </c>
      <c r="K265" s="9">
        <f>SUM(K246:K264)</f>
        <v>0</v>
      </c>
      <c r="L265" s="9">
        <f>SUM(L246:L264)</f>
        <v>151896.52</v>
      </c>
      <c r="M265" s="9">
        <f>SUM(M246:M264)</f>
        <v>0</v>
      </c>
      <c r="N265" s="7"/>
      <c r="O265" s="9">
        <f>SUM(O246:O264)</f>
        <v>0</v>
      </c>
      <c r="P265" s="9">
        <f>SUM(P246:P264)</f>
        <v>204103.48</v>
      </c>
    </row>
    <row r="269" ht="15.75" customHeight="1" spans="1:16" x14ac:dyDescent="0.25">
      <c r="A269" s="1" t="s">
        <v>112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39.4" customHeight="1" spans="1:16" x14ac:dyDescent="0.25">
      <c r="A270" s="2" t="s">
        <v>1</v>
      </c>
      <c r="B270" s="2" t="s">
        <v>2</v>
      </c>
      <c r="C270" s="2" t="s">
        <v>3</v>
      </c>
      <c r="D270" s="2" t="s">
        <v>4</v>
      </c>
      <c r="E270" s="2" t="s">
        <v>5</v>
      </c>
      <c r="F270" s="2" t="s">
        <v>6</v>
      </c>
      <c r="G270" s="2" t="s">
        <v>7</v>
      </c>
      <c r="H270" s="2" t="s">
        <v>8</v>
      </c>
      <c r="I270" s="2" t="s">
        <v>9</v>
      </c>
      <c r="J270" s="2" t="s">
        <v>10</v>
      </c>
      <c r="K270" s="2" t="s">
        <v>11</v>
      </c>
      <c r="L270" s="2" t="s">
        <v>12</v>
      </c>
      <c r="M270" s="2" t="s">
        <v>13</v>
      </c>
      <c r="N270" s="2" t="s">
        <v>14</v>
      </c>
      <c r="O270" s="2" t="s">
        <v>15</v>
      </c>
      <c r="P270" s="2" t="s">
        <v>16</v>
      </c>
    </row>
    <row r="271" spans="1:16" x14ac:dyDescent="0.25">
      <c r="A271" s="3" t="s">
        <v>1207</v>
      </c>
      <c r="B271" s="4" t="s">
        <v>1208</v>
      </c>
      <c r="C271" s="3" t="s">
        <v>19</v>
      </c>
      <c r="D271" s="3" t="s">
        <v>19</v>
      </c>
      <c r="E271" s="3" t="s">
        <v>20</v>
      </c>
      <c r="F271" s="3" t="s">
        <v>19</v>
      </c>
      <c r="G271" s="3" t="s">
        <v>870</v>
      </c>
      <c r="H271" s="5">
        <v>1</v>
      </c>
      <c r="I271" s="3" t="s">
        <v>19</v>
      </c>
      <c r="J271" s="6">
        <v>15000</v>
      </c>
      <c r="K271" s="6">
        <v>0</v>
      </c>
      <c r="L271" s="6">
        <v>4527.77</v>
      </c>
      <c r="M271" s="6">
        <v>0</v>
      </c>
      <c r="N271" s="3" t="s">
        <v>19</v>
      </c>
      <c r="O271" s="6">
        <v>0</v>
      </c>
      <c r="P271" s="6">
        <f>J271-L271</f>
        <v>10472.23</v>
      </c>
    </row>
    <row r="272" spans="1:16" x14ac:dyDescent="0.25">
      <c r="A272" s="3" t="s">
        <v>1209</v>
      </c>
      <c r="B272" s="4" t="s">
        <v>1210</v>
      </c>
      <c r="C272" s="3" t="s">
        <v>19</v>
      </c>
      <c r="D272" s="3" t="s">
        <v>19</v>
      </c>
      <c r="E272" s="3" t="s">
        <v>20</v>
      </c>
      <c r="F272" s="3" t="s">
        <v>19</v>
      </c>
      <c r="G272" s="3" t="s">
        <v>884</v>
      </c>
      <c r="H272" s="5">
        <v>1</v>
      </c>
      <c r="I272" s="3" t="s">
        <v>19</v>
      </c>
      <c r="J272" s="6">
        <v>10000</v>
      </c>
      <c r="K272" s="6">
        <v>0</v>
      </c>
      <c r="L272" s="6">
        <v>2087.18</v>
      </c>
      <c r="M272" s="6">
        <v>0</v>
      </c>
      <c r="N272" s="3" t="s">
        <v>19</v>
      </c>
      <c r="O272" s="6">
        <v>0</v>
      </c>
      <c r="P272" s="6">
        <f>J272-L272</f>
        <v>7912.82</v>
      </c>
    </row>
    <row r="273" spans="1:16" x14ac:dyDescent="0.25">
      <c r="A273" s="3" t="s">
        <v>1211</v>
      </c>
      <c r="B273" s="4" t="s">
        <v>1212</v>
      </c>
      <c r="C273" s="3" t="s">
        <v>19</v>
      </c>
      <c r="D273" s="3" t="s">
        <v>19</v>
      </c>
      <c r="E273" s="3" t="s">
        <v>20</v>
      </c>
      <c r="F273" s="3" t="s">
        <v>19</v>
      </c>
      <c r="G273" s="3" t="s">
        <v>899</v>
      </c>
      <c r="H273" s="5">
        <v>1</v>
      </c>
      <c r="I273" s="3" t="s">
        <v>19</v>
      </c>
      <c r="J273" s="6">
        <v>12000</v>
      </c>
      <c r="K273" s="6">
        <v>0</v>
      </c>
      <c r="L273" s="6">
        <v>6250</v>
      </c>
      <c r="M273" s="6">
        <v>0</v>
      </c>
      <c r="N273" s="3" t="s">
        <v>19</v>
      </c>
      <c r="O273" s="6">
        <v>0</v>
      </c>
      <c r="P273" s="6">
        <f>J273-L273</f>
        <v>5750</v>
      </c>
    </row>
    <row r="274" spans="1:16" x14ac:dyDescent="0.25">
      <c r="A274" s="3" t="s">
        <v>1213</v>
      </c>
      <c r="B274" s="4" t="s">
        <v>1214</v>
      </c>
      <c r="C274" s="3" t="s">
        <v>19</v>
      </c>
      <c r="D274" s="3" t="s">
        <v>19</v>
      </c>
      <c r="E274" s="3" t="s">
        <v>20</v>
      </c>
      <c r="F274" s="3" t="s">
        <v>19</v>
      </c>
      <c r="G274" s="3" t="s">
        <v>884</v>
      </c>
      <c r="H274" s="5">
        <v>1</v>
      </c>
      <c r="I274" s="3" t="s">
        <v>19</v>
      </c>
      <c r="J274" s="6">
        <v>10000</v>
      </c>
      <c r="K274" s="6">
        <v>0</v>
      </c>
      <c r="L274" s="6">
        <v>2087.18</v>
      </c>
      <c r="M274" s="6">
        <v>0</v>
      </c>
      <c r="N274" s="3" t="s">
        <v>19</v>
      </c>
      <c r="O274" s="6">
        <v>0</v>
      </c>
      <c r="P274" s="6">
        <f>J274-L274</f>
        <v>7912.82</v>
      </c>
    </row>
    <row r="275" spans="1:16" x14ac:dyDescent="0.25">
      <c r="A275" s="3" t="s">
        <v>820</v>
      </c>
      <c r="B275" s="4" t="s">
        <v>821</v>
      </c>
      <c r="C275" s="3" t="s">
        <v>19</v>
      </c>
      <c r="D275" s="3" t="s">
        <v>19</v>
      </c>
      <c r="E275" s="3" t="s">
        <v>20</v>
      </c>
      <c r="F275" s="3" t="s">
        <v>19</v>
      </c>
      <c r="G275" s="3" t="s">
        <v>870</v>
      </c>
      <c r="H275" s="5">
        <v>1</v>
      </c>
      <c r="I275" s="3" t="s">
        <v>19</v>
      </c>
      <c r="J275" s="6">
        <v>15000</v>
      </c>
      <c r="K275" s="6">
        <v>0</v>
      </c>
      <c r="L275" s="6">
        <v>4527.77</v>
      </c>
      <c r="M275" s="6">
        <v>0</v>
      </c>
      <c r="N275" s="3" t="s">
        <v>19</v>
      </c>
      <c r="O275" s="6">
        <v>0</v>
      </c>
      <c r="P275" s="6">
        <f>J275-L275</f>
        <v>10472.23</v>
      </c>
    </row>
    <row r="276" spans="1:16" x14ac:dyDescent="0.25">
      <c r="A276" s="3" t="s">
        <v>1215</v>
      </c>
      <c r="B276" s="4" t="s">
        <v>1216</v>
      </c>
      <c r="C276" s="3" t="s">
        <v>19</v>
      </c>
      <c r="D276" s="3" t="s">
        <v>19</v>
      </c>
      <c r="E276" s="3" t="s">
        <v>20</v>
      </c>
      <c r="F276" s="3" t="s">
        <v>19</v>
      </c>
      <c r="G276" s="3" t="s">
        <v>899</v>
      </c>
      <c r="H276" s="5">
        <v>2</v>
      </c>
      <c r="I276" s="3" t="s">
        <v>19</v>
      </c>
      <c r="J276" s="6">
        <v>24000</v>
      </c>
      <c r="K276" s="6">
        <v>0</v>
      </c>
      <c r="L276" s="6">
        <v>12500</v>
      </c>
      <c r="M276" s="6">
        <v>0</v>
      </c>
      <c r="N276" s="3" t="s">
        <v>19</v>
      </c>
      <c r="O276" s="6">
        <v>0</v>
      </c>
      <c r="P276" s="6">
        <f>J276-L276</f>
        <v>11500</v>
      </c>
    </row>
    <row r="277" spans="1:16" x14ac:dyDescent="0.25">
      <c r="A277" s="3" t="s">
        <v>1217</v>
      </c>
      <c r="B277" s="4" t="s">
        <v>1218</v>
      </c>
      <c r="C277" s="3" t="s">
        <v>19</v>
      </c>
      <c r="D277" s="3" t="s">
        <v>19</v>
      </c>
      <c r="E277" s="3" t="s">
        <v>20</v>
      </c>
      <c r="F277" s="3" t="s">
        <v>19</v>
      </c>
      <c r="G277" s="3" t="s">
        <v>870</v>
      </c>
      <c r="H277" s="5">
        <v>1</v>
      </c>
      <c r="I277" s="3" t="s">
        <v>19</v>
      </c>
      <c r="J277" s="6">
        <v>15000</v>
      </c>
      <c r="K277" s="6">
        <v>0</v>
      </c>
      <c r="L277" s="6">
        <v>4527.77</v>
      </c>
      <c r="M277" s="6">
        <v>0</v>
      </c>
      <c r="N277" s="3" t="s">
        <v>19</v>
      </c>
      <c r="O277" s="6">
        <v>0</v>
      </c>
      <c r="P277" s="6">
        <f>J277-L277</f>
        <v>10472.23</v>
      </c>
    </row>
    <row r="278" spans="1:16" x14ac:dyDescent="0.25">
      <c r="A278" s="3" t="s">
        <v>505</v>
      </c>
      <c r="B278" s="4" t="s">
        <v>506</v>
      </c>
      <c r="C278" s="3" t="s">
        <v>19</v>
      </c>
      <c r="D278" s="3" t="s">
        <v>19</v>
      </c>
      <c r="E278" s="3" t="s">
        <v>20</v>
      </c>
      <c r="F278" s="3" t="s">
        <v>19</v>
      </c>
      <c r="G278" s="3" t="s">
        <v>884</v>
      </c>
      <c r="H278" s="5">
        <v>1</v>
      </c>
      <c r="I278" s="3" t="s">
        <v>19</v>
      </c>
      <c r="J278" s="6">
        <v>10000</v>
      </c>
      <c r="K278" s="6">
        <v>0</v>
      </c>
      <c r="L278" s="6">
        <v>2087.18</v>
      </c>
      <c r="M278" s="6">
        <v>0</v>
      </c>
      <c r="N278" s="3" t="s">
        <v>19</v>
      </c>
      <c r="O278" s="6">
        <v>0</v>
      </c>
      <c r="P278" s="6">
        <f>J278-L278</f>
        <v>7912.82</v>
      </c>
    </row>
    <row r="279" spans="1:16" x14ac:dyDescent="0.25">
      <c r="A279" s="3" t="s">
        <v>1219</v>
      </c>
      <c r="B279" s="4" t="s">
        <v>1220</v>
      </c>
      <c r="C279" s="3" t="s">
        <v>19</v>
      </c>
      <c r="D279" s="3" t="s">
        <v>19</v>
      </c>
      <c r="E279" s="3" t="s">
        <v>20</v>
      </c>
      <c r="F279" s="3" t="s">
        <v>19</v>
      </c>
      <c r="G279" s="3" t="s">
        <v>870</v>
      </c>
      <c r="H279" s="5">
        <v>1</v>
      </c>
      <c r="I279" s="3" t="s">
        <v>19</v>
      </c>
      <c r="J279" s="6">
        <v>15000</v>
      </c>
      <c r="K279" s="6">
        <v>0</v>
      </c>
      <c r="L279" s="6">
        <v>4527.77</v>
      </c>
      <c r="M279" s="6">
        <v>0</v>
      </c>
      <c r="N279" s="3" t="s">
        <v>19</v>
      </c>
      <c r="O279" s="6">
        <v>0</v>
      </c>
      <c r="P279" s="6">
        <f>J279-L279</f>
        <v>10472.23</v>
      </c>
    </row>
    <row r="280" spans="1:16" x14ac:dyDescent="0.25">
      <c r="A280" s="3" t="s">
        <v>521</v>
      </c>
      <c r="B280" s="4" t="s">
        <v>522</v>
      </c>
      <c r="C280" s="3" t="s">
        <v>19</v>
      </c>
      <c r="D280" s="3" t="s">
        <v>19</v>
      </c>
      <c r="E280" s="3" t="s">
        <v>25</v>
      </c>
      <c r="F280" s="3" t="s">
        <v>19</v>
      </c>
      <c r="G280" s="3" t="s">
        <v>873</v>
      </c>
      <c r="H280" s="5">
        <v>1</v>
      </c>
      <c r="I280" s="3" t="s">
        <v>19</v>
      </c>
      <c r="J280" s="6">
        <v>12000</v>
      </c>
      <c r="K280" s="6">
        <v>0</v>
      </c>
      <c r="L280" s="6">
        <v>6250</v>
      </c>
      <c r="M280" s="6">
        <v>0</v>
      </c>
      <c r="N280" s="3" t="s">
        <v>19</v>
      </c>
      <c r="O280" s="6">
        <v>0</v>
      </c>
      <c r="P280" s="6">
        <f>J280-L280</f>
        <v>5750</v>
      </c>
    </row>
    <row r="281" spans="1:16" x14ac:dyDescent="0.25">
      <c r="A281" s="3" t="s">
        <v>1221</v>
      </c>
      <c r="B281" s="4" t="s">
        <v>1222</v>
      </c>
      <c r="C281" s="3" t="s">
        <v>19</v>
      </c>
      <c r="D281" s="3" t="s">
        <v>19</v>
      </c>
      <c r="E281" s="3" t="s">
        <v>25</v>
      </c>
      <c r="F281" s="3" t="s">
        <v>19</v>
      </c>
      <c r="G281" s="3" t="s">
        <v>904</v>
      </c>
      <c r="H281" s="5">
        <v>1</v>
      </c>
      <c r="I281" s="3" t="s">
        <v>19</v>
      </c>
      <c r="J281" s="6">
        <v>20000</v>
      </c>
      <c r="K281" s="6">
        <v>0</v>
      </c>
      <c r="L281" s="6">
        <v>10250</v>
      </c>
      <c r="M281" s="6">
        <v>0</v>
      </c>
      <c r="N281" s="3" t="s">
        <v>19</v>
      </c>
      <c r="O281" s="6">
        <v>0</v>
      </c>
      <c r="P281" s="6">
        <f>J281-L281</f>
        <v>9750</v>
      </c>
    </row>
    <row r="282" spans="1:16" x14ac:dyDescent="0.25">
      <c r="A282" s="3" t="s">
        <v>526</v>
      </c>
      <c r="B282" s="4" t="s">
        <v>527</v>
      </c>
      <c r="C282" s="3" t="s">
        <v>19</v>
      </c>
      <c r="D282" s="3" t="s">
        <v>19</v>
      </c>
      <c r="E282" s="3" t="s">
        <v>25</v>
      </c>
      <c r="F282" s="3" t="s">
        <v>19</v>
      </c>
      <c r="G282" s="3" t="s">
        <v>884</v>
      </c>
      <c r="H282" s="5">
        <v>1</v>
      </c>
      <c r="I282" s="3" t="s">
        <v>19</v>
      </c>
      <c r="J282" s="6">
        <v>10000</v>
      </c>
      <c r="K282" s="6">
        <v>0</v>
      </c>
      <c r="L282" s="6">
        <v>2087.18</v>
      </c>
      <c r="M282" s="6">
        <v>0</v>
      </c>
      <c r="N282" s="3" t="s">
        <v>19</v>
      </c>
      <c r="O282" s="6">
        <v>0</v>
      </c>
      <c r="P282" s="6">
        <f>J282-L282</f>
        <v>7912.82</v>
      </c>
    </row>
    <row r="283" spans="1:16" x14ac:dyDescent="0.25">
      <c r="A283" s="3" t="s">
        <v>832</v>
      </c>
      <c r="B283" s="4" t="s">
        <v>833</v>
      </c>
      <c r="C283" s="3" t="s">
        <v>19</v>
      </c>
      <c r="D283" s="3" t="s">
        <v>19</v>
      </c>
      <c r="E283" s="3" t="s">
        <v>25</v>
      </c>
      <c r="F283" s="3" t="s">
        <v>19</v>
      </c>
      <c r="G283" s="3" t="s">
        <v>873</v>
      </c>
      <c r="H283" s="5">
        <v>1</v>
      </c>
      <c r="I283" s="3" t="s">
        <v>19</v>
      </c>
      <c r="J283" s="6">
        <v>12000</v>
      </c>
      <c r="K283" s="6">
        <v>0</v>
      </c>
      <c r="L283" s="6">
        <v>6250</v>
      </c>
      <c r="M283" s="6">
        <v>0</v>
      </c>
      <c r="N283" s="3" t="s">
        <v>19</v>
      </c>
      <c r="O283" s="6">
        <v>0</v>
      </c>
      <c r="P283" s="6">
        <f>J283-L283</f>
        <v>5750</v>
      </c>
    </row>
    <row r="284" spans="1:16" x14ac:dyDescent="0.25">
      <c r="A284" s="3" t="s">
        <v>1223</v>
      </c>
      <c r="B284" s="4" t="s">
        <v>1224</v>
      </c>
      <c r="C284" s="3" t="s">
        <v>19</v>
      </c>
      <c r="D284" s="3" t="s">
        <v>19</v>
      </c>
      <c r="E284" s="3" t="s">
        <v>25</v>
      </c>
      <c r="F284" s="3" t="s">
        <v>19</v>
      </c>
      <c r="G284" s="3" t="s">
        <v>870</v>
      </c>
      <c r="H284" s="5">
        <v>1</v>
      </c>
      <c r="I284" s="3" t="s">
        <v>19</v>
      </c>
      <c r="J284" s="6">
        <v>15000</v>
      </c>
      <c r="K284" s="6">
        <v>0</v>
      </c>
      <c r="L284" s="6">
        <v>4903.46</v>
      </c>
      <c r="M284" s="6">
        <v>0</v>
      </c>
      <c r="N284" s="3" t="s">
        <v>19</v>
      </c>
      <c r="O284" s="6">
        <v>0</v>
      </c>
      <c r="P284" s="6">
        <f>J284-L284</f>
        <v>10096.54</v>
      </c>
    </row>
    <row r="285" spans="1:16" x14ac:dyDescent="0.25">
      <c r="A285" s="3" t="s">
        <v>1223</v>
      </c>
      <c r="B285" s="4" t="s">
        <v>1224</v>
      </c>
      <c r="C285" s="3" t="s">
        <v>19</v>
      </c>
      <c r="D285" s="3" t="s">
        <v>19</v>
      </c>
      <c r="E285" s="3" t="s">
        <v>25</v>
      </c>
      <c r="F285" s="3" t="s">
        <v>19</v>
      </c>
      <c r="G285" s="3" t="s">
        <v>899</v>
      </c>
      <c r="H285" s="5">
        <v>1</v>
      </c>
      <c r="I285" s="3" t="s">
        <v>19</v>
      </c>
      <c r="J285" s="6">
        <v>12000</v>
      </c>
      <c r="K285" s="6">
        <v>0</v>
      </c>
      <c r="L285" s="6">
        <v>6250</v>
      </c>
      <c r="M285" s="6">
        <v>0</v>
      </c>
      <c r="N285" s="3" t="s">
        <v>19</v>
      </c>
      <c r="O285" s="6">
        <v>0</v>
      </c>
      <c r="P285" s="6">
        <f>J285-L285</f>
        <v>5750</v>
      </c>
    </row>
    <row r="286" spans="1:16" x14ac:dyDescent="0.25">
      <c r="A286" s="3" t="s">
        <v>1225</v>
      </c>
      <c r="B286" s="4" t="s">
        <v>1226</v>
      </c>
      <c r="C286" s="3" t="s">
        <v>19</v>
      </c>
      <c r="D286" s="3" t="s">
        <v>19</v>
      </c>
      <c r="E286" s="3" t="s">
        <v>25</v>
      </c>
      <c r="F286" s="3" t="s">
        <v>19</v>
      </c>
      <c r="G286" s="3" t="s">
        <v>870</v>
      </c>
      <c r="H286" s="5">
        <v>1</v>
      </c>
      <c r="I286" s="3" t="s">
        <v>19</v>
      </c>
      <c r="J286" s="6">
        <v>15000</v>
      </c>
      <c r="K286" s="6">
        <v>0</v>
      </c>
      <c r="L286" s="6">
        <v>4903.46</v>
      </c>
      <c r="M286" s="6">
        <v>0</v>
      </c>
      <c r="N286" s="3" t="s">
        <v>19</v>
      </c>
      <c r="O286" s="6">
        <v>0</v>
      </c>
      <c r="P286" s="6">
        <f>J286-L286</f>
        <v>10096.54</v>
      </c>
    </row>
    <row r="287" spans="1:16" x14ac:dyDescent="0.25">
      <c r="A287" s="3" t="s">
        <v>1227</v>
      </c>
      <c r="B287" s="4" t="s">
        <v>1228</v>
      </c>
      <c r="C287" s="3" t="s">
        <v>19</v>
      </c>
      <c r="D287" s="3" t="s">
        <v>19</v>
      </c>
      <c r="E287" s="3" t="s">
        <v>25</v>
      </c>
      <c r="F287" s="3" t="s">
        <v>19</v>
      </c>
      <c r="G287" s="3" t="s">
        <v>870</v>
      </c>
      <c r="H287" s="5">
        <v>1</v>
      </c>
      <c r="I287" s="3" t="s">
        <v>19</v>
      </c>
      <c r="J287" s="6">
        <v>15000</v>
      </c>
      <c r="K287" s="6">
        <v>0</v>
      </c>
      <c r="L287" s="6">
        <v>4903.46</v>
      </c>
      <c r="M287" s="6">
        <v>0</v>
      </c>
      <c r="N287" s="3" t="s">
        <v>19</v>
      </c>
      <c r="O287" s="6">
        <v>0</v>
      </c>
      <c r="P287" s="6">
        <f>J287-L287</f>
        <v>10096.54</v>
      </c>
    </row>
    <row r="288" spans="1:16" x14ac:dyDescent="0.25">
      <c r="A288" s="3" t="s">
        <v>1229</v>
      </c>
      <c r="B288" s="4" t="s">
        <v>1230</v>
      </c>
      <c r="C288" s="3" t="s">
        <v>19</v>
      </c>
      <c r="D288" s="3" t="s">
        <v>19</v>
      </c>
      <c r="E288" s="3" t="s">
        <v>25</v>
      </c>
      <c r="F288" s="3" t="s">
        <v>19</v>
      </c>
      <c r="G288" s="3" t="s">
        <v>870</v>
      </c>
      <c r="H288" s="5">
        <v>1</v>
      </c>
      <c r="I288" s="3" t="s">
        <v>19</v>
      </c>
      <c r="J288" s="6">
        <v>15000</v>
      </c>
      <c r="K288" s="6">
        <v>0</v>
      </c>
      <c r="L288" s="6">
        <v>4903.46</v>
      </c>
      <c r="M288" s="6">
        <v>0</v>
      </c>
      <c r="N288" s="3" t="s">
        <v>19</v>
      </c>
      <c r="O288" s="6">
        <v>0</v>
      </c>
      <c r="P288" s="6">
        <f>J288-L288</f>
        <v>10096.54</v>
      </c>
    </row>
    <row r="289" spans="1:16" x14ac:dyDescent="0.25">
      <c r="A289" s="3" t="s">
        <v>1231</v>
      </c>
      <c r="B289" s="4" t="s">
        <v>1232</v>
      </c>
      <c r="C289" s="3" t="s">
        <v>19</v>
      </c>
      <c r="D289" s="3" t="s">
        <v>19</v>
      </c>
      <c r="E289" s="3" t="s">
        <v>25</v>
      </c>
      <c r="F289" s="3" t="s">
        <v>19</v>
      </c>
      <c r="G289" s="3" t="s">
        <v>884</v>
      </c>
      <c r="H289" s="5">
        <v>1</v>
      </c>
      <c r="I289" s="3" t="s">
        <v>19</v>
      </c>
      <c r="J289" s="6">
        <v>10000</v>
      </c>
      <c r="K289" s="6">
        <v>0</v>
      </c>
      <c r="L289" s="6">
        <v>2258.65</v>
      </c>
      <c r="M289" s="6">
        <v>0</v>
      </c>
      <c r="N289" s="3" t="s">
        <v>19</v>
      </c>
      <c r="O289" s="6">
        <v>0</v>
      </c>
      <c r="P289" s="6">
        <f>J289-L289</f>
        <v>7741.35</v>
      </c>
    </row>
    <row r="290" spans="1:16" x14ac:dyDescent="0.25">
      <c r="A290" s="3" t="s">
        <v>1231</v>
      </c>
      <c r="B290" s="4" t="s">
        <v>1232</v>
      </c>
      <c r="C290" s="3" t="s">
        <v>19</v>
      </c>
      <c r="D290" s="3" t="s">
        <v>19</v>
      </c>
      <c r="E290" s="3" t="s">
        <v>25</v>
      </c>
      <c r="F290" s="3" t="s">
        <v>19</v>
      </c>
      <c r="G290" s="3" t="s">
        <v>870</v>
      </c>
      <c r="H290" s="5">
        <v>1</v>
      </c>
      <c r="I290" s="3" t="s">
        <v>19</v>
      </c>
      <c r="J290" s="6">
        <v>15000</v>
      </c>
      <c r="K290" s="6">
        <v>0</v>
      </c>
      <c r="L290" s="6">
        <v>4903.46</v>
      </c>
      <c r="M290" s="6">
        <v>0</v>
      </c>
      <c r="N290" s="3" t="s">
        <v>19</v>
      </c>
      <c r="O290" s="6">
        <v>0</v>
      </c>
      <c r="P290" s="6">
        <f>J290-L290</f>
        <v>10096.54</v>
      </c>
    </row>
    <row r="291" spans="1:16" x14ac:dyDescent="0.25">
      <c r="A291" s="3" t="s">
        <v>1233</v>
      </c>
      <c r="B291" s="4" t="s">
        <v>1234</v>
      </c>
      <c r="C291" s="3" t="s">
        <v>19</v>
      </c>
      <c r="D291" s="3" t="s">
        <v>19</v>
      </c>
      <c r="E291" s="3" t="s">
        <v>25</v>
      </c>
      <c r="F291" s="3" t="s">
        <v>19</v>
      </c>
      <c r="G291" s="3" t="s">
        <v>870</v>
      </c>
      <c r="H291" s="5">
        <v>1</v>
      </c>
      <c r="I291" s="3" t="s">
        <v>19</v>
      </c>
      <c r="J291" s="6">
        <v>15000</v>
      </c>
      <c r="K291" s="6">
        <v>0</v>
      </c>
      <c r="L291" s="6">
        <v>4903.46</v>
      </c>
      <c r="M291" s="6">
        <v>0</v>
      </c>
      <c r="N291" s="3" t="s">
        <v>19</v>
      </c>
      <c r="O291" s="6">
        <v>0</v>
      </c>
      <c r="P291" s="6">
        <f>J291-L291</f>
        <v>10096.54</v>
      </c>
    </row>
    <row r="292" spans="1:16" x14ac:dyDescent="0.25">
      <c r="A292" s="3" t="s">
        <v>1235</v>
      </c>
      <c r="B292" s="4" t="s">
        <v>1236</v>
      </c>
      <c r="C292" s="3" t="s">
        <v>19</v>
      </c>
      <c r="D292" s="3" t="s">
        <v>19</v>
      </c>
      <c r="E292" s="3" t="s">
        <v>25</v>
      </c>
      <c r="F292" s="3" t="s">
        <v>19</v>
      </c>
      <c r="G292" s="3" t="s">
        <v>870</v>
      </c>
      <c r="H292" s="5">
        <v>1</v>
      </c>
      <c r="I292" s="3" t="s">
        <v>19</v>
      </c>
      <c r="J292" s="6">
        <v>15000</v>
      </c>
      <c r="K292" s="6">
        <v>0</v>
      </c>
      <c r="L292" s="6">
        <v>4903.46</v>
      </c>
      <c r="M292" s="6">
        <v>0</v>
      </c>
      <c r="N292" s="3" t="s">
        <v>19</v>
      </c>
      <c r="O292" s="6">
        <v>0</v>
      </c>
      <c r="P292" s="6">
        <f>J292-L292</f>
        <v>10096.54</v>
      </c>
    </row>
    <row r="293" spans="1:16" x14ac:dyDescent="0.25">
      <c r="A293" s="3" t="s">
        <v>1237</v>
      </c>
      <c r="B293" s="4" t="s">
        <v>1238</v>
      </c>
      <c r="C293" s="3" t="s">
        <v>19</v>
      </c>
      <c r="D293" s="3" t="s">
        <v>19</v>
      </c>
      <c r="E293" s="3" t="s">
        <v>25</v>
      </c>
      <c r="F293" s="3" t="s">
        <v>19</v>
      </c>
      <c r="G293" s="3" t="s">
        <v>870</v>
      </c>
      <c r="H293" s="5">
        <v>1</v>
      </c>
      <c r="I293" s="3" t="s">
        <v>19</v>
      </c>
      <c r="J293" s="6">
        <v>15000</v>
      </c>
      <c r="K293" s="6">
        <v>0</v>
      </c>
      <c r="L293" s="6">
        <v>4903.46</v>
      </c>
      <c r="M293" s="6">
        <v>0</v>
      </c>
      <c r="N293" s="3" t="s">
        <v>19</v>
      </c>
      <c r="O293" s="6">
        <v>0</v>
      </c>
      <c r="P293" s="6">
        <f>J293-L293</f>
        <v>10096.54</v>
      </c>
    </row>
    <row r="294" spans="1:16" x14ac:dyDescent="0.25">
      <c r="A294" s="3" t="s">
        <v>834</v>
      </c>
      <c r="B294" s="4" t="s">
        <v>835</v>
      </c>
      <c r="C294" s="3" t="s">
        <v>19</v>
      </c>
      <c r="D294" s="3" t="s">
        <v>19</v>
      </c>
      <c r="E294" s="3" t="s">
        <v>52</v>
      </c>
      <c r="F294" s="3" t="s">
        <v>19</v>
      </c>
      <c r="G294" s="3" t="s">
        <v>870</v>
      </c>
      <c r="H294" s="5">
        <v>1</v>
      </c>
      <c r="I294" s="3" t="s">
        <v>19</v>
      </c>
      <c r="J294" s="6">
        <v>15000</v>
      </c>
      <c r="K294" s="6">
        <v>0</v>
      </c>
      <c r="L294" s="6">
        <v>4903.46</v>
      </c>
      <c r="M294" s="6">
        <v>0</v>
      </c>
      <c r="N294" s="3" t="s">
        <v>19</v>
      </c>
      <c r="O294" s="6">
        <v>0</v>
      </c>
      <c r="P294" s="6">
        <f>J294-L294</f>
        <v>10096.54</v>
      </c>
    </row>
    <row r="295" spans="1:16" x14ac:dyDescent="0.25">
      <c r="A295" s="3" t="s">
        <v>1239</v>
      </c>
      <c r="B295" s="4" t="s">
        <v>1240</v>
      </c>
      <c r="C295" s="3" t="s">
        <v>19</v>
      </c>
      <c r="D295" s="3" t="s">
        <v>19</v>
      </c>
      <c r="E295" s="3" t="s">
        <v>52</v>
      </c>
      <c r="F295" s="3" t="s">
        <v>19</v>
      </c>
      <c r="G295" s="3" t="s">
        <v>884</v>
      </c>
      <c r="H295" s="5">
        <v>1</v>
      </c>
      <c r="I295" s="3" t="s">
        <v>19</v>
      </c>
      <c r="J295" s="6">
        <v>10000</v>
      </c>
      <c r="K295" s="6">
        <v>0</v>
      </c>
      <c r="L295" s="6">
        <v>2258.65</v>
      </c>
      <c r="M295" s="6">
        <v>0</v>
      </c>
      <c r="N295" s="3" t="s">
        <v>19</v>
      </c>
      <c r="O295" s="6">
        <v>0</v>
      </c>
      <c r="P295" s="6">
        <f>J295-L295</f>
        <v>7741.35</v>
      </c>
    </row>
    <row r="296" spans="1:16" x14ac:dyDescent="0.25">
      <c r="A296" s="3" t="s">
        <v>1241</v>
      </c>
      <c r="B296" s="4" t="s">
        <v>1242</v>
      </c>
      <c r="C296" s="3" t="s">
        <v>19</v>
      </c>
      <c r="D296" s="3" t="s">
        <v>19</v>
      </c>
      <c r="E296" s="3" t="s">
        <v>52</v>
      </c>
      <c r="F296" s="3" t="s">
        <v>19</v>
      </c>
      <c r="G296" s="3" t="s">
        <v>870</v>
      </c>
      <c r="H296" s="5">
        <v>1</v>
      </c>
      <c r="I296" s="3" t="s">
        <v>19</v>
      </c>
      <c r="J296" s="6">
        <v>15000</v>
      </c>
      <c r="K296" s="6">
        <v>0</v>
      </c>
      <c r="L296" s="6">
        <v>4903.46</v>
      </c>
      <c r="M296" s="6">
        <v>0</v>
      </c>
      <c r="N296" s="3" t="s">
        <v>19</v>
      </c>
      <c r="O296" s="6">
        <v>0</v>
      </c>
      <c r="P296" s="6">
        <f>J296-L296</f>
        <v>10096.54</v>
      </c>
    </row>
    <row r="297" ht="18" customHeight="1" spans="1:16" x14ac:dyDescent="0.25">
      <c r="A297" s="7" t="s">
        <v>34</v>
      </c>
      <c r="B297" s="7"/>
      <c r="C297" s="7"/>
      <c r="D297" s="7"/>
      <c r="E297" s="7"/>
      <c r="F297" s="7"/>
      <c r="G297" s="7"/>
      <c r="H297" s="8">
        <f>SUM(H271:H296)</f>
        <v>27</v>
      </c>
      <c r="I297" s="7"/>
      <c r="J297" s="9">
        <f>SUM(J271:J296)</f>
        <v>362000</v>
      </c>
      <c r="K297" s="9">
        <f>SUM(K271:K296)</f>
        <v>0</v>
      </c>
      <c r="L297" s="9">
        <f>SUM(L271:L296)</f>
        <v>127761.70000000004</v>
      </c>
      <c r="M297" s="9">
        <f>SUM(M271:M296)</f>
        <v>0</v>
      </c>
      <c r="N297" s="7"/>
      <c r="O297" s="9">
        <f>SUM(O271:O296)</f>
        <v>0</v>
      </c>
      <c r="P297" s="9">
        <f>SUM(P271:P296)</f>
        <v>234238.30000000008</v>
      </c>
    </row>
    <row r="301" ht="15.75" customHeight="1" spans="1:16" x14ac:dyDescent="0.25">
      <c r="A301" s="1" t="s">
        <v>124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39.4" customHeight="1" spans="1:16" x14ac:dyDescent="0.25">
      <c r="A302" s="2" t="s">
        <v>1</v>
      </c>
      <c r="B302" s="2" t="s">
        <v>2</v>
      </c>
      <c r="C302" s="2" t="s">
        <v>3</v>
      </c>
      <c r="D302" s="2" t="s">
        <v>4</v>
      </c>
      <c r="E302" s="2" t="s">
        <v>5</v>
      </c>
      <c r="F302" s="2" t="s">
        <v>6</v>
      </c>
      <c r="G302" s="2" t="s">
        <v>7</v>
      </c>
      <c r="H302" s="2" t="s">
        <v>8</v>
      </c>
      <c r="I302" s="2" t="s">
        <v>9</v>
      </c>
      <c r="J302" s="2" t="s">
        <v>10</v>
      </c>
      <c r="K302" s="2" t="s">
        <v>11</v>
      </c>
      <c r="L302" s="2" t="s">
        <v>12</v>
      </c>
      <c r="M302" s="2" t="s">
        <v>13</v>
      </c>
      <c r="N302" s="2" t="s">
        <v>14</v>
      </c>
      <c r="O302" s="2" t="s">
        <v>15</v>
      </c>
      <c r="P302" s="2" t="s">
        <v>16</v>
      </c>
    </row>
    <row r="303" spans="1:16" x14ac:dyDescent="0.25">
      <c r="A303" s="3" t="s">
        <v>534</v>
      </c>
      <c r="B303" s="4" t="s">
        <v>535</v>
      </c>
      <c r="C303" s="3" t="s">
        <v>19</v>
      </c>
      <c r="D303" s="3" t="s">
        <v>19</v>
      </c>
      <c r="E303" s="3" t="s">
        <v>20</v>
      </c>
      <c r="F303" s="3" t="s">
        <v>19</v>
      </c>
      <c r="G303" s="3" t="s">
        <v>884</v>
      </c>
      <c r="H303" s="5">
        <v>1</v>
      </c>
      <c r="I303" s="3" t="s">
        <v>19</v>
      </c>
      <c r="J303" s="6">
        <v>10000</v>
      </c>
      <c r="K303" s="6">
        <v>0</v>
      </c>
      <c r="L303" s="6">
        <v>2258.65</v>
      </c>
      <c r="M303" s="6">
        <v>0</v>
      </c>
      <c r="N303" s="3" t="s">
        <v>19</v>
      </c>
      <c r="O303" s="6">
        <v>0</v>
      </c>
      <c r="P303" s="6">
        <f>J303-L303</f>
        <v>7741.35</v>
      </c>
    </row>
    <row r="304" spans="1:16" x14ac:dyDescent="0.25">
      <c r="A304" s="3" t="s">
        <v>1243</v>
      </c>
      <c r="B304" s="4" t="s">
        <v>1244</v>
      </c>
      <c r="C304" s="3" t="s">
        <v>19</v>
      </c>
      <c r="D304" s="3" t="s">
        <v>19</v>
      </c>
      <c r="E304" s="3" t="s">
        <v>20</v>
      </c>
      <c r="F304" s="3" t="s">
        <v>19</v>
      </c>
      <c r="G304" s="3" t="s">
        <v>870</v>
      </c>
      <c r="H304" s="5">
        <v>2</v>
      </c>
      <c r="I304" s="3" t="s">
        <v>19</v>
      </c>
      <c r="J304" s="6">
        <v>30000</v>
      </c>
      <c r="K304" s="6">
        <v>0</v>
      </c>
      <c r="L304" s="6">
        <v>9806.92</v>
      </c>
      <c r="M304" s="6">
        <v>0</v>
      </c>
      <c r="N304" s="3" t="s">
        <v>19</v>
      </c>
      <c r="O304" s="6">
        <v>0</v>
      </c>
      <c r="P304" s="6">
        <f>J304-L304</f>
        <v>20193.08</v>
      </c>
    </row>
    <row r="305" spans="1:16" x14ac:dyDescent="0.25">
      <c r="A305" s="3" t="s">
        <v>1245</v>
      </c>
      <c r="B305" s="4" t="s">
        <v>1246</v>
      </c>
      <c r="C305" s="3" t="s">
        <v>19</v>
      </c>
      <c r="D305" s="3" t="s">
        <v>19</v>
      </c>
      <c r="E305" s="3" t="s">
        <v>20</v>
      </c>
      <c r="F305" s="3" t="s">
        <v>19</v>
      </c>
      <c r="G305" s="3" t="s">
        <v>870</v>
      </c>
      <c r="H305" s="5">
        <v>1</v>
      </c>
      <c r="I305" s="3" t="s">
        <v>19</v>
      </c>
      <c r="J305" s="6">
        <v>15000</v>
      </c>
      <c r="K305" s="6">
        <v>0</v>
      </c>
      <c r="L305" s="6">
        <v>4903.46</v>
      </c>
      <c r="M305" s="6">
        <v>0</v>
      </c>
      <c r="N305" s="3" t="s">
        <v>19</v>
      </c>
      <c r="O305" s="6">
        <v>0</v>
      </c>
      <c r="P305" s="6">
        <f>J305-L305</f>
        <v>10096.54</v>
      </c>
    </row>
    <row r="306" spans="1:16" x14ac:dyDescent="0.25">
      <c r="A306" s="3" t="s">
        <v>1247</v>
      </c>
      <c r="B306" s="4" t="s">
        <v>1248</v>
      </c>
      <c r="C306" s="3" t="s">
        <v>19</v>
      </c>
      <c r="D306" s="3" t="s">
        <v>19</v>
      </c>
      <c r="E306" s="3" t="s">
        <v>20</v>
      </c>
      <c r="F306" s="3" t="s">
        <v>19</v>
      </c>
      <c r="G306" s="3" t="s">
        <v>870</v>
      </c>
      <c r="H306" s="5">
        <v>1</v>
      </c>
      <c r="I306" s="3" t="s">
        <v>19</v>
      </c>
      <c r="J306" s="6">
        <v>15000</v>
      </c>
      <c r="K306" s="6">
        <v>0</v>
      </c>
      <c r="L306" s="6">
        <v>4903.46</v>
      </c>
      <c r="M306" s="6">
        <v>0</v>
      </c>
      <c r="N306" s="3" t="s">
        <v>19</v>
      </c>
      <c r="O306" s="6">
        <v>0</v>
      </c>
      <c r="P306" s="6">
        <f>J306-L306</f>
        <v>10096.54</v>
      </c>
    </row>
    <row r="307" spans="1:16" x14ac:dyDescent="0.25">
      <c r="A307" s="3" t="s">
        <v>1249</v>
      </c>
      <c r="B307" s="4" t="s">
        <v>1250</v>
      </c>
      <c r="C307" s="3" t="s">
        <v>19</v>
      </c>
      <c r="D307" s="3" t="s">
        <v>19</v>
      </c>
      <c r="E307" s="3" t="s">
        <v>20</v>
      </c>
      <c r="F307" s="3" t="s">
        <v>19</v>
      </c>
      <c r="G307" s="3" t="s">
        <v>873</v>
      </c>
      <c r="H307" s="5">
        <v>1</v>
      </c>
      <c r="I307" s="3" t="s">
        <v>19</v>
      </c>
      <c r="J307" s="6">
        <v>12000</v>
      </c>
      <c r="K307" s="6">
        <v>0</v>
      </c>
      <c r="L307" s="6">
        <v>6250</v>
      </c>
      <c r="M307" s="6">
        <v>0</v>
      </c>
      <c r="N307" s="3" t="s">
        <v>19</v>
      </c>
      <c r="O307" s="6">
        <v>0</v>
      </c>
      <c r="P307" s="6">
        <f>J307-L307</f>
        <v>5750</v>
      </c>
    </row>
    <row r="308" spans="1:16" x14ac:dyDescent="0.25">
      <c r="A308" s="3" t="s">
        <v>1251</v>
      </c>
      <c r="B308" s="4" t="s">
        <v>1252</v>
      </c>
      <c r="C308" s="3" t="s">
        <v>19</v>
      </c>
      <c r="D308" s="3" t="s">
        <v>19</v>
      </c>
      <c r="E308" s="3" t="s">
        <v>20</v>
      </c>
      <c r="F308" s="3" t="s">
        <v>19</v>
      </c>
      <c r="G308" s="3" t="s">
        <v>884</v>
      </c>
      <c r="H308" s="5">
        <v>2</v>
      </c>
      <c r="I308" s="3" t="s">
        <v>19</v>
      </c>
      <c r="J308" s="6">
        <v>20000</v>
      </c>
      <c r="K308" s="6">
        <v>0</v>
      </c>
      <c r="L308" s="6">
        <v>4517.3</v>
      </c>
      <c r="M308" s="6">
        <v>0</v>
      </c>
      <c r="N308" s="3" t="s">
        <v>19</v>
      </c>
      <c r="O308" s="6">
        <v>0</v>
      </c>
      <c r="P308" s="6">
        <f>J308-L308</f>
        <v>15482.7</v>
      </c>
    </row>
    <row r="309" spans="1:16" x14ac:dyDescent="0.25">
      <c r="A309" s="3" t="s">
        <v>1253</v>
      </c>
      <c r="B309" s="4" t="s">
        <v>1254</v>
      </c>
      <c r="C309" s="3" t="s">
        <v>19</v>
      </c>
      <c r="D309" s="3" t="s">
        <v>19</v>
      </c>
      <c r="E309" s="3" t="s">
        <v>20</v>
      </c>
      <c r="F309" s="3" t="s">
        <v>19</v>
      </c>
      <c r="G309" s="3" t="s">
        <v>870</v>
      </c>
      <c r="H309" s="5">
        <v>1</v>
      </c>
      <c r="I309" s="3" t="s">
        <v>19</v>
      </c>
      <c r="J309" s="6">
        <v>15000</v>
      </c>
      <c r="K309" s="6">
        <v>0</v>
      </c>
      <c r="L309" s="6">
        <v>4903.46</v>
      </c>
      <c r="M309" s="6">
        <v>0</v>
      </c>
      <c r="N309" s="3" t="s">
        <v>19</v>
      </c>
      <c r="O309" s="6">
        <v>0</v>
      </c>
      <c r="P309" s="6">
        <f>J309-L309</f>
        <v>10096.54</v>
      </c>
    </row>
    <row r="310" spans="1:16" x14ac:dyDescent="0.25">
      <c r="A310" s="3" t="s">
        <v>1255</v>
      </c>
      <c r="B310" s="4" t="s">
        <v>1256</v>
      </c>
      <c r="C310" s="3" t="s">
        <v>19</v>
      </c>
      <c r="D310" s="3" t="s">
        <v>19</v>
      </c>
      <c r="E310" s="3" t="s">
        <v>20</v>
      </c>
      <c r="F310" s="3" t="s">
        <v>19</v>
      </c>
      <c r="G310" s="3" t="s">
        <v>873</v>
      </c>
      <c r="H310" s="5">
        <v>1</v>
      </c>
      <c r="I310" s="3" t="s">
        <v>19</v>
      </c>
      <c r="J310" s="6">
        <v>12000</v>
      </c>
      <c r="K310" s="6">
        <v>0</v>
      </c>
      <c r="L310" s="6">
        <v>6250</v>
      </c>
      <c r="M310" s="6">
        <v>0</v>
      </c>
      <c r="N310" s="3" t="s">
        <v>19</v>
      </c>
      <c r="O310" s="6">
        <v>0</v>
      </c>
      <c r="P310" s="6">
        <f>J310-L310</f>
        <v>5750</v>
      </c>
    </row>
    <row r="311" spans="1:16" x14ac:dyDescent="0.25">
      <c r="A311" s="3" t="s">
        <v>1257</v>
      </c>
      <c r="B311" s="4" t="s">
        <v>1258</v>
      </c>
      <c r="C311" s="3" t="s">
        <v>19</v>
      </c>
      <c r="D311" s="3" t="s">
        <v>19</v>
      </c>
      <c r="E311" s="3" t="s">
        <v>20</v>
      </c>
      <c r="F311" s="3" t="s">
        <v>19</v>
      </c>
      <c r="G311" s="3" t="s">
        <v>870</v>
      </c>
      <c r="H311" s="5">
        <v>1</v>
      </c>
      <c r="I311" s="3" t="s">
        <v>19</v>
      </c>
      <c r="J311" s="6">
        <v>15000</v>
      </c>
      <c r="K311" s="6">
        <v>0</v>
      </c>
      <c r="L311" s="6">
        <v>4903.46</v>
      </c>
      <c r="M311" s="6">
        <v>0</v>
      </c>
      <c r="N311" s="3" t="s">
        <v>19</v>
      </c>
      <c r="O311" s="6">
        <v>0</v>
      </c>
      <c r="P311" s="6">
        <f>J311-L311</f>
        <v>10096.54</v>
      </c>
    </row>
    <row r="312" spans="1:16" x14ac:dyDescent="0.25">
      <c r="A312" s="3" t="s">
        <v>1257</v>
      </c>
      <c r="B312" s="4" t="s">
        <v>1258</v>
      </c>
      <c r="C312" s="3" t="s">
        <v>19</v>
      </c>
      <c r="D312" s="3" t="s">
        <v>19</v>
      </c>
      <c r="E312" s="3" t="s">
        <v>20</v>
      </c>
      <c r="F312" s="3" t="s">
        <v>19</v>
      </c>
      <c r="G312" s="3" t="s">
        <v>899</v>
      </c>
      <c r="H312" s="5">
        <v>1</v>
      </c>
      <c r="I312" s="3" t="s">
        <v>19</v>
      </c>
      <c r="J312" s="6">
        <v>12000</v>
      </c>
      <c r="K312" s="6">
        <v>0</v>
      </c>
      <c r="L312" s="6">
        <v>6250</v>
      </c>
      <c r="M312" s="6">
        <v>0</v>
      </c>
      <c r="N312" s="3" t="s">
        <v>19</v>
      </c>
      <c r="O312" s="6">
        <v>0</v>
      </c>
      <c r="P312" s="6">
        <f>J312-L312</f>
        <v>5750</v>
      </c>
    </row>
    <row r="313" spans="1:16" x14ac:dyDescent="0.25">
      <c r="A313" s="3" t="s">
        <v>1259</v>
      </c>
      <c r="B313" s="4" t="s">
        <v>1260</v>
      </c>
      <c r="C313" s="3" t="s">
        <v>19</v>
      </c>
      <c r="D313" s="3" t="s">
        <v>19</v>
      </c>
      <c r="E313" s="3" t="s">
        <v>20</v>
      </c>
      <c r="F313" s="3" t="s">
        <v>19</v>
      </c>
      <c r="G313" s="3" t="s">
        <v>870</v>
      </c>
      <c r="H313" s="5">
        <v>1</v>
      </c>
      <c r="I313" s="3" t="s">
        <v>19</v>
      </c>
      <c r="J313" s="6">
        <v>15000</v>
      </c>
      <c r="K313" s="6">
        <v>0</v>
      </c>
      <c r="L313" s="6">
        <v>4903.46</v>
      </c>
      <c r="M313" s="6">
        <v>0</v>
      </c>
      <c r="N313" s="3" t="s">
        <v>19</v>
      </c>
      <c r="O313" s="6">
        <v>0</v>
      </c>
      <c r="P313" s="6">
        <f>J313-L313</f>
        <v>10096.54</v>
      </c>
    </row>
    <row r="314" spans="1:16" x14ac:dyDescent="0.25">
      <c r="A314" s="3" t="s">
        <v>1261</v>
      </c>
      <c r="B314" s="4" t="s">
        <v>1262</v>
      </c>
      <c r="C314" s="3" t="s">
        <v>19</v>
      </c>
      <c r="D314" s="3" t="s">
        <v>19</v>
      </c>
      <c r="E314" s="3" t="s">
        <v>20</v>
      </c>
      <c r="F314" s="3" t="s">
        <v>19</v>
      </c>
      <c r="G314" s="3" t="s">
        <v>884</v>
      </c>
      <c r="H314" s="5">
        <v>1</v>
      </c>
      <c r="I314" s="3" t="s">
        <v>19</v>
      </c>
      <c r="J314" s="6">
        <v>10000</v>
      </c>
      <c r="K314" s="6">
        <v>0</v>
      </c>
      <c r="L314" s="6">
        <v>2258.65</v>
      </c>
      <c r="M314" s="6">
        <v>0</v>
      </c>
      <c r="N314" s="3" t="s">
        <v>19</v>
      </c>
      <c r="O314" s="6">
        <v>0</v>
      </c>
      <c r="P314" s="6">
        <f>J314-L314</f>
        <v>7741.35</v>
      </c>
    </row>
    <row r="315" spans="1:16" x14ac:dyDescent="0.25">
      <c r="A315" s="3" t="s">
        <v>578</v>
      </c>
      <c r="B315" s="4" t="s">
        <v>579</v>
      </c>
      <c r="C315" s="3" t="s">
        <v>19</v>
      </c>
      <c r="D315" s="3" t="s">
        <v>19</v>
      </c>
      <c r="E315" s="3" t="s">
        <v>20</v>
      </c>
      <c r="F315" s="3" t="s">
        <v>19</v>
      </c>
      <c r="G315" s="3" t="s">
        <v>870</v>
      </c>
      <c r="H315" s="5">
        <v>1</v>
      </c>
      <c r="I315" s="3" t="s">
        <v>19</v>
      </c>
      <c r="J315" s="6">
        <v>15000</v>
      </c>
      <c r="K315" s="6">
        <v>0</v>
      </c>
      <c r="L315" s="6">
        <v>4903.46</v>
      </c>
      <c r="M315" s="6">
        <v>0</v>
      </c>
      <c r="N315" s="3" t="s">
        <v>19</v>
      </c>
      <c r="O315" s="6">
        <v>0</v>
      </c>
      <c r="P315" s="6">
        <f>J315-L315</f>
        <v>10096.54</v>
      </c>
    </row>
    <row r="316" spans="1:16" x14ac:dyDescent="0.25">
      <c r="A316" s="3" t="s">
        <v>1263</v>
      </c>
      <c r="B316" s="4" t="s">
        <v>1264</v>
      </c>
      <c r="C316" s="3" t="s">
        <v>19</v>
      </c>
      <c r="D316" s="3" t="s">
        <v>19</v>
      </c>
      <c r="E316" s="3" t="s">
        <v>20</v>
      </c>
      <c r="F316" s="3" t="s">
        <v>19</v>
      </c>
      <c r="G316" s="3" t="s">
        <v>904</v>
      </c>
      <c r="H316" s="5">
        <v>1</v>
      </c>
      <c r="I316" s="3" t="s">
        <v>19</v>
      </c>
      <c r="J316" s="6">
        <v>20000</v>
      </c>
      <c r="K316" s="6">
        <v>0</v>
      </c>
      <c r="L316" s="6">
        <v>10250</v>
      </c>
      <c r="M316" s="6">
        <v>0</v>
      </c>
      <c r="N316" s="3" t="s">
        <v>19</v>
      </c>
      <c r="O316" s="6">
        <v>0</v>
      </c>
      <c r="P316" s="6">
        <f>J316-L316</f>
        <v>9750</v>
      </c>
    </row>
    <row r="317" spans="1:16" x14ac:dyDescent="0.25">
      <c r="A317" s="3" t="s">
        <v>1265</v>
      </c>
      <c r="B317" s="4" t="s">
        <v>1266</v>
      </c>
      <c r="C317" s="3" t="s">
        <v>19</v>
      </c>
      <c r="D317" s="3" t="s">
        <v>19</v>
      </c>
      <c r="E317" s="3" t="s">
        <v>20</v>
      </c>
      <c r="F317" s="3" t="s">
        <v>19</v>
      </c>
      <c r="G317" s="3" t="s">
        <v>870</v>
      </c>
      <c r="H317" s="5">
        <v>1</v>
      </c>
      <c r="I317" s="3" t="s">
        <v>19</v>
      </c>
      <c r="J317" s="6">
        <v>15000</v>
      </c>
      <c r="K317" s="6">
        <v>0</v>
      </c>
      <c r="L317" s="6">
        <v>4903.46</v>
      </c>
      <c r="M317" s="6">
        <v>0</v>
      </c>
      <c r="N317" s="3" t="s">
        <v>19</v>
      </c>
      <c r="O317" s="6">
        <v>0</v>
      </c>
      <c r="P317" s="6">
        <f>J317-L317</f>
        <v>10096.54</v>
      </c>
    </row>
    <row r="318" spans="1:16" x14ac:dyDescent="0.25">
      <c r="A318" s="3" t="s">
        <v>1267</v>
      </c>
      <c r="B318" s="4" t="s">
        <v>1268</v>
      </c>
      <c r="C318" s="3" t="s">
        <v>19</v>
      </c>
      <c r="D318" s="3" t="s">
        <v>19</v>
      </c>
      <c r="E318" s="3" t="s">
        <v>20</v>
      </c>
      <c r="F318" s="3" t="s">
        <v>19</v>
      </c>
      <c r="G318" s="3" t="s">
        <v>884</v>
      </c>
      <c r="H318" s="5">
        <v>1</v>
      </c>
      <c r="I318" s="3" t="s">
        <v>19</v>
      </c>
      <c r="J318" s="6">
        <v>10000</v>
      </c>
      <c r="K318" s="6">
        <v>0</v>
      </c>
      <c r="L318" s="6">
        <v>2258.65</v>
      </c>
      <c r="M318" s="6">
        <v>0</v>
      </c>
      <c r="N318" s="3" t="s">
        <v>19</v>
      </c>
      <c r="O318" s="6">
        <v>0</v>
      </c>
      <c r="P318" s="6">
        <f>J318-L318</f>
        <v>7741.35</v>
      </c>
    </row>
    <row r="319" spans="1:16" x14ac:dyDescent="0.25">
      <c r="A319" s="3" t="s">
        <v>1269</v>
      </c>
      <c r="B319" s="4" t="s">
        <v>1270</v>
      </c>
      <c r="C319" s="3" t="s">
        <v>19</v>
      </c>
      <c r="D319" s="3" t="s">
        <v>19</v>
      </c>
      <c r="E319" s="3" t="s">
        <v>20</v>
      </c>
      <c r="F319" s="3" t="s">
        <v>19</v>
      </c>
      <c r="G319" s="3" t="s">
        <v>904</v>
      </c>
      <c r="H319" s="5">
        <v>1</v>
      </c>
      <c r="I319" s="3" t="s">
        <v>19</v>
      </c>
      <c r="J319" s="6">
        <v>20000</v>
      </c>
      <c r="K319" s="6">
        <v>0</v>
      </c>
      <c r="L319" s="6">
        <v>10250</v>
      </c>
      <c r="M319" s="6">
        <v>0</v>
      </c>
      <c r="N319" s="3" t="s">
        <v>19</v>
      </c>
      <c r="O319" s="6">
        <v>0</v>
      </c>
      <c r="P319" s="6">
        <f>J319-L319</f>
        <v>9750</v>
      </c>
    </row>
    <row r="320" spans="1:16" x14ac:dyDescent="0.25">
      <c r="A320" s="3" t="s">
        <v>1271</v>
      </c>
      <c r="B320" s="4" t="s">
        <v>1272</v>
      </c>
      <c r="C320" s="3" t="s">
        <v>19</v>
      </c>
      <c r="D320" s="3" t="s">
        <v>19</v>
      </c>
      <c r="E320" s="3" t="s">
        <v>20</v>
      </c>
      <c r="F320" s="3" t="s">
        <v>19</v>
      </c>
      <c r="G320" s="3" t="s">
        <v>870</v>
      </c>
      <c r="H320" s="5">
        <v>1</v>
      </c>
      <c r="I320" s="3" t="s">
        <v>19</v>
      </c>
      <c r="J320" s="6">
        <v>15000</v>
      </c>
      <c r="K320" s="6">
        <v>0</v>
      </c>
      <c r="L320" s="6">
        <v>4903.46</v>
      </c>
      <c r="M320" s="6">
        <v>0</v>
      </c>
      <c r="N320" s="3" t="s">
        <v>19</v>
      </c>
      <c r="O320" s="6">
        <v>0</v>
      </c>
      <c r="P320" s="6">
        <f>J320-L320</f>
        <v>10096.54</v>
      </c>
    </row>
    <row r="321" spans="1:16" x14ac:dyDescent="0.25">
      <c r="A321" s="3" t="s">
        <v>1273</v>
      </c>
      <c r="B321" s="4" t="s">
        <v>1274</v>
      </c>
      <c r="C321" s="3" t="s">
        <v>19</v>
      </c>
      <c r="D321" s="3" t="s">
        <v>19</v>
      </c>
      <c r="E321" s="3" t="s">
        <v>20</v>
      </c>
      <c r="F321" s="3" t="s">
        <v>19</v>
      </c>
      <c r="G321" s="3" t="s">
        <v>904</v>
      </c>
      <c r="H321" s="5">
        <v>1</v>
      </c>
      <c r="I321" s="3" t="s">
        <v>19</v>
      </c>
      <c r="J321" s="6">
        <v>20000</v>
      </c>
      <c r="K321" s="6">
        <v>0</v>
      </c>
      <c r="L321" s="6">
        <v>10250</v>
      </c>
      <c r="M321" s="6">
        <v>0</v>
      </c>
      <c r="N321" s="3" t="s">
        <v>19</v>
      </c>
      <c r="O321" s="6">
        <v>0</v>
      </c>
      <c r="P321" s="6">
        <f>J321-L321</f>
        <v>9750</v>
      </c>
    </row>
    <row r="322" spans="1:16" x14ac:dyDescent="0.25">
      <c r="A322" s="3" t="s">
        <v>1275</v>
      </c>
      <c r="B322" s="4" t="s">
        <v>1276</v>
      </c>
      <c r="C322" s="3" t="s">
        <v>19</v>
      </c>
      <c r="D322" s="3" t="s">
        <v>19</v>
      </c>
      <c r="E322" s="3" t="s">
        <v>20</v>
      </c>
      <c r="F322" s="3" t="s">
        <v>19</v>
      </c>
      <c r="G322" s="3" t="s">
        <v>884</v>
      </c>
      <c r="H322" s="5">
        <v>1</v>
      </c>
      <c r="I322" s="3" t="s">
        <v>19</v>
      </c>
      <c r="J322" s="6">
        <v>10000</v>
      </c>
      <c r="K322" s="6">
        <v>0</v>
      </c>
      <c r="L322" s="6">
        <v>2258.65</v>
      </c>
      <c r="M322" s="6">
        <v>0</v>
      </c>
      <c r="N322" s="3" t="s">
        <v>19</v>
      </c>
      <c r="O322" s="6">
        <v>0</v>
      </c>
      <c r="P322" s="6">
        <f>J322-L322</f>
        <v>7741.35</v>
      </c>
    </row>
    <row r="323" spans="1:16" x14ac:dyDescent="0.25">
      <c r="A323" s="3" t="s">
        <v>1277</v>
      </c>
      <c r="B323" s="4" t="s">
        <v>1278</v>
      </c>
      <c r="C323" s="3" t="s">
        <v>19</v>
      </c>
      <c r="D323" s="3" t="s">
        <v>19</v>
      </c>
      <c r="E323" s="3" t="s">
        <v>20</v>
      </c>
      <c r="F323" s="3" t="s">
        <v>19</v>
      </c>
      <c r="G323" s="3" t="s">
        <v>884</v>
      </c>
      <c r="H323" s="5">
        <v>1</v>
      </c>
      <c r="I323" s="3" t="s">
        <v>19</v>
      </c>
      <c r="J323" s="6">
        <v>10000</v>
      </c>
      <c r="K323" s="6">
        <v>0</v>
      </c>
      <c r="L323" s="6">
        <v>2258.65</v>
      </c>
      <c r="M323" s="6">
        <v>0</v>
      </c>
      <c r="N323" s="3" t="s">
        <v>19</v>
      </c>
      <c r="O323" s="6">
        <v>0</v>
      </c>
      <c r="P323" s="6">
        <f>J323-L323</f>
        <v>7741.35</v>
      </c>
    </row>
    <row r="324" spans="1:16" x14ac:dyDescent="0.25">
      <c r="A324" s="3" t="s">
        <v>1279</v>
      </c>
      <c r="B324" s="4" t="s">
        <v>1280</v>
      </c>
      <c r="C324" s="3" t="s">
        <v>19</v>
      </c>
      <c r="D324" s="3" t="s">
        <v>19</v>
      </c>
      <c r="E324" s="3" t="s">
        <v>20</v>
      </c>
      <c r="F324" s="3" t="s">
        <v>19</v>
      </c>
      <c r="G324" s="3" t="s">
        <v>899</v>
      </c>
      <c r="H324" s="5">
        <v>3</v>
      </c>
      <c r="I324" s="3" t="s">
        <v>19</v>
      </c>
      <c r="J324" s="6">
        <v>36000</v>
      </c>
      <c r="K324" s="6">
        <v>0</v>
      </c>
      <c r="L324" s="6">
        <v>18750</v>
      </c>
      <c r="M324" s="6">
        <v>0</v>
      </c>
      <c r="N324" s="3" t="s">
        <v>19</v>
      </c>
      <c r="O324" s="6">
        <v>0</v>
      </c>
      <c r="P324" s="6">
        <f>J324-L324</f>
        <v>17250</v>
      </c>
    </row>
    <row r="325" spans="1:16" x14ac:dyDescent="0.25">
      <c r="A325" s="3" t="s">
        <v>1279</v>
      </c>
      <c r="B325" s="4" t="s">
        <v>1280</v>
      </c>
      <c r="C325" s="3" t="s">
        <v>19</v>
      </c>
      <c r="D325" s="3" t="s">
        <v>19</v>
      </c>
      <c r="E325" s="3" t="s">
        <v>20</v>
      </c>
      <c r="F325" s="3" t="s">
        <v>19</v>
      </c>
      <c r="G325" s="3" t="s">
        <v>873</v>
      </c>
      <c r="H325" s="5">
        <v>1</v>
      </c>
      <c r="I325" s="3" t="s">
        <v>19</v>
      </c>
      <c r="J325" s="6">
        <v>12000</v>
      </c>
      <c r="K325" s="6">
        <v>0</v>
      </c>
      <c r="L325" s="6">
        <v>6250</v>
      </c>
      <c r="M325" s="6">
        <v>0</v>
      </c>
      <c r="N325" s="3" t="s">
        <v>19</v>
      </c>
      <c r="O325" s="6">
        <v>0</v>
      </c>
      <c r="P325" s="6">
        <f>J325-L325</f>
        <v>5750</v>
      </c>
    </row>
    <row r="326" spans="1:16" x14ac:dyDescent="0.25">
      <c r="A326" s="3" t="s">
        <v>1279</v>
      </c>
      <c r="B326" s="4" t="s">
        <v>1280</v>
      </c>
      <c r="C326" s="3" t="s">
        <v>19</v>
      </c>
      <c r="D326" s="3" t="s">
        <v>19</v>
      </c>
      <c r="E326" s="3" t="s">
        <v>20</v>
      </c>
      <c r="F326" s="3" t="s">
        <v>19</v>
      </c>
      <c r="G326" s="3" t="s">
        <v>870</v>
      </c>
      <c r="H326" s="5">
        <v>1</v>
      </c>
      <c r="I326" s="3" t="s">
        <v>19</v>
      </c>
      <c r="J326" s="6">
        <v>15000</v>
      </c>
      <c r="K326" s="6">
        <v>0</v>
      </c>
      <c r="L326" s="6">
        <v>4903.46</v>
      </c>
      <c r="M326" s="6">
        <v>0</v>
      </c>
      <c r="N326" s="3" t="s">
        <v>19</v>
      </c>
      <c r="O326" s="6">
        <v>0</v>
      </c>
      <c r="P326" s="6">
        <f>J326-L326</f>
        <v>10096.54</v>
      </c>
    </row>
    <row r="327" spans="1:16" x14ac:dyDescent="0.25">
      <c r="A327" s="3" t="s">
        <v>1281</v>
      </c>
      <c r="B327" s="4" t="s">
        <v>1282</v>
      </c>
      <c r="C327" s="3" t="s">
        <v>19</v>
      </c>
      <c r="D327" s="3" t="s">
        <v>19</v>
      </c>
      <c r="E327" s="3" t="s">
        <v>20</v>
      </c>
      <c r="F327" s="3" t="s">
        <v>19</v>
      </c>
      <c r="G327" s="3" t="s">
        <v>870</v>
      </c>
      <c r="H327" s="5">
        <v>1</v>
      </c>
      <c r="I327" s="3" t="s">
        <v>19</v>
      </c>
      <c r="J327" s="6">
        <v>15000</v>
      </c>
      <c r="K327" s="6">
        <v>0</v>
      </c>
      <c r="L327" s="6">
        <v>4903.46</v>
      </c>
      <c r="M327" s="6">
        <v>0</v>
      </c>
      <c r="N327" s="3" t="s">
        <v>19</v>
      </c>
      <c r="O327" s="6">
        <v>0</v>
      </c>
      <c r="P327" s="6">
        <f>J327-L327</f>
        <v>10096.54</v>
      </c>
    </row>
    <row r="328" spans="1:16" x14ac:dyDescent="0.25">
      <c r="A328" s="3" t="s">
        <v>600</v>
      </c>
      <c r="B328" s="4" t="s">
        <v>601</v>
      </c>
      <c r="C328" s="3" t="s">
        <v>19</v>
      </c>
      <c r="D328" s="3" t="s">
        <v>19</v>
      </c>
      <c r="E328" s="3" t="s">
        <v>25</v>
      </c>
      <c r="F328" s="3" t="s">
        <v>19</v>
      </c>
      <c r="G328" s="3" t="s">
        <v>884</v>
      </c>
      <c r="H328" s="5">
        <v>1</v>
      </c>
      <c r="I328" s="3" t="s">
        <v>19</v>
      </c>
      <c r="J328" s="6">
        <v>10000</v>
      </c>
      <c r="K328" s="6">
        <v>0</v>
      </c>
      <c r="L328" s="6">
        <v>2258.65</v>
      </c>
      <c r="M328" s="6">
        <v>0</v>
      </c>
      <c r="N328" s="3" t="s">
        <v>19</v>
      </c>
      <c r="O328" s="6">
        <v>0</v>
      </c>
      <c r="P328" s="6">
        <f>J328-L328</f>
        <v>7741.35</v>
      </c>
    </row>
    <row r="329" spans="1:16" x14ac:dyDescent="0.25">
      <c r="A329" s="3" t="s">
        <v>604</v>
      </c>
      <c r="B329" s="4" t="s">
        <v>605</v>
      </c>
      <c r="C329" s="3" t="s">
        <v>19</v>
      </c>
      <c r="D329" s="3" t="s">
        <v>19</v>
      </c>
      <c r="E329" s="3" t="s">
        <v>25</v>
      </c>
      <c r="F329" s="3" t="s">
        <v>19</v>
      </c>
      <c r="G329" s="3" t="s">
        <v>884</v>
      </c>
      <c r="H329" s="5">
        <v>1</v>
      </c>
      <c r="I329" s="3" t="s">
        <v>19</v>
      </c>
      <c r="J329" s="6">
        <v>10000</v>
      </c>
      <c r="K329" s="6">
        <v>0</v>
      </c>
      <c r="L329" s="6">
        <v>2258.65</v>
      </c>
      <c r="M329" s="6">
        <v>0</v>
      </c>
      <c r="N329" s="3" t="s">
        <v>19</v>
      </c>
      <c r="O329" s="6">
        <v>0</v>
      </c>
      <c r="P329" s="6">
        <f>J329-L329</f>
        <v>7741.35</v>
      </c>
    </row>
    <row r="330" spans="1:16" x14ac:dyDescent="0.25">
      <c r="A330" s="3" t="s">
        <v>1283</v>
      </c>
      <c r="B330" s="4" t="s">
        <v>1284</v>
      </c>
      <c r="C330" s="3" t="s">
        <v>19</v>
      </c>
      <c r="D330" s="3" t="s">
        <v>19</v>
      </c>
      <c r="E330" s="3" t="s">
        <v>25</v>
      </c>
      <c r="F330" s="3" t="s">
        <v>19</v>
      </c>
      <c r="G330" s="3" t="s">
        <v>884</v>
      </c>
      <c r="H330" s="5">
        <v>1</v>
      </c>
      <c r="I330" s="3" t="s">
        <v>19</v>
      </c>
      <c r="J330" s="6">
        <v>10000</v>
      </c>
      <c r="K330" s="6">
        <v>0</v>
      </c>
      <c r="L330" s="6">
        <v>2258.65</v>
      </c>
      <c r="M330" s="6">
        <v>0</v>
      </c>
      <c r="N330" s="3" t="s">
        <v>19</v>
      </c>
      <c r="O330" s="6">
        <v>0</v>
      </c>
      <c r="P330" s="6">
        <f>J330-L330</f>
        <v>7741.35</v>
      </c>
    </row>
    <row r="331" spans="1:16" x14ac:dyDescent="0.25">
      <c r="A331" s="3" t="s">
        <v>1285</v>
      </c>
      <c r="B331" s="4" t="s">
        <v>1286</v>
      </c>
      <c r="C331" s="3" t="s">
        <v>19</v>
      </c>
      <c r="D331" s="3" t="s">
        <v>19</v>
      </c>
      <c r="E331" s="3" t="s">
        <v>25</v>
      </c>
      <c r="F331" s="3" t="s">
        <v>19</v>
      </c>
      <c r="G331" s="3" t="s">
        <v>884</v>
      </c>
      <c r="H331" s="5">
        <v>1</v>
      </c>
      <c r="I331" s="3" t="s">
        <v>19</v>
      </c>
      <c r="J331" s="6">
        <v>10000</v>
      </c>
      <c r="K331" s="6">
        <v>0</v>
      </c>
      <c r="L331" s="6">
        <v>2258.65</v>
      </c>
      <c r="M331" s="6">
        <v>0</v>
      </c>
      <c r="N331" s="3" t="s">
        <v>19</v>
      </c>
      <c r="O331" s="6">
        <v>0</v>
      </c>
      <c r="P331" s="6">
        <f>J331-L331</f>
        <v>7741.35</v>
      </c>
    </row>
    <row r="332" spans="1:16" x14ac:dyDescent="0.25">
      <c r="A332" s="3" t="s">
        <v>1287</v>
      </c>
      <c r="B332" s="4" t="s">
        <v>1288</v>
      </c>
      <c r="C332" s="3" t="s">
        <v>19</v>
      </c>
      <c r="D332" s="3" t="s">
        <v>19</v>
      </c>
      <c r="E332" s="3" t="s">
        <v>25</v>
      </c>
      <c r="F332" s="3" t="s">
        <v>19</v>
      </c>
      <c r="G332" s="3" t="s">
        <v>904</v>
      </c>
      <c r="H332" s="5">
        <v>2</v>
      </c>
      <c r="I332" s="3" t="s">
        <v>19</v>
      </c>
      <c r="J332" s="6">
        <v>40000</v>
      </c>
      <c r="K332" s="6">
        <v>0</v>
      </c>
      <c r="L332" s="6">
        <v>20500</v>
      </c>
      <c r="M332" s="6">
        <v>0</v>
      </c>
      <c r="N332" s="3" t="s">
        <v>19</v>
      </c>
      <c r="O332" s="6">
        <v>0</v>
      </c>
      <c r="P332" s="6">
        <f>J332-L332</f>
        <v>19500</v>
      </c>
    </row>
    <row r="333" spans="1:16" x14ac:dyDescent="0.25">
      <c r="A333" s="3" t="s">
        <v>1287</v>
      </c>
      <c r="B333" s="4" t="s">
        <v>1288</v>
      </c>
      <c r="C333" s="3" t="s">
        <v>19</v>
      </c>
      <c r="D333" s="3" t="s">
        <v>19</v>
      </c>
      <c r="E333" s="3" t="s">
        <v>25</v>
      </c>
      <c r="F333" s="3" t="s">
        <v>19</v>
      </c>
      <c r="G333" s="3" t="s">
        <v>870</v>
      </c>
      <c r="H333" s="5">
        <v>2</v>
      </c>
      <c r="I333" s="3" t="s">
        <v>19</v>
      </c>
      <c r="J333" s="6">
        <v>30000</v>
      </c>
      <c r="K333" s="6">
        <v>0</v>
      </c>
      <c r="L333" s="6">
        <v>9806.92</v>
      </c>
      <c r="M333" s="6">
        <v>0</v>
      </c>
      <c r="N333" s="3" t="s">
        <v>19</v>
      </c>
      <c r="O333" s="6">
        <v>0</v>
      </c>
      <c r="P333" s="6">
        <f>J333-L333</f>
        <v>20193.08</v>
      </c>
    </row>
    <row r="334" spans="1:16" x14ac:dyDescent="0.25">
      <c r="A334" s="3" t="s">
        <v>608</v>
      </c>
      <c r="B334" s="4" t="s">
        <v>609</v>
      </c>
      <c r="C334" s="3" t="s">
        <v>19</v>
      </c>
      <c r="D334" s="3" t="s">
        <v>19</v>
      </c>
      <c r="E334" s="3" t="s">
        <v>25</v>
      </c>
      <c r="F334" s="3" t="s">
        <v>19</v>
      </c>
      <c r="G334" s="3" t="s">
        <v>884</v>
      </c>
      <c r="H334" s="5">
        <v>1</v>
      </c>
      <c r="I334" s="3" t="s">
        <v>19</v>
      </c>
      <c r="J334" s="6">
        <v>10000</v>
      </c>
      <c r="K334" s="6">
        <v>0</v>
      </c>
      <c r="L334" s="6">
        <v>2258.65</v>
      </c>
      <c r="M334" s="6">
        <v>0</v>
      </c>
      <c r="N334" s="3" t="s">
        <v>19</v>
      </c>
      <c r="O334" s="6">
        <v>0</v>
      </c>
      <c r="P334" s="6">
        <f>J334-L334</f>
        <v>7741.35</v>
      </c>
    </row>
    <row r="335" spans="1:16" x14ac:dyDescent="0.25">
      <c r="A335" s="3" t="s">
        <v>1289</v>
      </c>
      <c r="B335" s="4" t="s">
        <v>1290</v>
      </c>
      <c r="C335" s="3" t="s">
        <v>19</v>
      </c>
      <c r="D335" s="3" t="s">
        <v>19</v>
      </c>
      <c r="E335" s="3" t="s">
        <v>25</v>
      </c>
      <c r="F335" s="3" t="s">
        <v>19</v>
      </c>
      <c r="G335" s="3" t="s">
        <v>884</v>
      </c>
      <c r="H335" s="5">
        <v>1</v>
      </c>
      <c r="I335" s="3" t="s">
        <v>19</v>
      </c>
      <c r="J335" s="6">
        <v>10000</v>
      </c>
      <c r="K335" s="6">
        <v>0</v>
      </c>
      <c r="L335" s="6">
        <v>2258.65</v>
      </c>
      <c r="M335" s="6">
        <v>0</v>
      </c>
      <c r="N335" s="3" t="s">
        <v>19</v>
      </c>
      <c r="O335" s="6">
        <v>0</v>
      </c>
      <c r="P335" s="6">
        <f>J335-L335</f>
        <v>7741.35</v>
      </c>
    </row>
    <row r="336" spans="1:16" x14ac:dyDescent="0.25">
      <c r="A336" s="3" t="s">
        <v>612</v>
      </c>
      <c r="B336" s="4" t="s">
        <v>613</v>
      </c>
      <c r="C336" s="3" t="s">
        <v>19</v>
      </c>
      <c r="D336" s="3" t="s">
        <v>19</v>
      </c>
      <c r="E336" s="3" t="s">
        <v>25</v>
      </c>
      <c r="F336" s="3" t="s">
        <v>19</v>
      </c>
      <c r="G336" s="3" t="s">
        <v>884</v>
      </c>
      <c r="H336" s="5">
        <v>1</v>
      </c>
      <c r="I336" s="3" t="s">
        <v>19</v>
      </c>
      <c r="J336" s="6">
        <v>10000</v>
      </c>
      <c r="K336" s="6">
        <v>0</v>
      </c>
      <c r="L336" s="6">
        <v>2258.65</v>
      </c>
      <c r="M336" s="6">
        <v>0</v>
      </c>
      <c r="N336" s="3" t="s">
        <v>19</v>
      </c>
      <c r="O336" s="6">
        <v>0</v>
      </c>
      <c r="P336" s="6">
        <f>J336-L336</f>
        <v>7741.35</v>
      </c>
    </row>
    <row r="337" spans="1:16" x14ac:dyDescent="0.25">
      <c r="A337" s="3" t="s">
        <v>1291</v>
      </c>
      <c r="B337" s="4" t="s">
        <v>1292</v>
      </c>
      <c r="C337" s="3" t="s">
        <v>19</v>
      </c>
      <c r="D337" s="3" t="s">
        <v>19</v>
      </c>
      <c r="E337" s="3" t="s">
        <v>25</v>
      </c>
      <c r="F337" s="3" t="s">
        <v>19</v>
      </c>
      <c r="G337" s="3" t="s">
        <v>870</v>
      </c>
      <c r="H337" s="5">
        <v>1</v>
      </c>
      <c r="I337" s="3" t="s">
        <v>19</v>
      </c>
      <c r="J337" s="6">
        <v>15000</v>
      </c>
      <c r="K337" s="6">
        <v>0</v>
      </c>
      <c r="L337" s="6">
        <v>4903.46</v>
      </c>
      <c r="M337" s="6">
        <v>0</v>
      </c>
      <c r="N337" s="3" t="s">
        <v>19</v>
      </c>
      <c r="O337" s="6">
        <v>0</v>
      </c>
      <c r="P337" s="6">
        <f>J337-L337</f>
        <v>10096.54</v>
      </c>
    </row>
    <row r="338" spans="1:16" x14ac:dyDescent="0.25">
      <c r="A338" s="3" t="s">
        <v>1293</v>
      </c>
      <c r="B338" s="4" t="s">
        <v>1294</v>
      </c>
      <c r="C338" s="3" t="s">
        <v>19</v>
      </c>
      <c r="D338" s="3" t="s">
        <v>19</v>
      </c>
      <c r="E338" s="3" t="s">
        <v>25</v>
      </c>
      <c r="F338" s="3" t="s">
        <v>19</v>
      </c>
      <c r="G338" s="3" t="s">
        <v>870</v>
      </c>
      <c r="H338" s="5">
        <v>1</v>
      </c>
      <c r="I338" s="3" t="s">
        <v>19</v>
      </c>
      <c r="J338" s="6">
        <v>15000</v>
      </c>
      <c r="K338" s="6">
        <v>0</v>
      </c>
      <c r="L338" s="6">
        <v>4903.46</v>
      </c>
      <c r="M338" s="6">
        <v>0</v>
      </c>
      <c r="N338" s="3" t="s">
        <v>19</v>
      </c>
      <c r="O338" s="6">
        <v>0</v>
      </c>
      <c r="P338" s="6">
        <f>J338-L338</f>
        <v>10096.54</v>
      </c>
    </row>
    <row r="339" spans="1:16" x14ac:dyDescent="0.25">
      <c r="A339" s="3" t="s">
        <v>1295</v>
      </c>
      <c r="B339" s="4" t="s">
        <v>1296</v>
      </c>
      <c r="C339" s="3" t="s">
        <v>19</v>
      </c>
      <c r="D339" s="3" t="s">
        <v>19</v>
      </c>
      <c r="E339" s="3" t="s">
        <v>25</v>
      </c>
      <c r="F339" s="3" t="s">
        <v>19</v>
      </c>
      <c r="G339" s="3" t="s">
        <v>904</v>
      </c>
      <c r="H339" s="5">
        <v>1</v>
      </c>
      <c r="I339" s="3" t="s">
        <v>19</v>
      </c>
      <c r="J339" s="6">
        <v>20000</v>
      </c>
      <c r="K339" s="6">
        <v>0</v>
      </c>
      <c r="L339" s="6">
        <v>10250</v>
      </c>
      <c r="M339" s="6">
        <v>0</v>
      </c>
      <c r="N339" s="3" t="s">
        <v>19</v>
      </c>
      <c r="O339" s="6">
        <v>0</v>
      </c>
      <c r="P339" s="6">
        <f>J339-L339</f>
        <v>9750</v>
      </c>
    </row>
    <row r="340" spans="1:16" x14ac:dyDescent="0.25">
      <c r="A340" s="3" t="s">
        <v>614</v>
      </c>
      <c r="B340" s="4" t="s">
        <v>615</v>
      </c>
      <c r="C340" s="3" t="s">
        <v>19</v>
      </c>
      <c r="D340" s="3" t="s">
        <v>19</v>
      </c>
      <c r="E340" s="3" t="s">
        <v>25</v>
      </c>
      <c r="F340" s="3" t="s">
        <v>19</v>
      </c>
      <c r="G340" s="3" t="s">
        <v>899</v>
      </c>
      <c r="H340" s="5">
        <v>1</v>
      </c>
      <c r="I340" s="3" t="s">
        <v>19</v>
      </c>
      <c r="J340" s="6">
        <v>12000</v>
      </c>
      <c r="K340" s="6">
        <v>0</v>
      </c>
      <c r="L340" s="6">
        <v>6250</v>
      </c>
      <c r="M340" s="6">
        <v>0</v>
      </c>
      <c r="N340" s="3" t="s">
        <v>19</v>
      </c>
      <c r="O340" s="6">
        <v>0</v>
      </c>
      <c r="P340" s="6">
        <f>J340-L340</f>
        <v>5750</v>
      </c>
    </row>
    <row r="341" spans="1:16" x14ac:dyDescent="0.25">
      <c r="A341" s="3" t="s">
        <v>1297</v>
      </c>
      <c r="B341" s="4" t="s">
        <v>1298</v>
      </c>
      <c r="C341" s="3" t="s">
        <v>19</v>
      </c>
      <c r="D341" s="3" t="s">
        <v>19</v>
      </c>
      <c r="E341" s="3" t="s">
        <v>52</v>
      </c>
      <c r="F341" s="3" t="s">
        <v>19</v>
      </c>
      <c r="G341" s="3" t="s">
        <v>884</v>
      </c>
      <c r="H341" s="5">
        <v>1</v>
      </c>
      <c r="I341" s="3" t="s">
        <v>19</v>
      </c>
      <c r="J341" s="6">
        <v>10000</v>
      </c>
      <c r="K341" s="6">
        <v>0</v>
      </c>
      <c r="L341" s="6">
        <v>2258.65</v>
      </c>
      <c r="M341" s="6">
        <v>0</v>
      </c>
      <c r="N341" s="3" t="s">
        <v>19</v>
      </c>
      <c r="O341" s="6">
        <v>0</v>
      </c>
      <c r="P341" s="6">
        <f>J341-L341</f>
        <v>7741.35</v>
      </c>
    </row>
    <row r="342" spans="1:16" x14ac:dyDescent="0.25">
      <c r="A342" s="3" t="s">
        <v>1299</v>
      </c>
      <c r="B342" s="4" t="s">
        <v>1300</v>
      </c>
      <c r="C342" s="3" t="s">
        <v>19</v>
      </c>
      <c r="D342" s="3" t="s">
        <v>19</v>
      </c>
      <c r="E342" s="3" t="s">
        <v>52</v>
      </c>
      <c r="F342" s="3" t="s">
        <v>19</v>
      </c>
      <c r="G342" s="3" t="s">
        <v>899</v>
      </c>
      <c r="H342" s="5">
        <v>1</v>
      </c>
      <c r="I342" s="3" t="s">
        <v>19</v>
      </c>
      <c r="J342" s="6">
        <v>12000</v>
      </c>
      <c r="K342" s="6">
        <v>0</v>
      </c>
      <c r="L342" s="6">
        <v>6250</v>
      </c>
      <c r="M342" s="6">
        <v>0</v>
      </c>
      <c r="N342" s="3" t="s">
        <v>19</v>
      </c>
      <c r="O342" s="6">
        <v>0</v>
      </c>
      <c r="P342" s="6">
        <f>J342-L342</f>
        <v>5750</v>
      </c>
    </row>
    <row r="343" spans="1:16" x14ac:dyDescent="0.25">
      <c r="A343" s="3" t="s">
        <v>1301</v>
      </c>
      <c r="B343" s="4" t="s">
        <v>1302</v>
      </c>
      <c r="C343" s="3" t="s">
        <v>19</v>
      </c>
      <c r="D343" s="3" t="s">
        <v>19</v>
      </c>
      <c r="E343" s="3" t="s">
        <v>52</v>
      </c>
      <c r="F343" s="3" t="s">
        <v>19</v>
      </c>
      <c r="G343" s="3" t="s">
        <v>870</v>
      </c>
      <c r="H343" s="5">
        <v>1</v>
      </c>
      <c r="I343" s="3" t="s">
        <v>19</v>
      </c>
      <c r="J343" s="6">
        <v>15000</v>
      </c>
      <c r="K343" s="6">
        <v>0</v>
      </c>
      <c r="L343" s="6">
        <v>4903.46</v>
      </c>
      <c r="M343" s="6">
        <v>0</v>
      </c>
      <c r="N343" s="3" t="s">
        <v>19</v>
      </c>
      <c r="O343" s="6">
        <v>0</v>
      </c>
      <c r="P343" s="6">
        <f>J343-L343</f>
        <v>10096.54</v>
      </c>
    </row>
    <row r="344" spans="1:16" x14ac:dyDescent="0.25">
      <c r="A344" s="3" t="s">
        <v>1303</v>
      </c>
      <c r="B344" s="4" t="s">
        <v>1304</v>
      </c>
      <c r="C344" s="3" t="s">
        <v>19</v>
      </c>
      <c r="D344" s="3" t="s">
        <v>19</v>
      </c>
      <c r="E344" s="3" t="s">
        <v>52</v>
      </c>
      <c r="F344" s="3" t="s">
        <v>19</v>
      </c>
      <c r="G344" s="3" t="s">
        <v>870</v>
      </c>
      <c r="H344" s="5">
        <v>1</v>
      </c>
      <c r="I344" s="3" t="s">
        <v>19</v>
      </c>
      <c r="J344" s="6">
        <v>15000</v>
      </c>
      <c r="K344" s="6">
        <v>0</v>
      </c>
      <c r="L344" s="6">
        <v>4903.46</v>
      </c>
      <c r="M344" s="6">
        <v>0</v>
      </c>
      <c r="N344" s="3" t="s">
        <v>19</v>
      </c>
      <c r="O344" s="6">
        <v>0</v>
      </c>
      <c r="P344" s="6">
        <f>J344-L344</f>
        <v>10096.54</v>
      </c>
    </row>
    <row r="345" spans="1:16" x14ac:dyDescent="0.25">
      <c r="A345" s="3" t="s">
        <v>1305</v>
      </c>
      <c r="B345" s="4" t="s">
        <v>1306</v>
      </c>
      <c r="C345" s="3" t="s">
        <v>19</v>
      </c>
      <c r="D345" s="3" t="s">
        <v>19</v>
      </c>
      <c r="E345" s="3" t="s">
        <v>52</v>
      </c>
      <c r="F345" s="3" t="s">
        <v>19</v>
      </c>
      <c r="G345" s="3" t="s">
        <v>873</v>
      </c>
      <c r="H345" s="5">
        <v>1</v>
      </c>
      <c r="I345" s="3" t="s">
        <v>19</v>
      </c>
      <c r="J345" s="6">
        <v>12000</v>
      </c>
      <c r="K345" s="6">
        <v>0</v>
      </c>
      <c r="L345" s="6">
        <v>6250</v>
      </c>
      <c r="M345" s="6">
        <v>0</v>
      </c>
      <c r="N345" s="3" t="s">
        <v>19</v>
      </c>
      <c r="O345" s="6">
        <v>0</v>
      </c>
      <c r="P345" s="6">
        <f>J345-L345</f>
        <v>5750</v>
      </c>
    </row>
    <row r="346" spans="1:16" x14ac:dyDescent="0.25">
      <c r="A346" s="3" t="s">
        <v>1307</v>
      </c>
      <c r="B346" s="4" t="s">
        <v>1308</v>
      </c>
      <c r="C346" s="3" t="s">
        <v>19</v>
      </c>
      <c r="D346" s="3" t="s">
        <v>19</v>
      </c>
      <c r="E346" s="3" t="s">
        <v>52</v>
      </c>
      <c r="F346" s="3" t="s">
        <v>19</v>
      </c>
      <c r="G346" s="3" t="s">
        <v>899</v>
      </c>
      <c r="H346" s="5">
        <v>1</v>
      </c>
      <c r="I346" s="3" t="s">
        <v>19</v>
      </c>
      <c r="J346" s="6">
        <v>12000</v>
      </c>
      <c r="K346" s="6">
        <v>0</v>
      </c>
      <c r="L346" s="6">
        <v>6250</v>
      </c>
      <c r="M346" s="6">
        <v>0</v>
      </c>
      <c r="N346" s="3" t="s">
        <v>19</v>
      </c>
      <c r="O346" s="6">
        <v>0</v>
      </c>
      <c r="P346" s="6">
        <f>J346-L346</f>
        <v>5750</v>
      </c>
    </row>
    <row r="347" ht="18" customHeight="1" spans="1:16" x14ac:dyDescent="0.25">
      <c r="A347" s="7" t="s">
        <v>34</v>
      </c>
      <c r="B347" s="7"/>
      <c r="C347" s="7"/>
      <c r="D347" s="7"/>
      <c r="E347" s="7"/>
      <c r="F347" s="7"/>
      <c r="G347" s="7"/>
      <c r="H347" s="8">
        <f>SUM(H303:H346)</f>
        <v>50</v>
      </c>
      <c r="I347" s="7"/>
      <c r="J347" s="9">
        <f>SUM(J303:J346)</f>
        <v>672000</v>
      </c>
      <c r="K347" s="9">
        <f>SUM(K303:K346)</f>
        <v>0</v>
      </c>
      <c r="L347" s="9">
        <f>SUM(L303:L346)</f>
        <v>252392.0299999999</v>
      </c>
      <c r="M347" s="9">
        <f>SUM(M303:M346)</f>
        <v>0</v>
      </c>
      <c r="N347" s="7"/>
      <c r="O347" s="9">
        <f>SUM(O303:O346)</f>
        <v>0</v>
      </c>
      <c r="P347" s="9">
        <f>SUM(P303:P346)</f>
        <v>419607.9699999999</v>
      </c>
    </row>
  </sheetData>
  <mergeCells count="18">
    <mergeCell ref="A1:P1"/>
    <mergeCell ref="A35:G35"/>
    <mergeCell ref="A39:P39"/>
    <mergeCell ref="A86:G86"/>
    <mergeCell ref="A90:P90"/>
    <mergeCell ref="A147:G147"/>
    <mergeCell ref="A151:P151"/>
    <mergeCell ref="A176:G176"/>
    <mergeCell ref="A180:P180"/>
    <mergeCell ref="A208:G208"/>
    <mergeCell ref="A212:P212"/>
    <mergeCell ref="A240:G240"/>
    <mergeCell ref="A244:P244"/>
    <mergeCell ref="A265:G265"/>
    <mergeCell ref="A269:P269"/>
    <mergeCell ref="A297:G297"/>
    <mergeCell ref="A301:P301"/>
    <mergeCell ref="A347:G347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8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626</v>
      </c>
      <c r="B3" s="4" t="s">
        <v>627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1309</v>
      </c>
      <c r="H3" s="5">
        <v>1</v>
      </c>
      <c r="I3" s="3" t="s">
        <v>19</v>
      </c>
      <c r="J3" s="6">
        <v>80000</v>
      </c>
      <c r="K3" s="6">
        <v>0</v>
      </c>
      <c r="L3" s="6">
        <v>45000</v>
      </c>
      <c r="M3" s="6">
        <v>0</v>
      </c>
      <c r="N3" s="3" t="s">
        <v>19</v>
      </c>
      <c r="O3" s="6">
        <v>0</v>
      </c>
      <c r="P3" s="6">
        <f>J3-L3</f>
        <v>35000</v>
      </c>
    </row>
    <row r="4" spans="1:16" x14ac:dyDescent="0.25">
      <c r="A4" s="3" t="s">
        <v>1310</v>
      </c>
      <c r="B4" s="4" t="s">
        <v>1311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1312</v>
      </c>
      <c r="H4" s="5">
        <v>1</v>
      </c>
      <c r="I4" s="3" t="s">
        <v>19</v>
      </c>
      <c r="J4" s="6">
        <v>125000</v>
      </c>
      <c r="K4" s="6">
        <v>0</v>
      </c>
      <c r="L4" s="6">
        <v>104285.71</v>
      </c>
      <c r="M4" s="6">
        <v>0</v>
      </c>
      <c r="N4" s="3" t="s">
        <v>19</v>
      </c>
      <c r="O4" s="6">
        <v>0</v>
      </c>
      <c r="P4" s="6">
        <f>J4-L4</f>
        <v>20714.289999999994</v>
      </c>
    </row>
    <row r="5" spans="1:16" x14ac:dyDescent="0.25">
      <c r="A5" s="3" t="s">
        <v>640</v>
      </c>
      <c r="B5" s="4" t="s">
        <v>641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1313</v>
      </c>
      <c r="H5" s="5">
        <v>1</v>
      </c>
      <c r="I5" s="3" t="s">
        <v>19</v>
      </c>
      <c r="J5" s="6">
        <v>90000</v>
      </c>
      <c r="K5" s="6">
        <v>0</v>
      </c>
      <c r="L5" s="6">
        <v>58472.73</v>
      </c>
      <c r="M5" s="6">
        <v>0</v>
      </c>
      <c r="N5" s="3" t="s">
        <v>19</v>
      </c>
      <c r="O5" s="6">
        <v>0</v>
      </c>
      <c r="P5" s="6">
        <f>J5-L5</f>
        <v>31527.269999999997</v>
      </c>
    </row>
    <row r="6" spans="1:16" x14ac:dyDescent="0.25">
      <c r="A6" s="3" t="s">
        <v>1314</v>
      </c>
      <c r="B6" s="4" t="s">
        <v>1315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1313</v>
      </c>
      <c r="H6" s="5">
        <v>1</v>
      </c>
      <c r="I6" s="3" t="s">
        <v>19</v>
      </c>
      <c r="J6" s="6">
        <v>90000</v>
      </c>
      <c r="K6" s="6">
        <v>0</v>
      </c>
      <c r="L6" s="6">
        <v>58472.73</v>
      </c>
      <c r="M6" s="6">
        <v>0</v>
      </c>
      <c r="N6" s="3" t="s">
        <v>19</v>
      </c>
      <c r="O6" s="6">
        <v>0</v>
      </c>
      <c r="P6" s="6">
        <f>J6-L6</f>
        <v>31527.269999999997</v>
      </c>
    </row>
    <row r="7" spans="1:16" x14ac:dyDescent="0.25">
      <c r="A7" s="3" t="s">
        <v>1316</v>
      </c>
      <c r="B7" s="4" t="s">
        <v>1317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1313</v>
      </c>
      <c r="H7" s="5">
        <v>1</v>
      </c>
      <c r="I7" s="3" t="s">
        <v>19</v>
      </c>
      <c r="J7" s="6">
        <v>90000</v>
      </c>
      <c r="K7" s="6">
        <v>0</v>
      </c>
      <c r="L7" s="6">
        <v>58472.73</v>
      </c>
      <c r="M7" s="6">
        <v>0</v>
      </c>
      <c r="N7" s="3" t="s">
        <v>19</v>
      </c>
      <c r="O7" s="6">
        <v>0</v>
      </c>
      <c r="P7" s="6">
        <f>J7-L7</f>
        <v>31527.269999999997</v>
      </c>
    </row>
    <row r="8" ht="18" customHeight="1" spans="1:16" x14ac:dyDescent="0.25">
      <c r="A8" s="7" t="s">
        <v>34</v>
      </c>
      <c r="B8" s="7"/>
      <c r="C8" s="7"/>
      <c r="D8" s="7"/>
      <c r="E8" s="7"/>
      <c r="F8" s="7"/>
      <c r="G8" s="7"/>
      <c r="H8" s="8">
        <f>SUM(H3:H7)</f>
        <v>5</v>
      </c>
      <c r="I8" s="7"/>
      <c r="J8" s="9">
        <f>SUM(J3:J7)</f>
        <v>475000</v>
      </c>
      <c r="K8" s="9">
        <f>SUM(K3:K7)</f>
        <v>0</v>
      </c>
      <c r="L8" s="9">
        <f>SUM(L3:L7)</f>
        <v>324703.9</v>
      </c>
      <c r="M8" s="9">
        <f>SUM(M3:M7)</f>
        <v>0</v>
      </c>
      <c r="N8" s="7"/>
      <c r="O8" s="9">
        <f>SUM(O3:O7)</f>
        <v>0</v>
      </c>
      <c r="P8" s="9">
        <f>SUM(P3:P7)</f>
        <v>150296.09999999998</v>
      </c>
    </row>
    <row r="12" ht="15.75" customHeight="1" spans="1:16" x14ac:dyDescent="0.25">
      <c r="A12" s="1" t="s">
        <v>35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39.4" customHeight="1" spans="1:16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2" t="s">
        <v>14</v>
      </c>
      <c r="O13" s="2" t="s">
        <v>15</v>
      </c>
      <c r="P13" s="2" t="s">
        <v>16</v>
      </c>
    </row>
    <row r="14" spans="1:16" x14ac:dyDescent="0.25">
      <c r="A14" s="3" t="s">
        <v>650</v>
      </c>
      <c r="B14" s="4" t="s">
        <v>651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1313</v>
      </c>
      <c r="H14" s="5">
        <v>1</v>
      </c>
      <c r="I14" s="3" t="s">
        <v>19</v>
      </c>
      <c r="J14" s="6">
        <v>90000</v>
      </c>
      <c r="K14" s="6">
        <v>0</v>
      </c>
      <c r="L14" s="6">
        <v>58472.73</v>
      </c>
      <c r="M14" s="6">
        <v>0</v>
      </c>
      <c r="N14" s="3" t="s">
        <v>19</v>
      </c>
      <c r="O14" s="6">
        <v>0</v>
      </c>
      <c r="P14" s="6">
        <f>J14-L14</f>
        <v>31527.269999999997</v>
      </c>
    </row>
    <row r="15" spans="1:16" x14ac:dyDescent="0.25">
      <c r="A15" s="3" t="s">
        <v>199</v>
      </c>
      <c r="B15" s="4" t="s">
        <v>200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1313</v>
      </c>
      <c r="H15" s="5">
        <v>1</v>
      </c>
      <c r="I15" s="3" t="s">
        <v>19</v>
      </c>
      <c r="J15" s="6">
        <v>90000</v>
      </c>
      <c r="K15" s="6">
        <v>0</v>
      </c>
      <c r="L15" s="6">
        <v>58472.73</v>
      </c>
      <c r="M15" s="6">
        <v>0</v>
      </c>
      <c r="N15" s="3" t="s">
        <v>19</v>
      </c>
      <c r="O15" s="6">
        <v>0</v>
      </c>
      <c r="P15" s="6">
        <f>J15-L15</f>
        <v>31527.269999999997</v>
      </c>
    </row>
    <row r="16" spans="1:16" x14ac:dyDescent="0.25">
      <c r="A16" s="3" t="s">
        <v>1318</v>
      </c>
      <c r="B16" s="4" t="s">
        <v>1319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1313</v>
      </c>
      <c r="H16" s="5">
        <v>1</v>
      </c>
      <c r="I16" s="3" t="s">
        <v>19</v>
      </c>
      <c r="J16" s="6">
        <v>90000</v>
      </c>
      <c r="K16" s="6">
        <v>0</v>
      </c>
      <c r="L16" s="6">
        <v>58472.73</v>
      </c>
      <c r="M16" s="6">
        <v>0</v>
      </c>
      <c r="N16" s="3" t="s">
        <v>19</v>
      </c>
      <c r="O16" s="6">
        <v>0</v>
      </c>
      <c r="P16" s="6">
        <f>J16-L16</f>
        <v>31527.269999999997</v>
      </c>
    </row>
    <row r="17" spans="1:16" x14ac:dyDescent="0.25">
      <c r="A17" s="3" t="s">
        <v>686</v>
      </c>
      <c r="B17" s="4" t="s">
        <v>687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1313</v>
      </c>
      <c r="H17" s="5">
        <v>1</v>
      </c>
      <c r="I17" s="3" t="s">
        <v>19</v>
      </c>
      <c r="J17" s="6">
        <v>90000</v>
      </c>
      <c r="K17" s="6">
        <v>0</v>
      </c>
      <c r="L17" s="6">
        <v>58472.73</v>
      </c>
      <c r="M17" s="6">
        <v>0</v>
      </c>
      <c r="N17" s="3" t="s">
        <v>19</v>
      </c>
      <c r="O17" s="6">
        <v>0</v>
      </c>
      <c r="P17" s="6">
        <f>J17-L17</f>
        <v>31527.269999999997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SUM(H14:H17)</f>
        <v>4</v>
      </c>
      <c r="I18" s="7"/>
      <c r="J18" s="9">
        <f>SUM(J14:J17)</f>
        <v>360000</v>
      </c>
      <c r="K18" s="9">
        <f>SUM(K14:K17)</f>
        <v>0</v>
      </c>
      <c r="L18" s="9">
        <f>SUM(L14:L17)</f>
        <v>233890.92</v>
      </c>
      <c r="M18" s="9">
        <f>SUM(M14:M17)</f>
        <v>0</v>
      </c>
      <c r="N18" s="7"/>
      <c r="O18" s="9">
        <f>SUM(O14:O17)</f>
        <v>0</v>
      </c>
      <c r="P18" s="9">
        <f>SUM(P14:P17)</f>
        <v>126109.07999999999</v>
      </c>
    </row>
    <row r="22" ht="15.75" customHeight="1" spans="1:16" x14ac:dyDescent="0.25">
      <c r="A22" s="1" t="s">
        <v>53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39.4" customHeight="1" spans="1:16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  <c r="P23" s="2" t="s">
        <v>16</v>
      </c>
    </row>
    <row r="24" spans="1:16" x14ac:dyDescent="0.25">
      <c r="A24" s="3" t="s">
        <v>690</v>
      </c>
      <c r="B24" s="4" t="s">
        <v>691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1313</v>
      </c>
      <c r="H24" s="5">
        <v>1</v>
      </c>
      <c r="I24" s="3" t="s">
        <v>19</v>
      </c>
      <c r="J24" s="6">
        <v>90000</v>
      </c>
      <c r="K24" s="6">
        <v>0</v>
      </c>
      <c r="L24" s="6">
        <v>58472.73</v>
      </c>
      <c r="M24" s="6">
        <v>0</v>
      </c>
      <c r="N24" s="3" t="s">
        <v>19</v>
      </c>
      <c r="O24" s="6">
        <v>0</v>
      </c>
      <c r="P24" s="6">
        <f>J24-L24</f>
        <v>31527.269999999997</v>
      </c>
    </row>
    <row r="25" spans="1:16" x14ac:dyDescent="0.25">
      <c r="A25" s="3" t="s">
        <v>710</v>
      </c>
      <c r="B25" s="4" t="s">
        <v>711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1313</v>
      </c>
      <c r="H25" s="5">
        <v>1</v>
      </c>
      <c r="I25" s="3" t="s">
        <v>19</v>
      </c>
      <c r="J25" s="6">
        <v>90000</v>
      </c>
      <c r="K25" s="6">
        <v>0</v>
      </c>
      <c r="L25" s="6">
        <v>58472.73</v>
      </c>
      <c r="M25" s="6">
        <v>0</v>
      </c>
      <c r="N25" s="3" t="s">
        <v>19</v>
      </c>
      <c r="O25" s="6">
        <v>0</v>
      </c>
      <c r="P25" s="6">
        <f>J25-L25</f>
        <v>31527.269999999997</v>
      </c>
    </row>
    <row r="26" spans="1:16" x14ac:dyDescent="0.25">
      <c r="A26" s="3" t="s">
        <v>1320</v>
      </c>
      <c r="B26" s="4" t="s">
        <v>1321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1322</v>
      </c>
      <c r="H26" s="5">
        <v>1</v>
      </c>
      <c r="I26" s="3" t="s">
        <v>19</v>
      </c>
      <c r="J26" s="6">
        <v>140000</v>
      </c>
      <c r="K26" s="6">
        <v>0</v>
      </c>
      <c r="L26" s="6">
        <v>115000</v>
      </c>
      <c r="M26" s="6">
        <v>0</v>
      </c>
      <c r="N26" s="3" t="s">
        <v>19</v>
      </c>
      <c r="O26" s="6">
        <v>0</v>
      </c>
      <c r="P26" s="6">
        <f>J26-L26</f>
        <v>25000</v>
      </c>
    </row>
    <row r="27" ht="18" customHeight="1" spans="1:16" x14ac:dyDescent="0.25">
      <c r="A27" s="7" t="s">
        <v>34</v>
      </c>
      <c r="B27" s="7"/>
      <c r="C27" s="7"/>
      <c r="D27" s="7"/>
      <c r="E27" s="7"/>
      <c r="F27" s="7"/>
      <c r="G27" s="7"/>
      <c r="H27" s="8">
        <f>SUM(H24:H26)</f>
        <v>3</v>
      </c>
      <c r="I27" s="7"/>
      <c r="J27" s="9">
        <f>SUM(J24:J26)</f>
        <v>320000</v>
      </c>
      <c r="K27" s="9">
        <f>SUM(K24:K26)</f>
        <v>0</v>
      </c>
      <c r="L27" s="9">
        <f>SUM(L24:L26)</f>
        <v>231945.46000000002</v>
      </c>
      <c r="M27" s="9">
        <f>SUM(M24:M26)</f>
        <v>0</v>
      </c>
      <c r="N27" s="7"/>
      <c r="O27" s="9">
        <f>SUM(O24:O26)</f>
        <v>0</v>
      </c>
      <c r="P27" s="9">
        <f>SUM(P24:P26)</f>
        <v>88054.54</v>
      </c>
    </row>
    <row r="31" ht="15.75" customHeight="1" spans="1:16" x14ac:dyDescent="0.25">
      <c r="A31" s="1" t="s">
        <v>60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39.4" customHeight="1" spans="1:16" x14ac:dyDescent="0.25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13</v>
      </c>
      <c r="N32" s="2" t="s">
        <v>14</v>
      </c>
      <c r="O32" s="2" t="s">
        <v>15</v>
      </c>
      <c r="P32" s="2" t="s">
        <v>16</v>
      </c>
    </row>
    <row r="33" spans="1:16" x14ac:dyDescent="0.25">
      <c r="A33" s="3" t="s">
        <v>1323</v>
      </c>
      <c r="B33" s="4" t="s">
        <v>1324</v>
      </c>
      <c r="C33" s="3" t="s">
        <v>19</v>
      </c>
      <c r="D33" s="3" t="s">
        <v>19</v>
      </c>
      <c r="E33" s="3" t="s">
        <v>52</v>
      </c>
      <c r="F33" s="3" t="s">
        <v>19</v>
      </c>
      <c r="G33" s="3" t="s">
        <v>1313</v>
      </c>
      <c r="H33" s="5">
        <v>1</v>
      </c>
      <c r="I33" s="3" t="s">
        <v>19</v>
      </c>
      <c r="J33" s="6">
        <v>90000</v>
      </c>
      <c r="K33" s="6">
        <v>0</v>
      </c>
      <c r="L33" s="6">
        <v>58472.73</v>
      </c>
      <c r="M33" s="6">
        <v>0</v>
      </c>
      <c r="N33" s="3" t="s">
        <v>19</v>
      </c>
      <c r="O33" s="6">
        <v>0</v>
      </c>
      <c r="P33" s="6">
        <f>J33-L33</f>
        <v>31527.269999999997</v>
      </c>
    </row>
    <row r="34" ht="18" customHeight="1" spans="1:16" x14ac:dyDescent="0.25">
      <c r="A34" s="7" t="s">
        <v>34</v>
      </c>
      <c r="B34" s="7"/>
      <c r="C34" s="7"/>
      <c r="D34" s="7"/>
      <c r="E34" s="7"/>
      <c r="F34" s="7"/>
      <c r="G34" s="7"/>
      <c r="H34" s="8">
        <f>SUM(H33:H33)</f>
        <v>1</v>
      </c>
      <c r="I34" s="7"/>
      <c r="J34" s="9">
        <f>SUM(J33:J33)</f>
        <v>90000</v>
      </c>
      <c r="K34" s="9">
        <f>SUM(K33:K33)</f>
        <v>0</v>
      </c>
      <c r="L34" s="9">
        <f>SUM(L33:L33)</f>
        <v>58472.73</v>
      </c>
      <c r="M34" s="9">
        <f>SUM(M33:M33)</f>
        <v>0</v>
      </c>
      <c r="N34" s="7"/>
      <c r="O34" s="9">
        <f>SUM(O33:O33)</f>
        <v>0</v>
      </c>
      <c r="P34" s="9">
        <f>SUM(P33:P33)</f>
        <v>31527.269999999997</v>
      </c>
    </row>
    <row r="38" ht="15.75" customHeight="1" spans="1:16" x14ac:dyDescent="0.25">
      <c r="A38" s="1" t="s">
        <v>65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39.4" customHeight="1" spans="1:16" x14ac:dyDescent="0.2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  <c r="P39" s="2" t="s">
        <v>16</v>
      </c>
    </row>
    <row r="40" spans="1:16" x14ac:dyDescent="0.25">
      <c r="A40" s="3" t="s">
        <v>1325</v>
      </c>
      <c r="B40" s="4" t="s">
        <v>1326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1313</v>
      </c>
      <c r="H40" s="5">
        <v>1</v>
      </c>
      <c r="I40" s="3" t="s">
        <v>19</v>
      </c>
      <c r="J40" s="6">
        <v>90000</v>
      </c>
      <c r="K40" s="6">
        <v>0</v>
      </c>
      <c r="L40" s="6">
        <v>58472.73</v>
      </c>
      <c r="M40" s="6">
        <v>0</v>
      </c>
      <c r="N40" s="3" t="s">
        <v>19</v>
      </c>
      <c r="O40" s="6">
        <v>0</v>
      </c>
      <c r="P40" s="6">
        <f>J40-L40</f>
        <v>31527.269999999997</v>
      </c>
    </row>
    <row r="41" spans="1:16" x14ac:dyDescent="0.25">
      <c r="A41" s="3" t="s">
        <v>1327</v>
      </c>
      <c r="B41" s="4" t="s">
        <v>1328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1313</v>
      </c>
      <c r="H41" s="5">
        <v>1</v>
      </c>
      <c r="I41" s="3" t="s">
        <v>19</v>
      </c>
      <c r="J41" s="6">
        <v>90000</v>
      </c>
      <c r="K41" s="6">
        <v>0</v>
      </c>
      <c r="L41" s="6">
        <v>58472.73</v>
      </c>
      <c r="M41" s="6">
        <v>0</v>
      </c>
      <c r="N41" s="3" t="s">
        <v>19</v>
      </c>
      <c r="O41" s="6">
        <v>0</v>
      </c>
      <c r="P41" s="6">
        <f>J41-L41</f>
        <v>31527.269999999997</v>
      </c>
    </row>
    <row r="42" spans="1:16" x14ac:dyDescent="0.25">
      <c r="A42" s="3" t="s">
        <v>756</v>
      </c>
      <c r="B42" s="4" t="s">
        <v>757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1309</v>
      </c>
      <c r="H42" s="5">
        <v>1</v>
      </c>
      <c r="I42" s="3" t="s">
        <v>19</v>
      </c>
      <c r="J42" s="6">
        <v>80000</v>
      </c>
      <c r="K42" s="6">
        <v>0</v>
      </c>
      <c r="L42" s="6">
        <v>45000</v>
      </c>
      <c r="M42" s="6">
        <v>0</v>
      </c>
      <c r="N42" s="3" t="s">
        <v>19</v>
      </c>
      <c r="O42" s="6">
        <v>0</v>
      </c>
      <c r="P42" s="6">
        <f>J42-L42</f>
        <v>35000</v>
      </c>
    </row>
    <row r="43" spans="1:16" x14ac:dyDescent="0.25">
      <c r="A43" s="3" t="s">
        <v>1129</v>
      </c>
      <c r="B43" s="4" t="s">
        <v>1130</v>
      </c>
      <c r="C43" s="3" t="s">
        <v>19</v>
      </c>
      <c r="D43" s="3" t="s">
        <v>19</v>
      </c>
      <c r="E43" s="3" t="s">
        <v>52</v>
      </c>
      <c r="F43" s="3" t="s">
        <v>19</v>
      </c>
      <c r="G43" s="3" t="s">
        <v>1312</v>
      </c>
      <c r="H43" s="5">
        <v>1</v>
      </c>
      <c r="I43" s="3" t="s">
        <v>19</v>
      </c>
      <c r="J43" s="6">
        <v>125000</v>
      </c>
      <c r="K43" s="6">
        <v>0</v>
      </c>
      <c r="L43" s="6">
        <v>104285.71</v>
      </c>
      <c r="M43" s="6">
        <v>0</v>
      </c>
      <c r="N43" s="3" t="s">
        <v>19</v>
      </c>
      <c r="O43" s="6">
        <v>0</v>
      </c>
      <c r="P43" s="6">
        <f>J43-L43</f>
        <v>20714.289999999994</v>
      </c>
    </row>
    <row r="44" ht="18" customHeight="1" spans="1:16" x14ac:dyDescent="0.25">
      <c r="A44" s="7" t="s">
        <v>34</v>
      </c>
      <c r="B44" s="7"/>
      <c r="C44" s="7"/>
      <c r="D44" s="7"/>
      <c r="E44" s="7"/>
      <c r="F44" s="7"/>
      <c r="G44" s="7"/>
      <c r="H44" s="8">
        <f>SUM(H40:H43)</f>
        <v>4</v>
      </c>
      <c r="I44" s="7"/>
      <c r="J44" s="9">
        <f>SUM(J40:J43)</f>
        <v>385000</v>
      </c>
      <c r="K44" s="9">
        <f>SUM(K40:K43)</f>
        <v>0</v>
      </c>
      <c r="L44" s="9">
        <f>SUM(L40:L43)</f>
        <v>266231.17000000004</v>
      </c>
      <c r="M44" s="9">
        <f>SUM(M40:M43)</f>
        <v>0</v>
      </c>
      <c r="N44" s="7"/>
      <c r="O44" s="9">
        <f>SUM(O40:O43)</f>
        <v>0</v>
      </c>
      <c r="P44" s="9">
        <f>SUM(P40:P43)</f>
        <v>118768.82999999999</v>
      </c>
    </row>
    <row r="48" ht="15.75" customHeight="1" spans="1:16" x14ac:dyDescent="0.25">
      <c r="A48" s="1" t="s">
        <v>80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39.4" customHeight="1" spans="1:16" x14ac:dyDescent="0.25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2" t="s">
        <v>9</v>
      </c>
      <c r="J49" s="2" t="s">
        <v>10</v>
      </c>
      <c r="K49" s="2" t="s">
        <v>11</v>
      </c>
      <c r="L49" s="2" t="s">
        <v>12</v>
      </c>
      <c r="M49" s="2" t="s">
        <v>13</v>
      </c>
      <c r="N49" s="2" t="s">
        <v>14</v>
      </c>
      <c r="O49" s="2" t="s">
        <v>15</v>
      </c>
      <c r="P49" s="2" t="s">
        <v>16</v>
      </c>
    </row>
    <row r="50" spans="1:16" x14ac:dyDescent="0.25">
      <c r="A50" s="3" t="s">
        <v>1329</v>
      </c>
      <c r="B50" s="4" t="s">
        <v>1330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1309</v>
      </c>
      <c r="H50" s="5">
        <v>1</v>
      </c>
      <c r="I50" s="3" t="s">
        <v>19</v>
      </c>
      <c r="J50" s="6">
        <v>80000</v>
      </c>
      <c r="K50" s="6">
        <v>0</v>
      </c>
      <c r="L50" s="6">
        <v>45000</v>
      </c>
      <c r="M50" s="6">
        <v>0</v>
      </c>
      <c r="N50" s="3" t="s">
        <v>19</v>
      </c>
      <c r="O50" s="6">
        <v>0</v>
      </c>
      <c r="P50" s="6">
        <f>J50-L50</f>
        <v>35000</v>
      </c>
    </row>
    <row r="51" spans="1:16" x14ac:dyDescent="0.25">
      <c r="A51" s="3" t="s">
        <v>792</v>
      </c>
      <c r="B51" s="4" t="s">
        <v>793</v>
      </c>
      <c r="C51" s="3" t="s">
        <v>19</v>
      </c>
      <c r="D51" s="3" t="s">
        <v>19</v>
      </c>
      <c r="E51" s="3" t="s">
        <v>52</v>
      </c>
      <c r="F51" s="3" t="s">
        <v>19</v>
      </c>
      <c r="G51" s="3" t="s">
        <v>1313</v>
      </c>
      <c r="H51" s="5">
        <v>1</v>
      </c>
      <c r="I51" s="3" t="s">
        <v>19</v>
      </c>
      <c r="J51" s="6">
        <v>90000</v>
      </c>
      <c r="K51" s="6">
        <v>0</v>
      </c>
      <c r="L51" s="6">
        <v>58472.73</v>
      </c>
      <c r="M51" s="6">
        <v>0</v>
      </c>
      <c r="N51" s="3" t="s">
        <v>19</v>
      </c>
      <c r="O51" s="6">
        <v>0</v>
      </c>
      <c r="P51" s="6">
        <f>J51-L51</f>
        <v>31527.269999999997</v>
      </c>
    </row>
    <row r="52" spans="1:16" x14ac:dyDescent="0.25">
      <c r="A52" s="3" t="s">
        <v>794</v>
      </c>
      <c r="B52" s="4" t="s">
        <v>795</v>
      </c>
      <c r="C52" s="3" t="s">
        <v>19</v>
      </c>
      <c r="D52" s="3" t="s">
        <v>19</v>
      </c>
      <c r="E52" s="3" t="s">
        <v>52</v>
      </c>
      <c r="F52" s="3" t="s">
        <v>19</v>
      </c>
      <c r="G52" s="3" t="s">
        <v>1313</v>
      </c>
      <c r="H52" s="5">
        <v>1</v>
      </c>
      <c r="I52" s="3" t="s">
        <v>19</v>
      </c>
      <c r="J52" s="6">
        <v>90000</v>
      </c>
      <c r="K52" s="6">
        <v>0</v>
      </c>
      <c r="L52" s="6">
        <v>59437.32</v>
      </c>
      <c r="M52" s="6">
        <v>0</v>
      </c>
      <c r="N52" s="3" t="s">
        <v>19</v>
      </c>
      <c r="O52" s="6">
        <v>0</v>
      </c>
      <c r="P52" s="6">
        <f>J52-L52</f>
        <v>30562.68</v>
      </c>
    </row>
    <row r="53" spans="1:16" x14ac:dyDescent="0.25">
      <c r="A53" s="3" t="s">
        <v>1331</v>
      </c>
      <c r="B53" s="4" t="s">
        <v>1332</v>
      </c>
      <c r="C53" s="3" t="s">
        <v>19</v>
      </c>
      <c r="D53" s="3" t="s">
        <v>19</v>
      </c>
      <c r="E53" s="3" t="s">
        <v>52</v>
      </c>
      <c r="F53" s="3" t="s">
        <v>19</v>
      </c>
      <c r="G53" s="3" t="s">
        <v>1309</v>
      </c>
      <c r="H53" s="5">
        <v>2</v>
      </c>
      <c r="I53" s="3" t="s">
        <v>19</v>
      </c>
      <c r="J53" s="6">
        <v>160000</v>
      </c>
      <c r="K53" s="6">
        <v>0</v>
      </c>
      <c r="L53" s="6">
        <v>90000</v>
      </c>
      <c r="M53" s="6">
        <v>0</v>
      </c>
      <c r="N53" s="3" t="s">
        <v>19</v>
      </c>
      <c r="O53" s="6">
        <v>0</v>
      </c>
      <c r="P53" s="6">
        <f>J53-L53</f>
        <v>70000</v>
      </c>
    </row>
    <row r="54" ht="18" customHeight="1" spans="1:16" x14ac:dyDescent="0.25">
      <c r="A54" s="7" t="s">
        <v>34</v>
      </c>
      <c r="B54" s="7"/>
      <c r="C54" s="7"/>
      <c r="D54" s="7"/>
      <c r="E54" s="7"/>
      <c r="F54" s="7"/>
      <c r="G54" s="7"/>
      <c r="H54" s="8">
        <f>SUM(H50:H53)</f>
        <v>5</v>
      </c>
      <c r="I54" s="7"/>
      <c r="J54" s="9">
        <f>SUM(J50:J53)</f>
        <v>420000</v>
      </c>
      <c r="K54" s="9">
        <f>SUM(K50:K53)</f>
        <v>0</v>
      </c>
      <c r="L54" s="9">
        <f>SUM(L50:L53)</f>
        <v>252910.05000000002</v>
      </c>
      <c r="M54" s="9">
        <f>SUM(M50:M53)</f>
        <v>0</v>
      </c>
      <c r="N54" s="7"/>
      <c r="O54" s="9">
        <f>SUM(O50:O53)</f>
        <v>0</v>
      </c>
      <c r="P54" s="9">
        <f>SUM(P50:P53)</f>
        <v>167089.94999999998</v>
      </c>
    </row>
    <row r="58" ht="15.75" customHeight="1" spans="1:16" x14ac:dyDescent="0.25">
      <c r="A58" s="1" t="s">
        <v>99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39.4" customHeight="1" spans="1:16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2" t="s">
        <v>14</v>
      </c>
      <c r="O59" s="2" t="s">
        <v>15</v>
      </c>
      <c r="P59" s="2" t="s">
        <v>16</v>
      </c>
    </row>
    <row r="60" spans="1:16" x14ac:dyDescent="0.25">
      <c r="A60" s="3" t="s">
        <v>104</v>
      </c>
      <c r="B60" s="4" t="s">
        <v>105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1322</v>
      </c>
      <c r="H60" s="5">
        <v>1</v>
      </c>
      <c r="I60" s="3" t="s">
        <v>19</v>
      </c>
      <c r="J60" s="6">
        <v>140000</v>
      </c>
      <c r="K60" s="6">
        <v>0</v>
      </c>
      <c r="L60" s="6">
        <v>115000</v>
      </c>
      <c r="M60" s="6">
        <v>0</v>
      </c>
      <c r="N60" s="3" t="s">
        <v>19</v>
      </c>
      <c r="O60" s="6">
        <v>0</v>
      </c>
      <c r="P60" s="6">
        <f>J60-L60</f>
        <v>25000</v>
      </c>
    </row>
    <row r="61" spans="1:16" x14ac:dyDescent="0.25">
      <c r="A61" s="3" t="s">
        <v>1183</v>
      </c>
      <c r="B61" s="4" t="s">
        <v>1184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1322</v>
      </c>
      <c r="H61" s="5">
        <v>1</v>
      </c>
      <c r="I61" s="3" t="s">
        <v>19</v>
      </c>
      <c r="J61" s="6">
        <v>140000</v>
      </c>
      <c r="K61" s="6">
        <v>0</v>
      </c>
      <c r="L61" s="6">
        <v>115000</v>
      </c>
      <c r="M61" s="6">
        <v>0</v>
      </c>
      <c r="N61" s="3" t="s">
        <v>19</v>
      </c>
      <c r="O61" s="6">
        <v>0</v>
      </c>
      <c r="P61" s="6">
        <f>J61-L61</f>
        <v>25000</v>
      </c>
    </row>
    <row r="62" ht="18" customHeight="1" spans="1:16" x14ac:dyDescent="0.25">
      <c r="A62" s="7" t="s">
        <v>34</v>
      </c>
      <c r="B62" s="7"/>
      <c r="C62" s="7"/>
      <c r="D62" s="7"/>
      <c r="E62" s="7"/>
      <c r="F62" s="7"/>
      <c r="G62" s="7"/>
      <c r="H62" s="8">
        <f>SUM(H60:H61)</f>
        <v>2</v>
      </c>
      <c r="I62" s="7"/>
      <c r="J62" s="9">
        <f>SUM(J60:J61)</f>
        <v>280000</v>
      </c>
      <c r="K62" s="9">
        <f>SUM(K60:K61)</f>
        <v>0</v>
      </c>
      <c r="L62" s="9">
        <f>SUM(L60:L61)</f>
        <v>230000</v>
      </c>
      <c r="M62" s="9">
        <f>SUM(M60:M61)</f>
        <v>0</v>
      </c>
      <c r="N62" s="7"/>
      <c r="O62" s="9">
        <f>SUM(O60:O61)</f>
        <v>0</v>
      </c>
      <c r="P62" s="9">
        <f>SUM(P60:P61)</f>
        <v>50000</v>
      </c>
    </row>
    <row r="66" ht="15.75" customHeight="1" spans="1:16" x14ac:dyDescent="0.25">
      <c r="A66" s="1" t="s">
        <v>112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39.4" customHeight="1" spans="1:16" x14ac:dyDescent="0.25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  <c r="P67" s="2" t="s">
        <v>16</v>
      </c>
    </row>
    <row r="68" spans="1:16" x14ac:dyDescent="0.25">
      <c r="A68" s="3" t="s">
        <v>1333</v>
      </c>
      <c r="B68" s="4" t="s">
        <v>1334</v>
      </c>
      <c r="C68" s="3" t="s">
        <v>19</v>
      </c>
      <c r="D68" s="3" t="s">
        <v>19</v>
      </c>
      <c r="E68" s="3" t="s">
        <v>20</v>
      </c>
      <c r="F68" s="3" t="s">
        <v>19</v>
      </c>
      <c r="G68" s="3" t="s">
        <v>1322</v>
      </c>
      <c r="H68" s="5">
        <v>1</v>
      </c>
      <c r="I68" s="3" t="s">
        <v>19</v>
      </c>
      <c r="J68" s="6">
        <v>140000</v>
      </c>
      <c r="K68" s="6">
        <v>0</v>
      </c>
      <c r="L68" s="6">
        <v>115000</v>
      </c>
      <c r="M68" s="6">
        <v>0</v>
      </c>
      <c r="N68" s="3" t="s">
        <v>19</v>
      </c>
      <c r="O68" s="6">
        <v>0</v>
      </c>
      <c r="P68" s="6">
        <f>J68-L68</f>
        <v>25000</v>
      </c>
    </row>
    <row r="69" spans="1:16" x14ac:dyDescent="0.25">
      <c r="A69" s="3" t="s">
        <v>820</v>
      </c>
      <c r="B69" s="4" t="s">
        <v>821</v>
      </c>
      <c r="C69" s="3" t="s">
        <v>19</v>
      </c>
      <c r="D69" s="3" t="s">
        <v>19</v>
      </c>
      <c r="E69" s="3" t="s">
        <v>20</v>
      </c>
      <c r="F69" s="3" t="s">
        <v>19</v>
      </c>
      <c r="G69" s="3" t="s">
        <v>1313</v>
      </c>
      <c r="H69" s="5">
        <v>1</v>
      </c>
      <c r="I69" s="3" t="s">
        <v>19</v>
      </c>
      <c r="J69" s="6">
        <v>90000</v>
      </c>
      <c r="K69" s="6">
        <v>0</v>
      </c>
      <c r="L69" s="6">
        <v>59437.32</v>
      </c>
      <c r="M69" s="6">
        <v>0</v>
      </c>
      <c r="N69" s="3" t="s">
        <v>19</v>
      </c>
      <c r="O69" s="6">
        <v>0</v>
      </c>
      <c r="P69" s="6">
        <f>J69-L69</f>
        <v>30562.68</v>
      </c>
    </row>
    <row r="70" spans="1:16" x14ac:dyDescent="0.25">
      <c r="A70" s="3" t="s">
        <v>1335</v>
      </c>
      <c r="B70" s="4" t="s">
        <v>1336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1313</v>
      </c>
      <c r="H70" s="5">
        <v>1</v>
      </c>
      <c r="I70" s="3" t="s">
        <v>19</v>
      </c>
      <c r="J70" s="6">
        <v>90000</v>
      </c>
      <c r="K70" s="6">
        <v>0</v>
      </c>
      <c r="L70" s="6">
        <v>59437.32</v>
      </c>
      <c r="M70" s="6">
        <v>0</v>
      </c>
      <c r="N70" s="3" t="s">
        <v>19</v>
      </c>
      <c r="O70" s="6">
        <v>0</v>
      </c>
      <c r="P70" s="6">
        <f>J70-L70</f>
        <v>30562.68</v>
      </c>
    </row>
    <row r="71" ht="18" customHeight="1" spans="1:16" x14ac:dyDescent="0.25">
      <c r="A71" s="7" t="s">
        <v>34</v>
      </c>
      <c r="B71" s="7"/>
      <c r="C71" s="7"/>
      <c r="D71" s="7"/>
      <c r="E71" s="7"/>
      <c r="F71" s="7"/>
      <c r="G71" s="7"/>
      <c r="H71" s="8">
        <f>SUM(H68:H70)</f>
        <v>3</v>
      </c>
      <c r="I71" s="7"/>
      <c r="J71" s="9">
        <f>SUM(J68:J70)</f>
        <v>320000</v>
      </c>
      <c r="K71" s="9">
        <f>SUM(K68:K70)</f>
        <v>0</v>
      </c>
      <c r="L71" s="9">
        <f>SUM(L68:L70)</f>
        <v>233874.64</v>
      </c>
      <c r="M71" s="9">
        <f>SUM(M68:M70)</f>
        <v>0</v>
      </c>
      <c r="N71" s="7"/>
      <c r="O71" s="9">
        <f>SUM(O68:O70)</f>
        <v>0</v>
      </c>
      <c r="P71" s="9">
        <f>SUM(P68:P70)</f>
        <v>86125.36</v>
      </c>
    </row>
    <row r="75" ht="15.75" customHeight="1" spans="1:16" x14ac:dyDescent="0.25">
      <c r="A75" s="1" t="s">
        <v>124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39.4" customHeight="1" spans="1:1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  <c r="N76" s="2" t="s">
        <v>14</v>
      </c>
      <c r="O76" s="2" t="s">
        <v>15</v>
      </c>
      <c r="P76" s="2" t="s">
        <v>16</v>
      </c>
    </row>
    <row r="77" spans="1:16" x14ac:dyDescent="0.25">
      <c r="A77" s="3" t="s">
        <v>1337</v>
      </c>
      <c r="B77" s="4" t="s">
        <v>1338</v>
      </c>
      <c r="C77" s="3" t="s">
        <v>19</v>
      </c>
      <c r="D77" s="3" t="s">
        <v>19</v>
      </c>
      <c r="E77" s="3" t="s">
        <v>20</v>
      </c>
      <c r="F77" s="3" t="s">
        <v>19</v>
      </c>
      <c r="G77" s="3" t="s">
        <v>1313</v>
      </c>
      <c r="H77" s="5">
        <v>1</v>
      </c>
      <c r="I77" s="3" t="s">
        <v>19</v>
      </c>
      <c r="J77" s="6">
        <v>90000</v>
      </c>
      <c r="K77" s="6">
        <v>0</v>
      </c>
      <c r="L77" s="6">
        <v>59437.32</v>
      </c>
      <c r="M77" s="6">
        <v>0</v>
      </c>
      <c r="N77" s="3" t="s">
        <v>19</v>
      </c>
      <c r="O77" s="6">
        <v>0</v>
      </c>
      <c r="P77" s="6">
        <f>J77-L77</f>
        <v>30562.68</v>
      </c>
    </row>
    <row r="78" ht="18" customHeight="1" spans="1:16" x14ac:dyDescent="0.25">
      <c r="A78" s="7" t="s">
        <v>34</v>
      </c>
      <c r="B78" s="7"/>
      <c r="C78" s="7"/>
      <c r="D78" s="7"/>
      <c r="E78" s="7"/>
      <c r="F78" s="7"/>
      <c r="G78" s="7"/>
      <c r="H78" s="8">
        <f>SUM(H77:H77)</f>
        <v>1</v>
      </c>
      <c r="I78" s="7"/>
      <c r="J78" s="9">
        <f>SUM(J77:J77)</f>
        <v>90000</v>
      </c>
      <c r="K78" s="9">
        <f>SUM(K77:K77)</f>
        <v>0</v>
      </c>
      <c r="L78" s="9">
        <f>SUM(L77:L77)</f>
        <v>59437.32</v>
      </c>
      <c r="M78" s="9">
        <f>SUM(M77:M77)</f>
        <v>0</v>
      </c>
      <c r="N78" s="7"/>
      <c r="O78" s="9">
        <f>SUM(O77:O77)</f>
        <v>0</v>
      </c>
      <c r="P78" s="9">
        <f>SUM(P77:P77)</f>
        <v>30562.68</v>
      </c>
    </row>
  </sheetData>
  <mergeCells count="18">
    <mergeCell ref="A1:P1"/>
    <mergeCell ref="A8:G8"/>
    <mergeCell ref="A12:P12"/>
    <mergeCell ref="A18:G18"/>
    <mergeCell ref="A22:P22"/>
    <mergeCell ref="A27:G27"/>
    <mergeCell ref="A31:P31"/>
    <mergeCell ref="A34:G34"/>
    <mergeCell ref="A38:P38"/>
    <mergeCell ref="A44:G44"/>
    <mergeCell ref="A48:P48"/>
    <mergeCell ref="A54:G54"/>
    <mergeCell ref="A58:P58"/>
    <mergeCell ref="A62:G62"/>
    <mergeCell ref="A66:P66"/>
    <mergeCell ref="A71:G71"/>
    <mergeCell ref="A75:P75"/>
    <mergeCell ref="A78:G7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1339</v>
      </c>
      <c r="B3" s="4" t="s">
        <v>1340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1341</v>
      </c>
      <c r="H3" s="5">
        <v>1</v>
      </c>
      <c r="I3" s="3" t="s">
        <v>19</v>
      </c>
      <c r="J3" s="6">
        <v>150000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150000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150000</v>
      </c>
      <c r="K4" s="9">
        <f>SUM(K3:K3)</f>
        <v>0</v>
      </c>
      <c r="L4" s="9">
        <f>SUM(L3:L3)</f>
        <v>0</v>
      </c>
      <c r="M4" s="9">
        <f>SUM(M3:M3)</f>
        <v>0</v>
      </c>
      <c r="N4" s="7"/>
      <c r="O4" s="9">
        <f>SUM(O3:O3)</f>
        <v>0</v>
      </c>
      <c r="P4" s="9">
        <f>SUM(P3:P3)</f>
        <v>150000</v>
      </c>
    </row>
    <row r="8" ht="15.75" customHeight="1" spans="1:16" x14ac:dyDescent="0.25">
      <c r="A8" s="1" t="s">
        <v>53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1342</v>
      </c>
      <c r="B10" s="4" t="s">
        <v>1343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1341</v>
      </c>
      <c r="H10" s="5">
        <v>1</v>
      </c>
      <c r="I10" s="3" t="s">
        <v>19</v>
      </c>
      <c r="J10" s="6">
        <v>150000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150000</v>
      </c>
    </row>
    <row r="11" spans="1:16" x14ac:dyDescent="0.25">
      <c r="A11" s="3" t="s">
        <v>1344</v>
      </c>
      <c r="B11" s="4" t="s">
        <v>1345</v>
      </c>
      <c r="C11" s="3" t="s">
        <v>19</v>
      </c>
      <c r="D11" s="3" t="s">
        <v>19</v>
      </c>
      <c r="E11" s="3" t="s">
        <v>52</v>
      </c>
      <c r="F11" s="3" t="s">
        <v>19</v>
      </c>
      <c r="G11" s="3" t="s">
        <v>1341</v>
      </c>
      <c r="H11" s="5">
        <v>1</v>
      </c>
      <c r="I11" s="3" t="s">
        <v>19</v>
      </c>
      <c r="J11" s="6">
        <v>180000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180000</v>
      </c>
    </row>
    <row r="12" spans="1:16" x14ac:dyDescent="0.25">
      <c r="A12" s="3" t="s">
        <v>1344</v>
      </c>
      <c r="B12" s="4" t="s">
        <v>1345</v>
      </c>
      <c r="C12" s="3" t="s">
        <v>19</v>
      </c>
      <c r="D12" s="3" t="s">
        <v>19</v>
      </c>
      <c r="E12" s="3" t="s">
        <v>52</v>
      </c>
      <c r="F12" s="3" t="s">
        <v>19</v>
      </c>
      <c r="G12" s="3" t="s">
        <v>1341</v>
      </c>
      <c r="H12" s="5">
        <v>1</v>
      </c>
      <c r="I12" s="3" t="s">
        <v>19</v>
      </c>
      <c r="J12" s="6">
        <v>200000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200000</v>
      </c>
    </row>
    <row r="13" ht="18" customHeight="1" spans="1:16" x14ac:dyDescent="0.25">
      <c r="A13" s="7" t="s">
        <v>34</v>
      </c>
      <c r="B13" s="7"/>
      <c r="C13" s="7"/>
      <c r="D13" s="7"/>
      <c r="E13" s="7"/>
      <c r="F13" s="7"/>
      <c r="G13" s="7"/>
      <c r="H13" s="8">
        <f>SUM(H10:H12)</f>
        <v>3</v>
      </c>
      <c r="I13" s="7"/>
      <c r="J13" s="9">
        <f>SUM(J10:J12)</f>
        <v>530000</v>
      </c>
      <c r="K13" s="9">
        <f>SUM(K10:K12)</f>
        <v>0</v>
      </c>
      <c r="L13" s="9">
        <f>SUM(L10:L12)</f>
        <v>0</v>
      </c>
      <c r="M13" s="9">
        <f>SUM(M10:M12)</f>
        <v>0</v>
      </c>
      <c r="N13" s="7"/>
      <c r="O13" s="9">
        <f>SUM(O10:O12)</f>
        <v>0</v>
      </c>
      <c r="P13" s="9">
        <f>SUM(P10:P12)</f>
        <v>530000</v>
      </c>
    </row>
    <row r="17" ht="15.75" customHeight="1" spans="1:16" x14ac:dyDescent="0.25">
      <c r="A17" s="1" t="s">
        <v>60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39.4" customHeight="1" spans="1:16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N18" s="2" t="s">
        <v>14</v>
      </c>
      <c r="O18" s="2" t="s">
        <v>15</v>
      </c>
      <c r="P18" s="2" t="s">
        <v>16</v>
      </c>
    </row>
    <row r="19" spans="1:16" x14ac:dyDescent="0.25">
      <c r="A19" s="3" t="s">
        <v>1346</v>
      </c>
      <c r="B19" s="4" t="s">
        <v>1347</v>
      </c>
      <c r="C19" s="3" t="s">
        <v>19</v>
      </c>
      <c r="D19" s="3" t="s">
        <v>19</v>
      </c>
      <c r="E19" s="3" t="s">
        <v>52</v>
      </c>
      <c r="F19" s="3" t="s">
        <v>19</v>
      </c>
      <c r="G19" s="3" t="s">
        <v>1341</v>
      </c>
      <c r="H19" s="5">
        <v>2</v>
      </c>
      <c r="I19" s="3" t="s">
        <v>19</v>
      </c>
      <c r="J19" s="6">
        <v>400000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400000</v>
      </c>
    </row>
    <row r="20" ht="18" customHeight="1" spans="1:16" x14ac:dyDescent="0.25">
      <c r="A20" s="7" t="s">
        <v>34</v>
      </c>
      <c r="B20" s="7"/>
      <c r="C20" s="7"/>
      <c r="D20" s="7"/>
      <c r="E20" s="7"/>
      <c r="F20" s="7"/>
      <c r="G20" s="7"/>
      <c r="H20" s="8">
        <f>SUM(H19:H19)</f>
        <v>2</v>
      </c>
      <c r="I20" s="7"/>
      <c r="J20" s="9">
        <f>SUM(J19:J19)</f>
        <v>400000</v>
      </c>
      <c r="K20" s="9">
        <f>SUM(K19:K19)</f>
        <v>0</v>
      </c>
      <c r="L20" s="9">
        <f>SUM(L19:L19)</f>
        <v>0</v>
      </c>
      <c r="M20" s="9">
        <f>SUM(M19:M19)</f>
        <v>0</v>
      </c>
      <c r="N20" s="7"/>
      <c r="O20" s="9">
        <f>SUM(O19:O19)</f>
        <v>0</v>
      </c>
      <c r="P20" s="9">
        <f>SUM(P19:P19)</f>
        <v>400000</v>
      </c>
    </row>
    <row r="24" ht="15.75" customHeight="1" spans="1:16" x14ac:dyDescent="0.25">
      <c r="A24" s="1" t="s">
        <v>99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39.4" customHeight="1" spans="1:16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13</v>
      </c>
      <c r="N25" s="2" t="s">
        <v>14</v>
      </c>
      <c r="O25" s="2" t="s">
        <v>15</v>
      </c>
      <c r="P25" s="2" t="s">
        <v>16</v>
      </c>
    </row>
    <row r="26" spans="1:16" x14ac:dyDescent="0.25">
      <c r="A26" s="3" t="s">
        <v>1348</v>
      </c>
      <c r="B26" s="4" t="s">
        <v>1349</v>
      </c>
      <c r="C26" s="3" t="s">
        <v>19</v>
      </c>
      <c r="D26" s="3" t="s">
        <v>19</v>
      </c>
      <c r="E26" s="3" t="s">
        <v>20</v>
      </c>
      <c r="F26" s="3" t="s">
        <v>19</v>
      </c>
      <c r="G26" s="3" t="s">
        <v>1341</v>
      </c>
      <c r="H26" s="5">
        <v>2</v>
      </c>
      <c r="I26" s="3" t="s">
        <v>19</v>
      </c>
      <c r="J26" s="6">
        <v>400000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400000</v>
      </c>
    </row>
    <row r="27" spans="1:16" x14ac:dyDescent="0.25">
      <c r="A27" s="3" t="s">
        <v>1350</v>
      </c>
      <c r="B27" s="4" t="s">
        <v>1351</v>
      </c>
      <c r="C27" s="3" t="s">
        <v>19</v>
      </c>
      <c r="D27" s="3" t="s">
        <v>19</v>
      </c>
      <c r="E27" s="3" t="s">
        <v>20</v>
      </c>
      <c r="F27" s="3" t="s">
        <v>19</v>
      </c>
      <c r="G27" s="3" t="s">
        <v>1341</v>
      </c>
      <c r="H27" s="5">
        <v>2</v>
      </c>
      <c r="I27" s="3" t="s">
        <v>19</v>
      </c>
      <c r="J27" s="6">
        <v>400000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400000</v>
      </c>
    </row>
    <row r="28" ht="18" customHeight="1" spans="1:16" x14ac:dyDescent="0.25">
      <c r="A28" s="7" t="s">
        <v>34</v>
      </c>
      <c r="B28" s="7"/>
      <c r="C28" s="7"/>
      <c r="D28" s="7"/>
      <c r="E28" s="7"/>
      <c r="F28" s="7"/>
      <c r="G28" s="7"/>
      <c r="H28" s="8">
        <f>SUM(H26:H27)</f>
        <v>4</v>
      </c>
      <c r="I28" s="7"/>
      <c r="J28" s="9">
        <f>SUM(J26:J27)</f>
        <v>800000</v>
      </c>
      <c r="K28" s="9">
        <f>SUM(K26:K27)</f>
        <v>0</v>
      </c>
      <c r="L28" s="9">
        <f>SUM(L26:L27)</f>
        <v>0</v>
      </c>
      <c r="M28" s="9">
        <f>SUM(M26:M27)</f>
        <v>0</v>
      </c>
      <c r="N28" s="7"/>
      <c r="O28" s="9">
        <f>SUM(O26:O27)</f>
        <v>0</v>
      </c>
      <c r="P28" s="9">
        <f>SUM(P26:P27)</f>
        <v>800000</v>
      </c>
    </row>
  </sheetData>
  <mergeCells count="8">
    <mergeCell ref="A1:P1"/>
    <mergeCell ref="A4:G4"/>
    <mergeCell ref="A8:P8"/>
    <mergeCell ref="A13:G13"/>
    <mergeCell ref="A17:P17"/>
    <mergeCell ref="A20:G20"/>
    <mergeCell ref="A24:P24"/>
    <mergeCell ref="A28:G2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880</v>
      </c>
      <c r="B3" s="4" t="s">
        <v>881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1352</v>
      </c>
      <c r="H3" s="5">
        <v>1</v>
      </c>
      <c r="I3" s="3" t="s">
        <v>19</v>
      </c>
      <c r="J3" s="6">
        <v>35000</v>
      </c>
      <c r="K3" s="6">
        <v>0</v>
      </c>
      <c r="L3" s="6">
        <v>25000</v>
      </c>
      <c r="M3" s="6">
        <v>0</v>
      </c>
      <c r="N3" s="3" t="s">
        <v>19</v>
      </c>
      <c r="O3" s="6">
        <v>0</v>
      </c>
      <c r="P3" s="6">
        <f>J3-L3</f>
        <v>10000</v>
      </c>
    </row>
    <row r="4" spans="1:16" x14ac:dyDescent="0.25">
      <c r="A4" s="3" t="s">
        <v>1353</v>
      </c>
      <c r="B4" s="4" t="s">
        <v>1354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1352</v>
      </c>
      <c r="H4" s="5">
        <v>1</v>
      </c>
      <c r="I4" s="3" t="s">
        <v>19</v>
      </c>
      <c r="J4" s="6">
        <v>35000</v>
      </c>
      <c r="K4" s="6">
        <v>0</v>
      </c>
      <c r="L4" s="6">
        <v>25000</v>
      </c>
      <c r="M4" s="6">
        <v>0</v>
      </c>
      <c r="N4" s="3" t="s">
        <v>19</v>
      </c>
      <c r="O4" s="6">
        <v>0</v>
      </c>
      <c r="P4" s="6">
        <f>J4-L4</f>
        <v>10000</v>
      </c>
    </row>
    <row r="5" spans="1:16" x14ac:dyDescent="0.25">
      <c r="A5" s="3" t="s">
        <v>1355</v>
      </c>
      <c r="B5" s="4" t="s">
        <v>1356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1352</v>
      </c>
      <c r="H5" s="5">
        <v>1</v>
      </c>
      <c r="I5" s="3" t="s">
        <v>19</v>
      </c>
      <c r="J5" s="6">
        <v>35000</v>
      </c>
      <c r="K5" s="6">
        <v>0</v>
      </c>
      <c r="L5" s="6">
        <v>25000</v>
      </c>
      <c r="M5" s="6">
        <v>0</v>
      </c>
      <c r="N5" s="3" t="s">
        <v>19</v>
      </c>
      <c r="O5" s="6">
        <v>0</v>
      </c>
      <c r="P5" s="6">
        <f>J5-L5</f>
        <v>10000</v>
      </c>
    </row>
    <row r="6" ht="18" customHeight="1" spans="1:16" x14ac:dyDescent="0.25">
      <c r="A6" s="7" t="s">
        <v>34</v>
      </c>
      <c r="B6" s="7"/>
      <c r="C6" s="7"/>
      <c r="D6" s="7"/>
      <c r="E6" s="7"/>
      <c r="F6" s="7"/>
      <c r="G6" s="7"/>
      <c r="H6" s="8">
        <f>SUM(H3:H5)</f>
        <v>3</v>
      </c>
      <c r="I6" s="7"/>
      <c r="J6" s="9">
        <f>SUM(J3:J5)</f>
        <v>105000</v>
      </c>
      <c r="K6" s="9">
        <f>SUM(K3:K5)</f>
        <v>0</v>
      </c>
      <c r="L6" s="9">
        <f>SUM(L3:L5)</f>
        <v>75000</v>
      </c>
      <c r="M6" s="9">
        <f>SUM(M3:M5)</f>
        <v>0</v>
      </c>
      <c r="N6" s="7"/>
      <c r="O6" s="9">
        <f>SUM(O3:O5)</f>
        <v>0</v>
      </c>
      <c r="P6" s="9">
        <f>SUM(P3:P5)</f>
        <v>30000</v>
      </c>
    </row>
    <row r="10" ht="15.75" customHeight="1" spans="1:16" x14ac:dyDescent="0.25">
      <c r="A10" s="1" t="s">
        <v>53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39.4" customHeight="1" spans="1:16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  <c r="P11" s="2" t="s">
        <v>16</v>
      </c>
    </row>
    <row r="12" spans="1:16" x14ac:dyDescent="0.25">
      <c r="A12" s="3" t="s">
        <v>1357</v>
      </c>
      <c r="B12" s="4" t="s">
        <v>1358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1352</v>
      </c>
      <c r="H12" s="5">
        <v>1</v>
      </c>
      <c r="I12" s="3" t="s">
        <v>19</v>
      </c>
      <c r="J12" s="6">
        <v>35000</v>
      </c>
      <c r="K12" s="6">
        <v>0</v>
      </c>
      <c r="L12" s="6">
        <v>25000</v>
      </c>
      <c r="M12" s="6">
        <v>0</v>
      </c>
      <c r="N12" s="3" t="s">
        <v>19</v>
      </c>
      <c r="O12" s="6">
        <v>0</v>
      </c>
      <c r="P12" s="6">
        <f>J12-L12</f>
        <v>10000</v>
      </c>
    </row>
    <row r="13" spans="1:16" x14ac:dyDescent="0.25">
      <c r="A13" s="3" t="s">
        <v>1359</v>
      </c>
      <c r="B13" s="4" t="s">
        <v>1360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1361</v>
      </c>
      <c r="H13" s="5">
        <v>1</v>
      </c>
      <c r="I13" s="3" t="s">
        <v>19</v>
      </c>
      <c r="J13" s="6">
        <v>40000</v>
      </c>
      <c r="K13" s="6">
        <v>0</v>
      </c>
      <c r="L13" s="6">
        <v>30000</v>
      </c>
      <c r="M13" s="6">
        <v>0</v>
      </c>
      <c r="N13" s="3" t="s">
        <v>19</v>
      </c>
      <c r="O13" s="6">
        <v>0</v>
      </c>
      <c r="P13" s="6">
        <f>J13-L13</f>
        <v>10000</v>
      </c>
    </row>
    <row r="14" ht="18" customHeight="1" spans="1:16" x14ac:dyDescent="0.25">
      <c r="A14" s="7" t="s">
        <v>34</v>
      </c>
      <c r="B14" s="7"/>
      <c r="C14" s="7"/>
      <c r="D14" s="7"/>
      <c r="E14" s="7"/>
      <c r="F14" s="7"/>
      <c r="G14" s="7"/>
      <c r="H14" s="8">
        <f>SUM(H12:H13)</f>
        <v>2</v>
      </c>
      <c r="I14" s="7"/>
      <c r="J14" s="9">
        <f>SUM(J12:J13)</f>
        <v>75000</v>
      </c>
      <c r="K14" s="9">
        <f>SUM(K12:K13)</f>
        <v>0</v>
      </c>
      <c r="L14" s="9">
        <f>SUM(L12:L13)</f>
        <v>55000</v>
      </c>
      <c r="M14" s="9">
        <f>SUM(M12:M13)</f>
        <v>0</v>
      </c>
      <c r="N14" s="7"/>
      <c r="O14" s="9">
        <f>SUM(O12:O13)</f>
        <v>0</v>
      </c>
      <c r="P14" s="9">
        <f>SUM(P12:P13)</f>
        <v>20000</v>
      </c>
    </row>
    <row r="18" ht="15.75" customHeight="1" spans="1:16" x14ac:dyDescent="0.25">
      <c r="A18" s="1" t="s">
        <v>60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39.4" customHeight="1" spans="1:16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  <c r="P19" s="2" t="s">
        <v>16</v>
      </c>
    </row>
    <row r="20" spans="1:16" x14ac:dyDescent="0.25">
      <c r="A20" s="3" t="s">
        <v>1362</v>
      </c>
      <c r="B20" s="4" t="s">
        <v>1363</v>
      </c>
      <c r="C20" s="3" t="s">
        <v>19</v>
      </c>
      <c r="D20" s="3" t="s">
        <v>19</v>
      </c>
      <c r="E20" s="3" t="s">
        <v>52</v>
      </c>
      <c r="F20" s="3" t="s">
        <v>19</v>
      </c>
      <c r="G20" s="3" t="s">
        <v>1364</v>
      </c>
      <c r="H20" s="5">
        <v>1</v>
      </c>
      <c r="I20" s="3" t="s">
        <v>19</v>
      </c>
      <c r="J20" s="6">
        <v>35000</v>
      </c>
      <c r="K20" s="6">
        <v>0</v>
      </c>
      <c r="L20" s="6">
        <v>25000</v>
      </c>
      <c r="M20" s="6">
        <v>0</v>
      </c>
      <c r="N20" s="3" t="s">
        <v>19</v>
      </c>
      <c r="O20" s="6">
        <v>0</v>
      </c>
      <c r="P20" s="6">
        <f>J20-L20</f>
        <v>10000</v>
      </c>
    </row>
    <row r="21" spans="1:16" x14ac:dyDescent="0.25">
      <c r="A21" s="3" t="s">
        <v>1323</v>
      </c>
      <c r="B21" s="4" t="s">
        <v>1324</v>
      </c>
      <c r="C21" s="3" t="s">
        <v>19</v>
      </c>
      <c r="D21" s="3" t="s">
        <v>19</v>
      </c>
      <c r="E21" s="3" t="s">
        <v>52</v>
      </c>
      <c r="F21" s="3" t="s">
        <v>19</v>
      </c>
      <c r="G21" s="3" t="s">
        <v>1352</v>
      </c>
      <c r="H21" s="5">
        <v>1</v>
      </c>
      <c r="I21" s="3" t="s">
        <v>19</v>
      </c>
      <c r="J21" s="6">
        <v>35000</v>
      </c>
      <c r="K21" s="6">
        <v>0</v>
      </c>
      <c r="L21" s="6">
        <v>25000</v>
      </c>
      <c r="M21" s="6">
        <v>0</v>
      </c>
      <c r="N21" s="3" t="s">
        <v>19</v>
      </c>
      <c r="O21" s="6">
        <v>0</v>
      </c>
      <c r="P21" s="6">
        <f>J21-L21</f>
        <v>10000</v>
      </c>
    </row>
    <row r="22" spans="1:16" x14ac:dyDescent="0.25">
      <c r="A22" s="3" t="s">
        <v>1365</v>
      </c>
      <c r="B22" s="4" t="s">
        <v>1366</v>
      </c>
      <c r="C22" s="3" t="s">
        <v>19</v>
      </c>
      <c r="D22" s="3" t="s">
        <v>19</v>
      </c>
      <c r="E22" s="3" t="s">
        <v>52</v>
      </c>
      <c r="F22" s="3" t="s">
        <v>19</v>
      </c>
      <c r="G22" s="3" t="s">
        <v>1361</v>
      </c>
      <c r="H22" s="5">
        <v>1</v>
      </c>
      <c r="I22" s="3" t="s">
        <v>19</v>
      </c>
      <c r="J22" s="6">
        <v>40000</v>
      </c>
      <c r="K22" s="6">
        <v>0</v>
      </c>
      <c r="L22" s="6">
        <v>30000</v>
      </c>
      <c r="M22" s="6">
        <v>0</v>
      </c>
      <c r="N22" s="3" t="s">
        <v>19</v>
      </c>
      <c r="O22" s="6">
        <v>0</v>
      </c>
      <c r="P22" s="6">
        <f>J22-L22</f>
        <v>10000</v>
      </c>
    </row>
    <row r="23" ht="18" customHeight="1" spans="1:16" x14ac:dyDescent="0.25">
      <c r="A23" s="7" t="s">
        <v>34</v>
      </c>
      <c r="B23" s="7"/>
      <c r="C23" s="7"/>
      <c r="D23" s="7"/>
      <c r="E23" s="7"/>
      <c r="F23" s="7"/>
      <c r="G23" s="7"/>
      <c r="H23" s="8">
        <f>SUM(H20:H22)</f>
        <v>3</v>
      </c>
      <c r="I23" s="7"/>
      <c r="J23" s="9">
        <f>SUM(J20:J22)</f>
        <v>110000</v>
      </c>
      <c r="K23" s="9">
        <f>SUM(K20:K22)</f>
        <v>0</v>
      </c>
      <c r="L23" s="9">
        <f>SUM(L20:L22)</f>
        <v>80000</v>
      </c>
      <c r="M23" s="9">
        <f>SUM(M20:M22)</f>
        <v>0</v>
      </c>
      <c r="N23" s="7"/>
      <c r="O23" s="9">
        <f>SUM(O20:O22)</f>
        <v>0</v>
      </c>
      <c r="P23" s="9">
        <f>SUM(P20:P22)</f>
        <v>30000</v>
      </c>
    </row>
    <row r="27" ht="15.75" customHeight="1" spans="1:16" x14ac:dyDescent="0.25">
      <c r="A27" s="1" t="s">
        <v>80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39.4" customHeight="1" spans="1:16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2" t="s">
        <v>12</v>
      </c>
      <c r="M28" s="2" t="s">
        <v>13</v>
      </c>
      <c r="N28" s="2" t="s">
        <v>14</v>
      </c>
      <c r="O28" s="2" t="s">
        <v>15</v>
      </c>
      <c r="P28" s="2" t="s">
        <v>16</v>
      </c>
    </row>
    <row r="29" spans="1:16" x14ac:dyDescent="0.25">
      <c r="A29" s="3" t="s">
        <v>1167</v>
      </c>
      <c r="B29" s="4" t="s">
        <v>1168</v>
      </c>
      <c r="C29" s="3" t="s">
        <v>19</v>
      </c>
      <c r="D29" s="3" t="s">
        <v>19</v>
      </c>
      <c r="E29" s="3" t="s">
        <v>52</v>
      </c>
      <c r="F29" s="3" t="s">
        <v>19</v>
      </c>
      <c r="G29" s="3" t="s">
        <v>1352</v>
      </c>
      <c r="H29" s="5">
        <v>1</v>
      </c>
      <c r="I29" s="3" t="s">
        <v>19</v>
      </c>
      <c r="J29" s="6">
        <v>35000</v>
      </c>
      <c r="K29" s="6">
        <v>0</v>
      </c>
      <c r="L29" s="6">
        <v>25000</v>
      </c>
      <c r="M29" s="6">
        <v>0</v>
      </c>
      <c r="N29" s="3" t="s">
        <v>19</v>
      </c>
      <c r="O29" s="6">
        <v>0</v>
      </c>
      <c r="P29" s="6">
        <f>J29-L29</f>
        <v>10000</v>
      </c>
    </row>
    <row r="30" ht="18" customHeight="1" spans="1:16" x14ac:dyDescent="0.25">
      <c r="A30" s="7" t="s">
        <v>34</v>
      </c>
      <c r="B30" s="7"/>
      <c r="C30" s="7"/>
      <c r="D30" s="7"/>
      <c r="E30" s="7"/>
      <c r="F30" s="7"/>
      <c r="G30" s="7"/>
      <c r="H30" s="8">
        <f>SUM(H29:H29)</f>
        <v>1</v>
      </c>
      <c r="I30" s="7"/>
      <c r="J30" s="9">
        <f>SUM(J29:J29)</f>
        <v>35000</v>
      </c>
      <c r="K30" s="9">
        <f>SUM(K29:K29)</f>
        <v>0</v>
      </c>
      <c r="L30" s="9">
        <f>SUM(L29:L29)</f>
        <v>25000</v>
      </c>
      <c r="M30" s="9">
        <f>SUM(M29:M29)</f>
        <v>0</v>
      </c>
      <c r="N30" s="7"/>
      <c r="O30" s="9">
        <f>SUM(O29:O29)</f>
        <v>0</v>
      </c>
      <c r="P30" s="9">
        <f>SUM(P29:P29)</f>
        <v>10000</v>
      </c>
    </row>
    <row r="34" ht="15.75" customHeight="1" spans="1:16" x14ac:dyDescent="0.25">
      <c r="A34" s="1" t="s">
        <v>112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39.4" customHeight="1" spans="1:16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2" t="s">
        <v>13</v>
      </c>
      <c r="N35" s="2" t="s">
        <v>14</v>
      </c>
      <c r="O35" s="2" t="s">
        <v>15</v>
      </c>
      <c r="P35" s="2" t="s">
        <v>16</v>
      </c>
    </row>
    <row r="36" spans="1:16" x14ac:dyDescent="0.25">
      <c r="A36" s="3" t="s">
        <v>1367</v>
      </c>
      <c r="B36" s="4" t="s">
        <v>1368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1361</v>
      </c>
      <c r="H36" s="5">
        <v>2</v>
      </c>
      <c r="I36" s="3" t="s">
        <v>19</v>
      </c>
      <c r="J36" s="6">
        <v>80000</v>
      </c>
      <c r="K36" s="6">
        <v>0</v>
      </c>
      <c r="L36" s="6">
        <v>60000</v>
      </c>
      <c r="M36" s="6">
        <v>0</v>
      </c>
      <c r="N36" s="3" t="s">
        <v>19</v>
      </c>
      <c r="O36" s="6">
        <v>0</v>
      </c>
      <c r="P36" s="6">
        <f>J36-L36</f>
        <v>20000</v>
      </c>
    </row>
    <row r="37" ht="18" customHeight="1" spans="1:16" x14ac:dyDescent="0.25">
      <c r="A37" s="7" t="s">
        <v>34</v>
      </c>
      <c r="B37" s="7"/>
      <c r="C37" s="7"/>
      <c r="D37" s="7"/>
      <c r="E37" s="7"/>
      <c r="F37" s="7"/>
      <c r="G37" s="7"/>
      <c r="H37" s="8">
        <f>SUM(H36:H36)</f>
        <v>2</v>
      </c>
      <c r="I37" s="7"/>
      <c r="J37" s="9">
        <f>SUM(J36:J36)</f>
        <v>80000</v>
      </c>
      <c r="K37" s="9">
        <f>SUM(K36:K36)</f>
        <v>0</v>
      </c>
      <c r="L37" s="9">
        <f>SUM(L36:L36)</f>
        <v>60000</v>
      </c>
      <c r="M37" s="9">
        <f>SUM(M36:M36)</f>
        <v>0</v>
      </c>
      <c r="N37" s="7"/>
      <c r="O37" s="9">
        <f>SUM(O36:O36)</f>
        <v>0</v>
      </c>
      <c r="P37" s="9">
        <f>SUM(P36:P36)</f>
        <v>20000</v>
      </c>
    </row>
    <row r="41" ht="15.75" customHeight="1" spans="1:16" x14ac:dyDescent="0.25">
      <c r="A41" s="1" t="s">
        <v>124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39.4" customHeight="1" spans="1:16" x14ac:dyDescent="0.2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  <c r="O42" s="2" t="s">
        <v>15</v>
      </c>
      <c r="P42" s="2" t="s">
        <v>16</v>
      </c>
    </row>
    <row r="43" spans="1:16" x14ac:dyDescent="0.25">
      <c r="A43" s="3" t="s">
        <v>1369</v>
      </c>
      <c r="B43" s="4" t="s">
        <v>1370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1352</v>
      </c>
      <c r="H43" s="5">
        <v>1</v>
      </c>
      <c r="I43" s="3" t="s">
        <v>19</v>
      </c>
      <c r="J43" s="6">
        <v>35000</v>
      </c>
      <c r="K43" s="6">
        <v>0</v>
      </c>
      <c r="L43" s="6">
        <v>25000</v>
      </c>
      <c r="M43" s="6">
        <v>0</v>
      </c>
      <c r="N43" s="3" t="s">
        <v>19</v>
      </c>
      <c r="O43" s="6">
        <v>0</v>
      </c>
      <c r="P43" s="6">
        <f>J43-L43</f>
        <v>10000</v>
      </c>
    </row>
    <row r="44" spans="1:16" x14ac:dyDescent="0.25">
      <c r="A44" s="3" t="s">
        <v>1371</v>
      </c>
      <c r="B44" s="4" t="s">
        <v>1372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1352</v>
      </c>
      <c r="H44" s="5">
        <v>1</v>
      </c>
      <c r="I44" s="3" t="s">
        <v>19</v>
      </c>
      <c r="J44" s="6">
        <v>35000</v>
      </c>
      <c r="K44" s="6">
        <v>0</v>
      </c>
      <c r="L44" s="6">
        <v>25000</v>
      </c>
      <c r="M44" s="6">
        <v>0</v>
      </c>
      <c r="N44" s="3" t="s">
        <v>19</v>
      </c>
      <c r="O44" s="6">
        <v>0</v>
      </c>
      <c r="P44" s="6">
        <f>J44-L44</f>
        <v>10000</v>
      </c>
    </row>
    <row r="45" spans="1:16" x14ac:dyDescent="0.25">
      <c r="A45" s="3" t="s">
        <v>1373</v>
      </c>
      <c r="B45" s="4" t="s">
        <v>1374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1361</v>
      </c>
      <c r="H45" s="5">
        <v>1</v>
      </c>
      <c r="I45" s="3" t="s">
        <v>19</v>
      </c>
      <c r="J45" s="6">
        <v>40000</v>
      </c>
      <c r="K45" s="6">
        <v>0</v>
      </c>
      <c r="L45" s="6">
        <v>30000</v>
      </c>
      <c r="M45" s="6">
        <v>0</v>
      </c>
      <c r="N45" s="3" t="s">
        <v>19</v>
      </c>
      <c r="O45" s="6">
        <v>0</v>
      </c>
      <c r="P45" s="6">
        <f>J45-L45</f>
        <v>10000</v>
      </c>
    </row>
    <row r="46" spans="1:16" x14ac:dyDescent="0.25">
      <c r="A46" s="3" t="s">
        <v>1375</v>
      </c>
      <c r="B46" s="4" t="s">
        <v>1376</v>
      </c>
      <c r="C46" s="3" t="s">
        <v>19</v>
      </c>
      <c r="D46" s="3" t="s">
        <v>19</v>
      </c>
      <c r="E46" s="3" t="s">
        <v>25</v>
      </c>
      <c r="F46" s="3" t="s">
        <v>19</v>
      </c>
      <c r="G46" s="3" t="s">
        <v>1361</v>
      </c>
      <c r="H46" s="5">
        <v>1</v>
      </c>
      <c r="I46" s="3" t="s">
        <v>19</v>
      </c>
      <c r="J46" s="6">
        <v>40000</v>
      </c>
      <c r="K46" s="6">
        <v>0</v>
      </c>
      <c r="L46" s="6">
        <v>30000</v>
      </c>
      <c r="M46" s="6">
        <v>0</v>
      </c>
      <c r="N46" s="3" t="s">
        <v>19</v>
      </c>
      <c r="O46" s="6">
        <v>0</v>
      </c>
      <c r="P46" s="6">
        <f>J46-L46</f>
        <v>10000</v>
      </c>
    </row>
    <row r="47" ht="18" customHeight="1" spans="1:16" x14ac:dyDescent="0.25">
      <c r="A47" s="7" t="s">
        <v>34</v>
      </c>
      <c r="B47" s="7"/>
      <c r="C47" s="7"/>
      <c r="D47" s="7"/>
      <c r="E47" s="7"/>
      <c r="F47" s="7"/>
      <c r="G47" s="7"/>
      <c r="H47" s="8">
        <f>SUM(H43:H46)</f>
        <v>4</v>
      </c>
      <c r="I47" s="7"/>
      <c r="J47" s="9">
        <f>SUM(J43:J46)</f>
        <v>150000</v>
      </c>
      <c r="K47" s="9">
        <f>SUM(K43:K46)</f>
        <v>0</v>
      </c>
      <c r="L47" s="9">
        <f>SUM(L43:L46)</f>
        <v>110000</v>
      </c>
      <c r="M47" s="9">
        <f>SUM(M43:M46)</f>
        <v>0</v>
      </c>
      <c r="N47" s="7"/>
      <c r="O47" s="9">
        <f>SUM(O43:O46)</f>
        <v>0</v>
      </c>
      <c r="P47" s="9">
        <f>SUM(P43:P46)</f>
        <v>40000</v>
      </c>
    </row>
  </sheetData>
  <mergeCells count="12">
    <mergeCell ref="A1:P1"/>
    <mergeCell ref="A6:G6"/>
    <mergeCell ref="A10:P10"/>
    <mergeCell ref="A14:G14"/>
    <mergeCell ref="A18:P18"/>
    <mergeCell ref="A23:G23"/>
    <mergeCell ref="A27:P27"/>
    <mergeCell ref="A30:G30"/>
    <mergeCell ref="A34:P34"/>
    <mergeCell ref="A37:G37"/>
    <mergeCell ref="A41:P41"/>
    <mergeCell ref="A47:G47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621</v>
      </c>
      <c r="B3" s="4" t="s">
        <v>622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1377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909</v>
      </c>
      <c r="B4" s="4" t="s">
        <v>910</v>
      </c>
      <c r="C4" s="3" t="s">
        <v>19</v>
      </c>
      <c r="D4" s="3" t="s">
        <v>19</v>
      </c>
      <c r="E4" s="3" t="s">
        <v>25</v>
      </c>
      <c r="F4" s="3" t="s">
        <v>19</v>
      </c>
      <c r="G4" s="3" t="s">
        <v>1377</v>
      </c>
      <c r="H4" s="5">
        <v>1</v>
      </c>
      <c r="I4" s="3" t="s">
        <v>19</v>
      </c>
      <c r="J4" s="6">
        <v>50000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50000</v>
      </c>
    </row>
    <row r="5" ht="18" customHeight="1" spans="1:16" x14ac:dyDescent="0.25">
      <c r="A5" s="7" t="s">
        <v>34</v>
      </c>
      <c r="B5" s="7"/>
      <c r="C5" s="7"/>
      <c r="D5" s="7"/>
      <c r="E5" s="7"/>
      <c r="F5" s="7"/>
      <c r="G5" s="7"/>
      <c r="H5" s="8">
        <f>SUM(H3:H4)</f>
        <v>2</v>
      </c>
      <c r="I5" s="7"/>
      <c r="J5" s="9">
        <f>SUM(J3:J4)</f>
        <v>100000</v>
      </c>
      <c r="K5" s="9">
        <f>SUM(K3:K4)</f>
        <v>0</v>
      </c>
      <c r="L5" s="9">
        <f>SUM(L3:L4)</f>
        <v>0</v>
      </c>
      <c r="M5" s="9">
        <f>SUM(M3:M4)</f>
        <v>0</v>
      </c>
      <c r="N5" s="7"/>
      <c r="O5" s="9">
        <f>SUM(O3:O4)</f>
        <v>0</v>
      </c>
      <c r="P5" s="9">
        <f>SUM(P3:P4)</f>
        <v>100000</v>
      </c>
    </row>
    <row r="9" ht="15.75" customHeight="1" spans="1:16" x14ac:dyDescent="0.25">
      <c r="A9" s="1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39.4" customHeight="1" spans="1:16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16</v>
      </c>
    </row>
    <row r="11" spans="1:16" x14ac:dyDescent="0.25">
      <c r="A11" s="3" t="s">
        <v>38</v>
      </c>
      <c r="B11" s="4" t="s">
        <v>39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1377</v>
      </c>
      <c r="H11" s="5">
        <v>1</v>
      </c>
      <c r="I11" s="3" t="s">
        <v>19</v>
      </c>
      <c r="J11" s="6">
        <v>50000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50000</v>
      </c>
    </row>
    <row r="12" spans="1:16" x14ac:dyDescent="0.25">
      <c r="A12" s="3" t="s">
        <v>961</v>
      </c>
      <c r="B12" s="4" t="s">
        <v>962</v>
      </c>
      <c r="C12" s="3" t="s">
        <v>19</v>
      </c>
      <c r="D12" s="3" t="s">
        <v>19</v>
      </c>
      <c r="E12" s="3" t="s">
        <v>25</v>
      </c>
      <c r="F12" s="3" t="s">
        <v>19</v>
      </c>
      <c r="G12" s="3" t="s">
        <v>1377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ht="18" customHeight="1" spans="1:16" x14ac:dyDescent="0.25">
      <c r="A13" s="7" t="s">
        <v>34</v>
      </c>
      <c r="B13" s="7"/>
      <c r="C13" s="7"/>
      <c r="D13" s="7"/>
      <c r="E13" s="7"/>
      <c r="F13" s="7"/>
      <c r="G13" s="7"/>
      <c r="H13" s="8">
        <f>SUM(H11:H12)</f>
        <v>2</v>
      </c>
      <c r="I13" s="7"/>
      <c r="J13" s="9">
        <f>SUM(J11:J12)</f>
        <v>100000</v>
      </c>
      <c r="K13" s="9">
        <f>SUM(K11:K12)</f>
        <v>0</v>
      </c>
      <c r="L13" s="9">
        <f>SUM(L11:L12)</f>
        <v>0</v>
      </c>
      <c r="M13" s="9">
        <f>SUM(M11:M12)</f>
        <v>0</v>
      </c>
      <c r="N13" s="7"/>
      <c r="O13" s="9">
        <f>SUM(O11:O12)</f>
        <v>0</v>
      </c>
      <c r="P13" s="9">
        <f>SUM(P11:P12)</f>
        <v>100000</v>
      </c>
    </row>
    <row r="17" ht="15.75" customHeight="1" spans="1:16" x14ac:dyDescent="0.25">
      <c r="A17" s="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39.4" customHeight="1" spans="1:16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N18" s="2" t="s">
        <v>14</v>
      </c>
      <c r="O18" s="2" t="s">
        <v>15</v>
      </c>
      <c r="P18" s="2" t="s">
        <v>16</v>
      </c>
    </row>
    <row r="19" spans="1:16" x14ac:dyDescent="0.25">
      <c r="A19" s="3" t="s">
        <v>54</v>
      </c>
      <c r="B19" s="4" t="s">
        <v>55</v>
      </c>
      <c r="C19" s="3" t="s">
        <v>19</v>
      </c>
      <c r="D19" s="3" t="s">
        <v>19</v>
      </c>
      <c r="E19" s="3" t="s">
        <v>25</v>
      </c>
      <c r="F19" s="3" t="s">
        <v>19</v>
      </c>
      <c r="G19" s="3" t="s">
        <v>1378</v>
      </c>
      <c r="H19" s="5">
        <v>1</v>
      </c>
      <c r="I19" s="3" t="s">
        <v>19</v>
      </c>
      <c r="J19" s="6">
        <v>100000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100000</v>
      </c>
    </row>
    <row r="20" ht="18" customHeight="1" spans="1:16" x14ac:dyDescent="0.25">
      <c r="A20" s="7" t="s">
        <v>34</v>
      </c>
      <c r="B20" s="7"/>
      <c r="C20" s="7"/>
      <c r="D20" s="7"/>
      <c r="E20" s="7"/>
      <c r="F20" s="7"/>
      <c r="G20" s="7"/>
      <c r="H20" s="8">
        <f>SUM(H19:H19)</f>
        <v>1</v>
      </c>
      <c r="I20" s="7"/>
      <c r="J20" s="9">
        <f>SUM(J19:J19)</f>
        <v>100000</v>
      </c>
      <c r="K20" s="9">
        <f>SUM(K19:K19)</f>
        <v>0</v>
      </c>
      <c r="L20" s="9">
        <f>SUM(L19:L19)</f>
        <v>0</v>
      </c>
      <c r="M20" s="9">
        <f>SUM(M19:M19)</f>
        <v>0</v>
      </c>
      <c r="N20" s="7"/>
      <c r="O20" s="9">
        <f>SUM(O19:O19)</f>
        <v>0</v>
      </c>
      <c r="P20" s="9">
        <f>SUM(P19:P19)</f>
        <v>100000</v>
      </c>
    </row>
    <row r="24" ht="15.75" customHeight="1" spans="1:16" x14ac:dyDescent="0.25">
      <c r="A24" s="1" t="s">
        <v>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39.4" customHeight="1" spans="1:16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13</v>
      </c>
      <c r="N25" s="2" t="s">
        <v>14</v>
      </c>
      <c r="O25" s="2" t="s">
        <v>15</v>
      </c>
      <c r="P25" s="2" t="s">
        <v>16</v>
      </c>
    </row>
    <row r="26" spans="1:16" x14ac:dyDescent="0.25">
      <c r="A26" s="3" t="s">
        <v>1379</v>
      </c>
      <c r="B26" s="4" t="s">
        <v>1380</v>
      </c>
      <c r="C26" s="3" t="s">
        <v>19</v>
      </c>
      <c r="D26" s="3" t="s">
        <v>19</v>
      </c>
      <c r="E26" s="3" t="s">
        <v>52</v>
      </c>
      <c r="F26" s="3" t="s">
        <v>19</v>
      </c>
      <c r="G26" s="3" t="s">
        <v>1377</v>
      </c>
      <c r="H26" s="5">
        <v>1</v>
      </c>
      <c r="I26" s="3" t="s">
        <v>19</v>
      </c>
      <c r="J26" s="6">
        <v>50000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50000</v>
      </c>
    </row>
    <row r="27" ht="18" customHeight="1" spans="1:16" x14ac:dyDescent="0.25">
      <c r="A27" s="7" t="s">
        <v>34</v>
      </c>
      <c r="B27" s="7"/>
      <c r="C27" s="7"/>
      <c r="D27" s="7"/>
      <c r="E27" s="7"/>
      <c r="F27" s="7"/>
      <c r="G27" s="7"/>
      <c r="H27" s="8">
        <f>SUM(H26:H26)</f>
        <v>1</v>
      </c>
      <c r="I27" s="7"/>
      <c r="J27" s="9">
        <f>SUM(J26:J26)</f>
        <v>50000</v>
      </c>
      <c r="K27" s="9">
        <f>SUM(K26:K26)</f>
        <v>0</v>
      </c>
      <c r="L27" s="9">
        <f>SUM(L26:L26)</f>
        <v>0</v>
      </c>
      <c r="M27" s="9">
        <f>SUM(M26:M26)</f>
        <v>0</v>
      </c>
      <c r="N27" s="7"/>
      <c r="O27" s="9">
        <f>SUM(O26:O26)</f>
        <v>0</v>
      </c>
      <c r="P27" s="9">
        <f>SUM(P26:P26)</f>
        <v>50000</v>
      </c>
    </row>
    <row r="31" ht="15.75" customHeight="1" spans="1:16" x14ac:dyDescent="0.25">
      <c r="A31" s="1" t="s">
        <v>80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39.4" customHeight="1" spans="1:16" x14ac:dyDescent="0.25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13</v>
      </c>
      <c r="N32" s="2" t="s">
        <v>14</v>
      </c>
      <c r="O32" s="2" t="s">
        <v>15</v>
      </c>
      <c r="P32" s="2" t="s">
        <v>16</v>
      </c>
    </row>
    <row r="33" spans="1:16" x14ac:dyDescent="0.25">
      <c r="A33" s="3" t="s">
        <v>1381</v>
      </c>
      <c r="B33" s="4" t="s">
        <v>1382</v>
      </c>
      <c r="C33" s="3" t="s">
        <v>19</v>
      </c>
      <c r="D33" s="3" t="s">
        <v>19</v>
      </c>
      <c r="E33" s="3" t="s">
        <v>20</v>
      </c>
      <c r="F33" s="3" t="s">
        <v>19</v>
      </c>
      <c r="G33" s="3" t="s">
        <v>1377</v>
      </c>
      <c r="H33" s="5">
        <v>1</v>
      </c>
      <c r="I33" s="3" t="s">
        <v>19</v>
      </c>
      <c r="J33" s="6">
        <v>50000</v>
      </c>
      <c r="K33" s="6">
        <v>0</v>
      </c>
      <c r="L33" s="6">
        <v>0</v>
      </c>
      <c r="M33" s="6">
        <v>0</v>
      </c>
      <c r="N33" s="3" t="s">
        <v>19</v>
      </c>
      <c r="O33" s="6">
        <v>0</v>
      </c>
      <c r="P33" s="6">
        <f>J33-L33</f>
        <v>50000</v>
      </c>
    </row>
    <row r="34" ht="18" customHeight="1" spans="1:16" x14ac:dyDescent="0.25">
      <c r="A34" s="7" t="s">
        <v>34</v>
      </c>
      <c r="B34" s="7"/>
      <c r="C34" s="7"/>
      <c r="D34" s="7"/>
      <c r="E34" s="7"/>
      <c r="F34" s="7"/>
      <c r="G34" s="7"/>
      <c r="H34" s="8">
        <f>SUM(H33:H33)</f>
        <v>1</v>
      </c>
      <c r="I34" s="7"/>
      <c r="J34" s="9">
        <f>SUM(J33:J33)</f>
        <v>50000</v>
      </c>
      <c r="K34" s="9">
        <f>SUM(K33:K33)</f>
        <v>0</v>
      </c>
      <c r="L34" s="9">
        <f>SUM(L33:L33)</f>
        <v>0</v>
      </c>
      <c r="M34" s="9">
        <f>SUM(M33:M33)</f>
        <v>0</v>
      </c>
      <c r="N34" s="7"/>
      <c r="O34" s="9">
        <f>SUM(O33:O33)</f>
        <v>0</v>
      </c>
      <c r="P34" s="9">
        <f>SUM(P33:P33)</f>
        <v>50000</v>
      </c>
    </row>
    <row r="38" ht="15.75" customHeight="1" spans="1:16" x14ac:dyDescent="0.25">
      <c r="A38" s="1" t="s">
        <v>112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39.4" customHeight="1" spans="1:16" x14ac:dyDescent="0.2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  <c r="P39" s="2" t="s">
        <v>16</v>
      </c>
    </row>
    <row r="40" spans="1:16" x14ac:dyDescent="0.25">
      <c r="A40" s="3" t="s">
        <v>1383</v>
      </c>
      <c r="B40" s="4" t="s">
        <v>1384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1377</v>
      </c>
      <c r="H40" s="5">
        <v>1</v>
      </c>
      <c r="I40" s="3" t="s">
        <v>19</v>
      </c>
      <c r="J40" s="6">
        <v>50000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50000</v>
      </c>
    </row>
    <row r="41" ht="18" customHeight="1" spans="1:16" x14ac:dyDescent="0.25">
      <c r="A41" s="7" t="s">
        <v>34</v>
      </c>
      <c r="B41" s="7"/>
      <c r="C41" s="7"/>
      <c r="D41" s="7"/>
      <c r="E41" s="7"/>
      <c r="F41" s="7"/>
      <c r="G41" s="7"/>
      <c r="H41" s="8">
        <f>SUM(H40:H40)</f>
        <v>1</v>
      </c>
      <c r="I41" s="7"/>
      <c r="J41" s="9">
        <f>SUM(J40:J40)</f>
        <v>50000</v>
      </c>
      <c r="K41" s="9">
        <f>SUM(K40:K40)</f>
        <v>0</v>
      </c>
      <c r="L41" s="9">
        <f>SUM(L40:L40)</f>
        <v>0</v>
      </c>
      <c r="M41" s="9">
        <f>SUM(M40:M40)</f>
        <v>0</v>
      </c>
      <c r="N41" s="7"/>
      <c r="O41" s="9">
        <f>SUM(O40:O40)</f>
        <v>0</v>
      </c>
      <c r="P41" s="9">
        <f>SUM(P40:P40)</f>
        <v>50000</v>
      </c>
    </row>
  </sheetData>
  <mergeCells count="12">
    <mergeCell ref="A1:P1"/>
    <mergeCell ref="A5:G5"/>
    <mergeCell ref="A9:P9"/>
    <mergeCell ref="A13:G13"/>
    <mergeCell ref="A17:P17"/>
    <mergeCell ref="A20:G20"/>
    <mergeCell ref="A24:P24"/>
    <mergeCell ref="A27:G27"/>
    <mergeCell ref="A31:P31"/>
    <mergeCell ref="A34:G34"/>
    <mergeCell ref="A38:P38"/>
    <mergeCell ref="A41:G4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134</v>
      </c>
      <c r="B3" s="4" t="s">
        <v>135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1385</v>
      </c>
      <c r="H3" s="5">
        <v>1</v>
      </c>
      <c r="I3" s="3" t="s">
        <v>19</v>
      </c>
      <c r="J3" s="6">
        <v>15000</v>
      </c>
      <c r="K3" s="6">
        <v>0</v>
      </c>
      <c r="L3" s="6">
        <v>7950</v>
      </c>
      <c r="M3" s="6">
        <v>0</v>
      </c>
      <c r="N3" s="3" t="s">
        <v>19</v>
      </c>
      <c r="O3" s="6">
        <v>0</v>
      </c>
      <c r="P3" s="6">
        <f>J3-L3</f>
        <v>7050</v>
      </c>
    </row>
    <row r="4" spans="1:16" x14ac:dyDescent="0.25">
      <c r="A4" s="3" t="s">
        <v>180</v>
      </c>
      <c r="B4" s="4" t="s">
        <v>181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1385</v>
      </c>
      <c r="H4" s="5">
        <v>1</v>
      </c>
      <c r="I4" s="3" t="s">
        <v>19</v>
      </c>
      <c r="J4" s="6">
        <v>15000</v>
      </c>
      <c r="K4" s="6">
        <v>0</v>
      </c>
      <c r="L4" s="6">
        <v>7950</v>
      </c>
      <c r="M4" s="6">
        <v>0</v>
      </c>
      <c r="N4" s="3" t="s">
        <v>19</v>
      </c>
      <c r="O4" s="6">
        <v>0</v>
      </c>
      <c r="P4" s="6">
        <f>J4-L4</f>
        <v>7050</v>
      </c>
    </row>
    <row r="5" spans="1:16" x14ac:dyDescent="0.25">
      <c r="A5" s="3" t="s">
        <v>1386</v>
      </c>
      <c r="B5" s="4" t="s">
        <v>1387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1385</v>
      </c>
      <c r="H5" s="5">
        <v>1</v>
      </c>
      <c r="I5" s="3" t="s">
        <v>19</v>
      </c>
      <c r="J5" s="6">
        <v>15000</v>
      </c>
      <c r="K5" s="6">
        <v>0</v>
      </c>
      <c r="L5" s="6">
        <v>7950</v>
      </c>
      <c r="M5" s="6">
        <v>0</v>
      </c>
      <c r="N5" s="3" t="s">
        <v>19</v>
      </c>
      <c r="O5" s="6">
        <v>0</v>
      </c>
      <c r="P5" s="6">
        <f>J5-L5</f>
        <v>7050</v>
      </c>
    </row>
    <row r="6" spans="1:16" x14ac:dyDescent="0.25">
      <c r="A6" s="3" t="s">
        <v>909</v>
      </c>
      <c r="B6" s="4" t="s">
        <v>910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1385</v>
      </c>
      <c r="H6" s="5">
        <v>1</v>
      </c>
      <c r="I6" s="3" t="s">
        <v>19</v>
      </c>
      <c r="J6" s="6">
        <v>15000</v>
      </c>
      <c r="K6" s="6">
        <v>0</v>
      </c>
      <c r="L6" s="6">
        <v>7950</v>
      </c>
      <c r="M6" s="6">
        <v>0</v>
      </c>
      <c r="N6" s="3" t="s">
        <v>19</v>
      </c>
      <c r="O6" s="6">
        <v>0</v>
      </c>
      <c r="P6" s="6">
        <f>J6-L6</f>
        <v>7050</v>
      </c>
    </row>
    <row r="7" ht="18" customHeight="1" spans="1:16" x14ac:dyDescent="0.25">
      <c r="A7" s="7" t="s">
        <v>34</v>
      </c>
      <c r="B7" s="7"/>
      <c r="C7" s="7"/>
      <c r="D7" s="7"/>
      <c r="E7" s="7"/>
      <c r="F7" s="7"/>
      <c r="G7" s="7"/>
      <c r="H7" s="8">
        <f>SUM(H3:H6)</f>
        <v>4</v>
      </c>
      <c r="I7" s="7"/>
      <c r="J7" s="9">
        <f>SUM(J3:J6)</f>
        <v>60000</v>
      </c>
      <c r="K7" s="9">
        <f>SUM(K3:K6)</f>
        <v>0</v>
      </c>
      <c r="L7" s="9">
        <f>SUM(L3:L6)</f>
        <v>31800</v>
      </c>
      <c r="M7" s="9">
        <f>SUM(M3:M6)</f>
        <v>0</v>
      </c>
      <c r="N7" s="7"/>
      <c r="O7" s="9">
        <f>SUM(O3:O6)</f>
        <v>0</v>
      </c>
      <c r="P7" s="9">
        <f>SUM(P3:P6)</f>
        <v>28200</v>
      </c>
    </row>
    <row r="11" ht="15.75" customHeight="1" spans="1:16" x14ac:dyDescent="0.25">
      <c r="A11" s="1" t="s">
        <v>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9.4" customHeight="1" spans="1:16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2" t="s">
        <v>15</v>
      </c>
      <c r="P12" s="2" t="s">
        <v>16</v>
      </c>
    </row>
    <row r="13" spans="1:16" x14ac:dyDescent="0.25">
      <c r="A13" s="3" t="s">
        <v>967</v>
      </c>
      <c r="B13" s="4" t="s">
        <v>968</v>
      </c>
      <c r="C13" s="3" t="s">
        <v>19</v>
      </c>
      <c r="D13" s="3" t="s">
        <v>19</v>
      </c>
      <c r="E13" s="3" t="s">
        <v>25</v>
      </c>
      <c r="F13" s="3" t="s">
        <v>19</v>
      </c>
      <c r="G13" s="3" t="s">
        <v>1385</v>
      </c>
      <c r="H13" s="5">
        <v>1</v>
      </c>
      <c r="I13" s="3" t="s">
        <v>19</v>
      </c>
      <c r="J13" s="6">
        <v>15000</v>
      </c>
      <c r="K13" s="6">
        <v>0</v>
      </c>
      <c r="L13" s="6">
        <v>7950</v>
      </c>
      <c r="M13" s="6">
        <v>0</v>
      </c>
      <c r="N13" s="3" t="s">
        <v>19</v>
      </c>
      <c r="O13" s="6">
        <v>0</v>
      </c>
      <c r="P13" s="6">
        <f>J13-L13</f>
        <v>7050</v>
      </c>
    </row>
    <row r="14" ht="18" customHeight="1" spans="1:16" x14ac:dyDescent="0.25">
      <c r="A14" s="7" t="s">
        <v>34</v>
      </c>
      <c r="B14" s="7"/>
      <c r="C14" s="7"/>
      <c r="D14" s="7"/>
      <c r="E14" s="7"/>
      <c r="F14" s="7"/>
      <c r="G14" s="7"/>
      <c r="H14" s="8">
        <f>SUM(H13:H13)</f>
        <v>1</v>
      </c>
      <c r="I14" s="7"/>
      <c r="J14" s="9">
        <f>SUM(J13:J13)</f>
        <v>15000</v>
      </c>
      <c r="K14" s="9">
        <f>SUM(K13:K13)</f>
        <v>0</v>
      </c>
      <c r="L14" s="9">
        <f>SUM(L13:L13)</f>
        <v>7950</v>
      </c>
      <c r="M14" s="9">
        <f>SUM(M13:M13)</f>
        <v>0</v>
      </c>
      <c r="N14" s="7"/>
      <c r="O14" s="9">
        <f>SUM(O13:O13)</f>
        <v>0</v>
      </c>
      <c r="P14" s="9">
        <f>SUM(P13:P13)</f>
        <v>7050</v>
      </c>
    </row>
    <row r="18" ht="15.75" customHeight="1" spans="1:16" x14ac:dyDescent="0.25">
      <c r="A18" s="1" t="s">
        <v>53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39.4" customHeight="1" spans="1:16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  <c r="P19" s="2" t="s">
        <v>16</v>
      </c>
    </row>
    <row r="20" spans="1:16" x14ac:dyDescent="0.25">
      <c r="A20" s="3" t="s">
        <v>283</v>
      </c>
      <c r="B20" s="4" t="s">
        <v>284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1385</v>
      </c>
      <c r="H20" s="5">
        <v>1</v>
      </c>
      <c r="I20" s="3" t="s">
        <v>19</v>
      </c>
      <c r="J20" s="6">
        <v>15000</v>
      </c>
      <c r="K20" s="6">
        <v>0</v>
      </c>
      <c r="L20" s="6">
        <v>7950</v>
      </c>
      <c r="M20" s="6">
        <v>0</v>
      </c>
      <c r="N20" s="3" t="s">
        <v>19</v>
      </c>
      <c r="O20" s="6">
        <v>0</v>
      </c>
      <c r="P20" s="6">
        <f>J20-L20</f>
        <v>7050</v>
      </c>
    </row>
    <row r="21" ht="18" customHeight="1" spans="1:16" x14ac:dyDescent="0.25">
      <c r="A21" s="7" t="s">
        <v>34</v>
      </c>
      <c r="B21" s="7"/>
      <c r="C21" s="7"/>
      <c r="D21" s="7"/>
      <c r="E21" s="7"/>
      <c r="F21" s="7"/>
      <c r="G21" s="7"/>
      <c r="H21" s="8">
        <f>SUM(H20:H20)</f>
        <v>1</v>
      </c>
      <c r="I21" s="7"/>
      <c r="J21" s="9">
        <f>SUM(J20:J20)</f>
        <v>15000</v>
      </c>
      <c r="K21" s="9">
        <f>SUM(K20:K20)</f>
        <v>0</v>
      </c>
      <c r="L21" s="9">
        <f>SUM(L20:L20)</f>
        <v>7950</v>
      </c>
      <c r="M21" s="9">
        <f>SUM(M20:M20)</f>
        <v>0</v>
      </c>
      <c r="N21" s="7"/>
      <c r="O21" s="9">
        <f>SUM(O20:O20)</f>
        <v>0</v>
      </c>
      <c r="P21" s="9">
        <f>SUM(P20:P20)</f>
        <v>7050</v>
      </c>
    </row>
    <row r="25" ht="15.75" customHeight="1" spans="1:16" x14ac:dyDescent="0.25">
      <c r="A25" s="1" t="s">
        <v>60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39.4" customHeight="1" spans="1:1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</row>
    <row r="27" spans="1:16" x14ac:dyDescent="0.25">
      <c r="A27" s="3" t="s">
        <v>1075</v>
      </c>
      <c r="B27" s="4" t="s">
        <v>1076</v>
      </c>
      <c r="C27" s="3" t="s">
        <v>19</v>
      </c>
      <c r="D27" s="3" t="s">
        <v>19</v>
      </c>
      <c r="E27" s="3" t="s">
        <v>52</v>
      </c>
      <c r="F27" s="3" t="s">
        <v>19</v>
      </c>
      <c r="G27" s="3" t="s">
        <v>1388</v>
      </c>
      <c r="H27" s="5">
        <v>1</v>
      </c>
      <c r="I27" s="3" t="s">
        <v>19</v>
      </c>
      <c r="J27" s="6">
        <v>15000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15000</v>
      </c>
    </row>
    <row r="28" spans="1:16" x14ac:dyDescent="0.25">
      <c r="A28" s="3" t="s">
        <v>1323</v>
      </c>
      <c r="B28" s="4" t="s">
        <v>1324</v>
      </c>
      <c r="C28" s="3" t="s">
        <v>19</v>
      </c>
      <c r="D28" s="3" t="s">
        <v>19</v>
      </c>
      <c r="E28" s="3" t="s">
        <v>52</v>
      </c>
      <c r="F28" s="3" t="s">
        <v>19</v>
      </c>
      <c r="G28" s="3" t="s">
        <v>1388</v>
      </c>
      <c r="H28" s="5">
        <v>1</v>
      </c>
      <c r="I28" s="3" t="s">
        <v>19</v>
      </c>
      <c r="J28" s="6">
        <v>15000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15000</v>
      </c>
    </row>
    <row r="29" ht="18" customHeight="1" spans="1:16" x14ac:dyDescent="0.25">
      <c r="A29" s="7" t="s">
        <v>34</v>
      </c>
      <c r="B29" s="7"/>
      <c r="C29" s="7"/>
      <c r="D29" s="7"/>
      <c r="E29" s="7"/>
      <c r="F29" s="7"/>
      <c r="G29" s="7"/>
      <c r="H29" s="8">
        <f>SUM(H27:H28)</f>
        <v>2</v>
      </c>
      <c r="I29" s="7"/>
      <c r="J29" s="9">
        <f>SUM(J27:J28)</f>
        <v>30000</v>
      </c>
      <c r="K29" s="9">
        <f>SUM(K27:K28)</f>
        <v>0</v>
      </c>
      <c r="L29" s="9">
        <f>SUM(L27:L28)</f>
        <v>0</v>
      </c>
      <c r="M29" s="9">
        <f>SUM(M27:M28)</f>
        <v>0</v>
      </c>
      <c r="N29" s="7"/>
      <c r="O29" s="9">
        <f>SUM(O27:O28)</f>
        <v>0</v>
      </c>
      <c r="P29" s="9">
        <f>SUM(P27:P28)</f>
        <v>30000</v>
      </c>
    </row>
    <row r="33" ht="15.75" customHeight="1" spans="1:16" x14ac:dyDescent="0.25">
      <c r="A33" s="1" t="s">
        <v>65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39.4" customHeight="1" spans="1:16" x14ac:dyDescent="0.2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</row>
    <row r="35" spans="1:16" x14ac:dyDescent="0.25">
      <c r="A35" s="3" t="s">
        <v>1389</v>
      </c>
      <c r="B35" s="4" t="s">
        <v>1390</v>
      </c>
      <c r="C35" s="3" t="s">
        <v>19</v>
      </c>
      <c r="D35" s="3" t="s">
        <v>19</v>
      </c>
      <c r="E35" s="3" t="s">
        <v>20</v>
      </c>
      <c r="F35" s="3" t="s">
        <v>19</v>
      </c>
      <c r="G35" s="3" t="s">
        <v>1388</v>
      </c>
      <c r="H35" s="5">
        <v>1</v>
      </c>
      <c r="I35" s="3" t="s">
        <v>19</v>
      </c>
      <c r="J35" s="6">
        <v>15000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15000</v>
      </c>
    </row>
    <row r="36" spans="1:16" x14ac:dyDescent="0.25">
      <c r="A36" s="3" t="s">
        <v>387</v>
      </c>
      <c r="B36" s="4" t="s">
        <v>388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1388</v>
      </c>
      <c r="H36" s="5">
        <v>1</v>
      </c>
      <c r="I36" s="3" t="s">
        <v>19</v>
      </c>
      <c r="J36" s="6">
        <v>15000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15000</v>
      </c>
    </row>
    <row r="37" ht="18" customHeight="1" spans="1:16" x14ac:dyDescent="0.25">
      <c r="A37" s="7" t="s">
        <v>34</v>
      </c>
      <c r="B37" s="7"/>
      <c r="C37" s="7"/>
      <c r="D37" s="7"/>
      <c r="E37" s="7"/>
      <c r="F37" s="7"/>
      <c r="G37" s="7"/>
      <c r="H37" s="8">
        <f>SUM(H35:H36)</f>
        <v>2</v>
      </c>
      <c r="I37" s="7"/>
      <c r="J37" s="9">
        <f>SUM(J35:J36)</f>
        <v>30000</v>
      </c>
      <c r="K37" s="9">
        <f>SUM(K35:K36)</f>
        <v>0</v>
      </c>
      <c r="L37" s="9">
        <f>SUM(L35:L36)</f>
        <v>0</v>
      </c>
      <c r="M37" s="9">
        <f>SUM(M35:M36)</f>
        <v>0</v>
      </c>
      <c r="N37" s="7"/>
      <c r="O37" s="9">
        <f>SUM(O35:O36)</f>
        <v>0</v>
      </c>
      <c r="P37" s="9">
        <f>SUM(P35:P36)</f>
        <v>30000</v>
      </c>
    </row>
    <row r="41" ht="15.75" customHeight="1" spans="1:16" x14ac:dyDescent="0.25">
      <c r="A41" s="1" t="s">
        <v>80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39.4" customHeight="1" spans="1:16" x14ac:dyDescent="0.2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  <c r="O42" s="2" t="s">
        <v>15</v>
      </c>
      <c r="P42" s="2" t="s">
        <v>16</v>
      </c>
    </row>
    <row r="43" spans="1:16" x14ac:dyDescent="0.25">
      <c r="A43" s="3" t="s">
        <v>1157</v>
      </c>
      <c r="B43" s="4" t="s">
        <v>1158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1385</v>
      </c>
      <c r="H43" s="5">
        <v>1</v>
      </c>
      <c r="I43" s="3" t="s">
        <v>19</v>
      </c>
      <c r="J43" s="6">
        <v>15000</v>
      </c>
      <c r="K43" s="6">
        <v>0</v>
      </c>
      <c r="L43" s="6">
        <v>7950</v>
      </c>
      <c r="M43" s="6">
        <v>0</v>
      </c>
      <c r="N43" s="3" t="s">
        <v>19</v>
      </c>
      <c r="O43" s="6">
        <v>0</v>
      </c>
      <c r="P43" s="6">
        <f>J43-L43</f>
        <v>7050</v>
      </c>
    </row>
    <row r="44" spans="1:16" x14ac:dyDescent="0.25">
      <c r="A44" s="3" t="s">
        <v>97</v>
      </c>
      <c r="B44" s="4" t="s">
        <v>98</v>
      </c>
      <c r="C44" s="3" t="s">
        <v>19</v>
      </c>
      <c r="D44" s="3" t="s">
        <v>19</v>
      </c>
      <c r="E44" s="3" t="s">
        <v>52</v>
      </c>
      <c r="F44" s="3" t="s">
        <v>19</v>
      </c>
      <c r="G44" s="3" t="s">
        <v>1385</v>
      </c>
      <c r="H44" s="5">
        <v>2</v>
      </c>
      <c r="I44" s="3" t="s">
        <v>19</v>
      </c>
      <c r="J44" s="6">
        <v>30000</v>
      </c>
      <c r="K44" s="6">
        <v>0</v>
      </c>
      <c r="L44" s="6">
        <v>15900</v>
      </c>
      <c r="M44" s="6">
        <v>0</v>
      </c>
      <c r="N44" s="3" t="s">
        <v>19</v>
      </c>
      <c r="O44" s="6">
        <v>0</v>
      </c>
      <c r="P44" s="6">
        <f>J44-L44</f>
        <v>14100</v>
      </c>
    </row>
    <row r="45" ht="18" customHeight="1" spans="1:16" x14ac:dyDescent="0.25">
      <c r="A45" s="7" t="s">
        <v>34</v>
      </c>
      <c r="B45" s="7"/>
      <c r="C45" s="7"/>
      <c r="D45" s="7"/>
      <c r="E45" s="7"/>
      <c r="F45" s="7"/>
      <c r="G45" s="7"/>
      <c r="H45" s="8">
        <f>SUM(H43:H44)</f>
        <v>3</v>
      </c>
      <c r="I45" s="7"/>
      <c r="J45" s="9">
        <f>SUM(J43:J44)</f>
        <v>45000</v>
      </c>
      <c r="K45" s="9">
        <f>SUM(K43:K44)</f>
        <v>0</v>
      </c>
      <c r="L45" s="9">
        <f>SUM(L43:L44)</f>
        <v>23850</v>
      </c>
      <c r="M45" s="9">
        <f>SUM(M43:M44)</f>
        <v>0</v>
      </c>
      <c r="N45" s="7"/>
      <c r="O45" s="9">
        <f>SUM(O43:O44)</f>
        <v>0</v>
      </c>
      <c r="P45" s="9">
        <f>SUM(P43:P44)</f>
        <v>21150</v>
      </c>
    </row>
    <row r="49" ht="15.75" customHeight="1" spans="1:16" x14ac:dyDescent="0.25">
      <c r="A49" s="1" t="s">
        <v>112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39.4" customHeight="1" spans="1:16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2" t="s">
        <v>8</v>
      </c>
      <c r="I50" s="2" t="s">
        <v>9</v>
      </c>
      <c r="J50" s="2" t="s">
        <v>10</v>
      </c>
      <c r="K50" s="2" t="s">
        <v>11</v>
      </c>
      <c r="L50" s="2" t="s">
        <v>12</v>
      </c>
      <c r="M50" s="2" t="s">
        <v>13</v>
      </c>
      <c r="N50" s="2" t="s">
        <v>14</v>
      </c>
      <c r="O50" s="2" t="s">
        <v>15</v>
      </c>
      <c r="P50" s="2" t="s">
        <v>16</v>
      </c>
    </row>
    <row r="51" spans="1:16" x14ac:dyDescent="0.25">
      <c r="A51" s="3" t="s">
        <v>1391</v>
      </c>
      <c r="B51" s="4" t="s">
        <v>1392</v>
      </c>
      <c r="C51" s="3" t="s">
        <v>19</v>
      </c>
      <c r="D51" s="3" t="s">
        <v>19</v>
      </c>
      <c r="E51" s="3" t="s">
        <v>25</v>
      </c>
      <c r="F51" s="3" t="s">
        <v>19</v>
      </c>
      <c r="G51" s="3" t="s">
        <v>1385</v>
      </c>
      <c r="H51" s="5">
        <v>1</v>
      </c>
      <c r="I51" s="3" t="s">
        <v>19</v>
      </c>
      <c r="J51" s="6">
        <v>15000</v>
      </c>
      <c r="K51" s="6">
        <v>0</v>
      </c>
      <c r="L51" s="6">
        <v>7950</v>
      </c>
      <c r="M51" s="6">
        <v>0</v>
      </c>
      <c r="N51" s="3" t="s">
        <v>19</v>
      </c>
      <c r="O51" s="6">
        <v>0</v>
      </c>
      <c r="P51" s="6">
        <f>J51-L51</f>
        <v>7050</v>
      </c>
    </row>
    <row r="52" spans="1:16" x14ac:dyDescent="0.25">
      <c r="A52" s="3" t="s">
        <v>1241</v>
      </c>
      <c r="B52" s="4" t="s">
        <v>1242</v>
      </c>
      <c r="C52" s="3" t="s">
        <v>19</v>
      </c>
      <c r="D52" s="3" t="s">
        <v>19</v>
      </c>
      <c r="E52" s="3" t="s">
        <v>52</v>
      </c>
      <c r="F52" s="3" t="s">
        <v>19</v>
      </c>
      <c r="G52" s="3" t="s">
        <v>1385</v>
      </c>
      <c r="H52" s="5">
        <v>2</v>
      </c>
      <c r="I52" s="3" t="s">
        <v>19</v>
      </c>
      <c r="J52" s="6">
        <v>30000</v>
      </c>
      <c r="K52" s="6">
        <v>0</v>
      </c>
      <c r="L52" s="6">
        <v>15900</v>
      </c>
      <c r="M52" s="6">
        <v>0</v>
      </c>
      <c r="N52" s="3" t="s">
        <v>19</v>
      </c>
      <c r="O52" s="6">
        <v>0</v>
      </c>
      <c r="P52" s="6">
        <f>J52-L52</f>
        <v>14100</v>
      </c>
    </row>
    <row r="53" ht="18" customHeight="1" spans="1:16" x14ac:dyDescent="0.25">
      <c r="A53" s="7" t="s">
        <v>34</v>
      </c>
      <c r="B53" s="7"/>
      <c r="C53" s="7"/>
      <c r="D53" s="7"/>
      <c r="E53" s="7"/>
      <c r="F53" s="7"/>
      <c r="G53" s="7"/>
      <c r="H53" s="8">
        <f>SUM(H51:H52)</f>
        <v>3</v>
      </c>
      <c r="I53" s="7"/>
      <c r="J53" s="9">
        <f>SUM(J51:J52)</f>
        <v>45000</v>
      </c>
      <c r="K53" s="9">
        <f>SUM(K51:K52)</f>
        <v>0</v>
      </c>
      <c r="L53" s="9">
        <f>SUM(L51:L52)</f>
        <v>23850</v>
      </c>
      <c r="M53" s="9">
        <f>SUM(M51:M52)</f>
        <v>0</v>
      </c>
      <c r="N53" s="7"/>
      <c r="O53" s="9">
        <f>SUM(O51:O52)</f>
        <v>0</v>
      </c>
      <c r="P53" s="9">
        <f>SUM(P51:P52)</f>
        <v>21150</v>
      </c>
    </row>
    <row r="57" ht="15.75" customHeight="1" spans="1:16" x14ac:dyDescent="0.25">
      <c r="A57" s="1" t="s">
        <v>124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39.4" customHeight="1" spans="1:16" x14ac:dyDescent="0.25">
      <c r="A58" s="2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  <c r="G58" s="2" t="s">
        <v>7</v>
      </c>
      <c r="H58" s="2" t="s">
        <v>8</v>
      </c>
      <c r="I58" s="2" t="s">
        <v>9</v>
      </c>
      <c r="J58" s="2" t="s">
        <v>10</v>
      </c>
      <c r="K58" s="2" t="s">
        <v>11</v>
      </c>
      <c r="L58" s="2" t="s">
        <v>12</v>
      </c>
      <c r="M58" s="2" t="s">
        <v>13</v>
      </c>
      <c r="N58" s="2" t="s">
        <v>14</v>
      </c>
      <c r="O58" s="2" t="s">
        <v>15</v>
      </c>
      <c r="P58" s="2" t="s">
        <v>16</v>
      </c>
    </row>
    <row r="59" spans="1:16" x14ac:dyDescent="0.25">
      <c r="A59" s="3" t="s">
        <v>1393</v>
      </c>
      <c r="B59" s="4" t="s">
        <v>1394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1385</v>
      </c>
      <c r="H59" s="5">
        <v>1</v>
      </c>
      <c r="I59" s="3" t="s">
        <v>19</v>
      </c>
      <c r="J59" s="6">
        <v>15000</v>
      </c>
      <c r="K59" s="6">
        <v>0</v>
      </c>
      <c r="L59" s="6">
        <v>7950</v>
      </c>
      <c r="M59" s="6">
        <v>0</v>
      </c>
      <c r="N59" s="3" t="s">
        <v>19</v>
      </c>
      <c r="O59" s="6">
        <v>0</v>
      </c>
      <c r="P59" s="6">
        <f>J59-L59</f>
        <v>7050</v>
      </c>
    </row>
    <row r="60" spans="1:16" x14ac:dyDescent="0.25">
      <c r="A60" s="3" t="s">
        <v>1243</v>
      </c>
      <c r="B60" s="4" t="s">
        <v>1244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1388</v>
      </c>
      <c r="H60" s="5">
        <v>1</v>
      </c>
      <c r="I60" s="3" t="s">
        <v>19</v>
      </c>
      <c r="J60" s="6">
        <v>15000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15000</v>
      </c>
    </row>
    <row r="61" ht="18" customHeight="1" spans="1:16" x14ac:dyDescent="0.25">
      <c r="A61" s="7" t="s">
        <v>34</v>
      </c>
      <c r="B61" s="7"/>
      <c r="C61" s="7"/>
      <c r="D61" s="7"/>
      <c r="E61" s="7"/>
      <c r="F61" s="7"/>
      <c r="G61" s="7"/>
      <c r="H61" s="8">
        <f>SUM(H59:H60)</f>
        <v>2</v>
      </c>
      <c r="I61" s="7"/>
      <c r="J61" s="9">
        <f>SUM(J59:J60)</f>
        <v>30000</v>
      </c>
      <c r="K61" s="9">
        <f>SUM(K59:K60)</f>
        <v>0</v>
      </c>
      <c r="L61" s="9">
        <f>SUM(L59:L60)</f>
        <v>7950</v>
      </c>
      <c r="M61" s="9">
        <f>SUM(M59:M60)</f>
        <v>0</v>
      </c>
      <c r="N61" s="7"/>
      <c r="O61" s="9">
        <f>SUM(O59:O60)</f>
        <v>0</v>
      </c>
      <c r="P61" s="9">
        <f>SUM(P59:P60)</f>
        <v>22050</v>
      </c>
    </row>
  </sheetData>
  <mergeCells count="16">
    <mergeCell ref="A1:P1"/>
    <mergeCell ref="A7:G7"/>
    <mergeCell ref="A11:P11"/>
    <mergeCell ref="A14:G14"/>
    <mergeCell ref="A18:P18"/>
    <mergeCell ref="A21:G21"/>
    <mergeCell ref="A25:P25"/>
    <mergeCell ref="A29:G29"/>
    <mergeCell ref="A33:P33"/>
    <mergeCell ref="A37:G37"/>
    <mergeCell ref="A41:P41"/>
    <mergeCell ref="A45:G45"/>
    <mergeCell ref="A49:P49"/>
    <mergeCell ref="A53:G53"/>
    <mergeCell ref="A57:P57"/>
    <mergeCell ref="A61:G6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1395</v>
      </c>
      <c r="B3" s="4" t="s">
        <v>1396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1397</v>
      </c>
      <c r="H3" s="5">
        <v>1</v>
      </c>
      <c r="I3" s="3" t="s">
        <v>19</v>
      </c>
      <c r="J3" s="6">
        <v>260000</v>
      </c>
      <c r="K3" s="6">
        <v>0</v>
      </c>
      <c r="L3" s="6">
        <v>187503.31</v>
      </c>
      <c r="M3" s="6">
        <v>0</v>
      </c>
      <c r="N3" s="3" t="s">
        <v>19</v>
      </c>
      <c r="O3" s="6">
        <v>0</v>
      </c>
      <c r="P3" s="6">
        <f>J3-L3</f>
        <v>72496.69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260000</v>
      </c>
      <c r="K4" s="9">
        <f>SUM(K3:K3)</f>
        <v>0</v>
      </c>
      <c r="L4" s="9">
        <f>SUM(L3:L3)</f>
        <v>187503.31</v>
      </c>
      <c r="M4" s="9">
        <f>SUM(M3:M3)</f>
        <v>0</v>
      </c>
      <c r="N4" s="7"/>
      <c r="O4" s="9">
        <f>SUM(O3:O3)</f>
        <v>0</v>
      </c>
      <c r="P4" s="9">
        <f>SUM(P3:P3)</f>
        <v>72496.69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756</v>
      </c>
      <c r="B3" s="4" t="s">
        <v>757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1398</v>
      </c>
      <c r="H3" s="5">
        <v>1</v>
      </c>
      <c r="I3" s="3" t="s">
        <v>19</v>
      </c>
      <c r="J3" s="6">
        <v>150000</v>
      </c>
      <c r="K3" s="6">
        <v>0</v>
      </c>
      <c r="L3" s="6">
        <v>109044.87</v>
      </c>
      <c r="M3" s="6">
        <v>0</v>
      </c>
      <c r="N3" s="3" t="s">
        <v>19</v>
      </c>
      <c r="O3" s="6">
        <v>0</v>
      </c>
      <c r="P3" s="6">
        <f>J3-L3</f>
        <v>40955.130000000005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150000</v>
      </c>
      <c r="K4" s="9">
        <f>SUM(K3:K3)</f>
        <v>0</v>
      </c>
      <c r="L4" s="9">
        <f>SUM(L3:L3)</f>
        <v>109044.87</v>
      </c>
      <c r="M4" s="9">
        <f>SUM(M3:M3)</f>
        <v>0</v>
      </c>
      <c r="N4" s="7"/>
      <c r="O4" s="9">
        <f>SUM(O3:O3)</f>
        <v>0</v>
      </c>
      <c r="P4" s="9">
        <f>SUM(P3:P3)</f>
        <v>40955.130000000005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1399</v>
      </c>
      <c r="B3" s="4" t="s">
        <v>1400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1401</v>
      </c>
      <c r="H3" s="5">
        <v>1</v>
      </c>
      <c r="I3" s="3" t="s">
        <v>19</v>
      </c>
      <c r="J3" s="6">
        <v>70000</v>
      </c>
      <c r="K3" s="6">
        <v>0</v>
      </c>
      <c r="L3" s="6">
        <v>39597.3</v>
      </c>
      <c r="M3" s="6">
        <v>0</v>
      </c>
      <c r="N3" s="3" t="s">
        <v>19</v>
      </c>
      <c r="O3" s="6">
        <v>0</v>
      </c>
      <c r="P3" s="6">
        <f>J3-L3</f>
        <v>30402.699999999997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70000</v>
      </c>
      <c r="K4" s="9">
        <f>SUM(K3:K3)</f>
        <v>0</v>
      </c>
      <c r="L4" s="9">
        <f>SUM(L3:L3)</f>
        <v>39597.3</v>
      </c>
      <c r="M4" s="9">
        <f>SUM(M3:M3)</f>
        <v>0</v>
      </c>
      <c r="N4" s="7"/>
      <c r="O4" s="9">
        <f>SUM(O3:O3)</f>
        <v>0</v>
      </c>
      <c r="P4" s="9">
        <f>SUM(P3:P3)</f>
        <v>30402.699999999997</v>
      </c>
    </row>
    <row r="8" ht="15.75" customHeight="1" spans="1:16" x14ac:dyDescent="0.25">
      <c r="A8" s="1" t="s">
        <v>60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1085</v>
      </c>
      <c r="B10" s="4" t="s">
        <v>1086</v>
      </c>
      <c r="C10" s="3" t="s">
        <v>19</v>
      </c>
      <c r="D10" s="3" t="s">
        <v>19</v>
      </c>
      <c r="E10" s="3" t="s">
        <v>52</v>
      </c>
      <c r="F10" s="3" t="s">
        <v>19</v>
      </c>
      <c r="G10" s="3" t="s">
        <v>1402</v>
      </c>
      <c r="H10" s="5">
        <v>1</v>
      </c>
      <c r="I10" s="3" t="s">
        <v>19</v>
      </c>
      <c r="J10" s="6">
        <v>60000</v>
      </c>
      <c r="K10" s="6">
        <v>0</v>
      </c>
      <c r="L10" s="6">
        <v>39597.25</v>
      </c>
      <c r="M10" s="6">
        <v>0</v>
      </c>
      <c r="N10" s="3" t="s">
        <v>19</v>
      </c>
      <c r="O10" s="6">
        <v>0</v>
      </c>
      <c r="P10" s="6">
        <f>J10-L10</f>
        <v>20402.75</v>
      </c>
    </row>
    <row r="11" ht="18" customHeight="1" spans="1:16" x14ac:dyDescent="0.25">
      <c r="A11" s="7" t="s">
        <v>34</v>
      </c>
      <c r="B11" s="7"/>
      <c r="C11" s="7"/>
      <c r="D11" s="7"/>
      <c r="E11" s="7"/>
      <c r="F11" s="7"/>
      <c r="G11" s="7"/>
      <c r="H11" s="8">
        <f>SUM(H10:H10)</f>
        <v>1</v>
      </c>
      <c r="I11" s="7"/>
      <c r="J11" s="9">
        <f>SUM(J10:J10)</f>
        <v>60000</v>
      </c>
      <c r="K11" s="9">
        <f>SUM(K10:K10)</f>
        <v>0</v>
      </c>
      <c r="L11" s="9">
        <f>SUM(L10:L10)</f>
        <v>39597.25</v>
      </c>
      <c r="M11" s="9">
        <f>SUM(M10:M10)</f>
        <v>0</v>
      </c>
      <c r="N11" s="7"/>
      <c r="O11" s="9">
        <f>SUM(O10:O10)</f>
        <v>0</v>
      </c>
      <c r="P11" s="9">
        <f>SUM(P10:P10)</f>
        <v>20402.75</v>
      </c>
    </row>
  </sheetData>
  <mergeCells count="4">
    <mergeCell ref="A1:P1"/>
    <mergeCell ref="A4:G4"/>
    <mergeCell ref="A8:P8"/>
    <mergeCell ref="A11:G1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1403</v>
      </c>
      <c r="B3" s="4" t="s">
        <v>1404</v>
      </c>
      <c r="C3" s="3" t="s">
        <v>19</v>
      </c>
      <c r="D3" s="3" t="s">
        <v>19</v>
      </c>
      <c r="E3" s="3" t="s">
        <v>52</v>
      </c>
      <c r="F3" s="3" t="s">
        <v>19</v>
      </c>
      <c r="G3" s="3" t="s">
        <v>1405</v>
      </c>
      <c r="H3" s="5">
        <v>1</v>
      </c>
      <c r="I3" s="3" t="s">
        <v>19</v>
      </c>
      <c r="J3" s="6">
        <v>40000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40000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40000</v>
      </c>
      <c r="K4" s="9">
        <f>SUM(K3:K3)</f>
        <v>0</v>
      </c>
      <c r="L4" s="9">
        <f>SUM(L3:L3)</f>
        <v>0</v>
      </c>
      <c r="M4" s="9">
        <f>SUM(M3:M3)</f>
        <v>0</v>
      </c>
      <c r="N4" s="7"/>
      <c r="O4" s="9">
        <f>SUM(O3:O3)</f>
        <v>0</v>
      </c>
      <c r="P4" s="9">
        <f>SUM(P3:P3)</f>
        <v>40000</v>
      </c>
    </row>
    <row r="8" ht="15.75" customHeight="1" spans="1:16" x14ac:dyDescent="0.25">
      <c r="A8" s="1" t="s">
        <v>112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1406</v>
      </c>
      <c r="B10" s="4" t="s">
        <v>1407</v>
      </c>
      <c r="C10" s="3" t="s">
        <v>19</v>
      </c>
      <c r="D10" s="3" t="s">
        <v>19</v>
      </c>
      <c r="E10" s="3" t="s">
        <v>25</v>
      </c>
      <c r="F10" s="3" t="s">
        <v>19</v>
      </c>
      <c r="G10" s="3" t="s">
        <v>1408</v>
      </c>
      <c r="H10" s="5">
        <v>1</v>
      </c>
      <c r="I10" s="3" t="s">
        <v>19</v>
      </c>
      <c r="J10" s="6">
        <v>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50000</v>
      </c>
    </row>
    <row r="11" spans="1:16" x14ac:dyDescent="0.25">
      <c r="A11" s="3" t="s">
        <v>1409</v>
      </c>
      <c r="B11" s="4" t="s">
        <v>1410</v>
      </c>
      <c r="C11" s="3" t="s">
        <v>19</v>
      </c>
      <c r="D11" s="3" t="s">
        <v>19</v>
      </c>
      <c r="E11" s="3" t="s">
        <v>25</v>
      </c>
      <c r="F11" s="3" t="s">
        <v>19</v>
      </c>
      <c r="G11" s="3" t="s">
        <v>1405</v>
      </c>
      <c r="H11" s="5">
        <v>1</v>
      </c>
      <c r="I11" s="3" t="s">
        <v>19</v>
      </c>
      <c r="J11" s="6">
        <v>40000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40000</v>
      </c>
    </row>
    <row r="12" ht="18" customHeight="1" spans="1:16" x14ac:dyDescent="0.25">
      <c r="A12" s="7" t="s">
        <v>34</v>
      </c>
      <c r="B12" s="7"/>
      <c r="C12" s="7"/>
      <c r="D12" s="7"/>
      <c r="E12" s="7"/>
      <c r="F12" s="7"/>
      <c r="G12" s="7"/>
      <c r="H12" s="8">
        <f>SUM(H10:H11)</f>
        <v>2</v>
      </c>
      <c r="I12" s="7"/>
      <c r="J12" s="9">
        <f>SUM(J10:J11)</f>
        <v>90000</v>
      </c>
      <c r="K12" s="9">
        <f>SUM(K10:K11)</f>
        <v>0</v>
      </c>
      <c r="L12" s="9">
        <f>SUM(L10:L11)</f>
        <v>0</v>
      </c>
      <c r="M12" s="9">
        <f>SUM(M10:M11)</f>
        <v>0</v>
      </c>
      <c r="N12" s="7"/>
      <c r="O12" s="9">
        <f>SUM(O10:O11)</f>
        <v>0</v>
      </c>
      <c r="P12" s="9">
        <f>SUM(P10:P11)</f>
        <v>90000</v>
      </c>
    </row>
  </sheetData>
  <mergeCells count="4">
    <mergeCell ref="A1:P1"/>
    <mergeCell ref="A4:G4"/>
    <mergeCell ref="A8:P8"/>
    <mergeCell ref="A12:G12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1411</v>
      </c>
      <c r="B3" s="4" t="s">
        <v>1412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1413</v>
      </c>
      <c r="H3" s="5">
        <v>1</v>
      </c>
      <c r="I3" s="3" t="s">
        <v>19</v>
      </c>
      <c r="J3" s="6">
        <v>120000</v>
      </c>
      <c r="K3" s="6">
        <v>0</v>
      </c>
      <c r="L3" s="6">
        <v>78585.42</v>
      </c>
      <c r="M3" s="6">
        <v>0</v>
      </c>
      <c r="N3" s="3" t="s">
        <v>19</v>
      </c>
      <c r="O3" s="6">
        <v>0</v>
      </c>
      <c r="P3" s="6">
        <f>J3-L3</f>
        <v>41414.58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120000</v>
      </c>
      <c r="K4" s="9">
        <f>SUM(K3:K3)</f>
        <v>0</v>
      </c>
      <c r="L4" s="9">
        <f>SUM(L3:L3)</f>
        <v>78585.42</v>
      </c>
      <c r="M4" s="9">
        <f>SUM(M3:M3)</f>
        <v>0</v>
      </c>
      <c r="N4" s="7"/>
      <c r="O4" s="9">
        <f>SUM(O3:O3)</f>
        <v>0</v>
      </c>
      <c r="P4" s="9">
        <f>SUM(P3:P3)</f>
        <v>41414.58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LAPANGAN PADEL</vt:lpstr>
      <vt:lpstr>LABERS</vt:lpstr>
      <vt:lpstr>SEWA RAKET</vt:lpstr>
      <vt:lpstr>MINUMAN</vt:lpstr>
      <vt:lpstr>BOLA PADEL</vt:lpstr>
      <vt:lpstr>LAPANGAN PICKLEBALL</vt:lpstr>
      <vt:lpstr>GRIP</vt:lpstr>
      <vt:lpstr>SEWA KERANJANG+BOLA</vt:lpstr>
      <vt:lpstr>SNACK</vt:lpstr>
      <vt:lpstr>SKORT WANITA</vt:lpstr>
      <vt:lpstr>TOPI</vt:lpstr>
      <vt:lpstr>KAOS KAKI</vt:lpstr>
      <vt:lpstr>SALON</vt:lpstr>
      <vt:lpstr>CELANA PRIA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2026-07-13T07:42:36Z</dcterms:created>
  <dcterms:modified xsi:type="dcterms:W3CDTF">2026-07-13T07:42:36Z</dcterms:modified>
</cp:coreProperties>
</file>