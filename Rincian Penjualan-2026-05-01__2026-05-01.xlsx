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Mei" state="visible" r:id="rId4"/>
  </sheets>
  <definedNames>
    <definedName name="_xlnm.Print_Area" localSheetId="0">'01 Mei'!$A1:$S79</definedName>
  </definedNames>
  <calcPr calcId="171027" fullCalcOnLoad="1"/>
</workbook>
</file>

<file path=xl/sharedStrings.xml><?xml version="1.0" encoding="utf-8"?>
<sst xmlns="http://schemas.openxmlformats.org/spreadsheetml/2006/main" count="472" uniqueCount="178">
  <si>
    <r>
      <rPr>
        <color rgb="FF000000"/>
        <sz val="11"/>
        <rFont val="Calibri"/>
      </rPr>
      <t>Rincian Penjualan</t>
    </r>
    <r>
      <rPr>
        <b/>
        <color rgb="FF000000"/>
        <sz val="15"/>
        <rFont val="Calibri"/>
      </rPr>
      <t xml:space="preserve">                                                        BC PADEL CLUB</t>
    </r>
    <r>
      <rPr>
        <color rgb="FF000000"/>
        <sz val="11"/>
        <rFont val="Calibri"/>
      </rPr>
      <t xml:space="preserve">
Periode 01 May 2026 - 01 May 2026
Dibuat pada 13-Jul-2026</t>
    </r>
  </si>
  <si>
    <t xml:space="preserve">Total Penjualan
IDR 6.734.000</t>
  </si>
  <si>
    <t xml:space="preserve">Pengiriman Pajak
IDR 0</t>
  </si>
  <si>
    <t xml:space="preserve">Total Modal
IDR 907.223</t>
  </si>
  <si>
    <t xml:space="preserve">Total Laba
IDR 5.826.777</t>
  </si>
  <si>
    <t xml:space="preserve">Biaya Layanan
IDR 0</t>
  </si>
  <si>
    <t xml:space="preserve">Tambahan Pembayaran
IDR 0</t>
  </si>
  <si>
    <t xml:space="preserve">Diskon
IDR 0</t>
  </si>
  <si>
    <t xml:space="preserve">Total Tebus Deposit
IDR 0</t>
  </si>
  <si>
    <t xml:space="preserve">Total Pengunjung
74</t>
  </si>
  <si>
    <t xml:space="preserve">Total Pembulatan
IDR 0</t>
  </si>
  <si>
    <t/>
  </si>
  <si>
    <t>No. Pesanan</t>
  </si>
  <si>
    <t>Tanggal Jual</t>
  </si>
  <si>
    <t>Penjualan Oleh</t>
  </si>
  <si>
    <t>Pelanggan ID</t>
  </si>
  <si>
    <t>Pelanggan</t>
  </si>
  <si>
    <t>Nomor Meja</t>
  </si>
  <si>
    <t>Qty</t>
  </si>
  <si>
    <t>Total Penjualan</t>
  </si>
  <si>
    <t xml:space="preserve">Pengiriman
+ Pajak</t>
  </si>
  <si>
    <t>Modal Produk</t>
  </si>
  <si>
    <t>Laba</t>
  </si>
  <si>
    <t>Biaya Layanan</t>
  </si>
  <si>
    <t>Tambahan Pembayaran</t>
  </si>
  <si>
    <t>Diskon</t>
  </si>
  <si>
    <t>Jumlah Ditebus</t>
  </si>
  <si>
    <t>DF0226050100004062</t>
  </si>
  <si>
    <t xml:space="preserve">01-May-2026
06:57:24</t>
  </si>
  <si>
    <t>AMEL (DINE IN)</t>
  </si>
  <si>
    <t>DF0226050100004063</t>
  </si>
  <si>
    <t xml:space="preserve">01-May-2026
07:00:11</t>
  </si>
  <si>
    <t>DF0226050100004064</t>
  </si>
  <si>
    <t xml:space="preserve">01-May-2026
07:04:59</t>
  </si>
  <si>
    <t>DF0226050100004065</t>
  </si>
  <si>
    <t xml:space="preserve">01-May-2026
07:47:37</t>
  </si>
  <si>
    <t>DF0226050100004066</t>
  </si>
  <si>
    <t xml:space="preserve">01-May-2026
07:53:48</t>
  </si>
  <si>
    <t>DF0226050100004067</t>
  </si>
  <si>
    <t xml:space="preserve">01-May-2026
08:07:42</t>
  </si>
  <si>
    <t>DF0226050100004068</t>
  </si>
  <si>
    <t xml:space="preserve">01-May-2026
08:11:42</t>
  </si>
  <si>
    <t>DF0226050100004069</t>
  </si>
  <si>
    <t xml:space="preserve">01-May-2026
08:20:09</t>
  </si>
  <si>
    <t>DF0226050100004070</t>
  </si>
  <si>
    <t xml:space="preserve">01-May-2026
08:35:32</t>
  </si>
  <si>
    <t>DF0226050100004071</t>
  </si>
  <si>
    <t xml:space="preserve">01-May-2026
08:42:18</t>
  </si>
  <si>
    <t>DF0226050100004072</t>
  </si>
  <si>
    <t xml:space="preserve">01-May-2026
08:43:44</t>
  </si>
  <si>
    <t>DF0226050100004073</t>
  </si>
  <si>
    <t xml:space="preserve">01-May-2026
08:59:09</t>
  </si>
  <si>
    <t>DF0226050100004074</t>
  </si>
  <si>
    <t xml:space="preserve">01-May-2026
09:07:37</t>
  </si>
  <si>
    <t>DF0226050100004075</t>
  </si>
  <si>
    <t xml:space="preserve">01-May-2026
09:38:23</t>
  </si>
  <si>
    <t>DF0226050100004076</t>
  </si>
  <si>
    <t xml:space="preserve">01-May-2026
09:41:49</t>
  </si>
  <si>
    <t>DF0226050100004077</t>
  </si>
  <si>
    <t xml:space="preserve">01-May-2026
09:42:58</t>
  </si>
  <si>
    <t>DF0226050100004078</t>
  </si>
  <si>
    <t xml:space="preserve">01-May-2026
09:54:00</t>
  </si>
  <si>
    <t>DF0226050100004079</t>
  </si>
  <si>
    <t xml:space="preserve">01-May-2026
09:57:52</t>
  </si>
  <si>
    <t>DF0226050100004080</t>
  </si>
  <si>
    <t xml:space="preserve">01-May-2026
10:01:49</t>
  </si>
  <si>
    <t>DF0226050100004081</t>
  </si>
  <si>
    <t xml:space="preserve">01-May-2026
10:12:04</t>
  </si>
  <si>
    <t>DF0226050100004082</t>
  </si>
  <si>
    <t xml:space="preserve">01-May-2026
10:15:31</t>
  </si>
  <si>
    <t>DF0226050100004083</t>
  </si>
  <si>
    <t xml:space="preserve">01-May-2026
11:01:41</t>
  </si>
  <si>
    <t>DF0226050100004084</t>
  </si>
  <si>
    <t xml:space="preserve">01-May-2026
11:07:41</t>
  </si>
  <si>
    <t>DF0226050100004085</t>
  </si>
  <si>
    <t xml:space="preserve">01-May-2026
11:07:50</t>
  </si>
  <si>
    <t>DF0226050100004086</t>
  </si>
  <si>
    <t xml:space="preserve">01-May-2026
11:16:45</t>
  </si>
  <si>
    <t>DF0226050100004087</t>
  </si>
  <si>
    <t xml:space="preserve">01-May-2026
11:25:12</t>
  </si>
  <si>
    <t>DF0226050100004088</t>
  </si>
  <si>
    <t xml:space="preserve">01-May-2026
11:28:02</t>
  </si>
  <si>
    <t>DF0226050100004089</t>
  </si>
  <si>
    <t xml:space="preserve">01-May-2026
11:34:32</t>
  </si>
  <si>
    <t>DF0226050100004090</t>
  </si>
  <si>
    <t xml:space="preserve">01-May-2026
11:50:49</t>
  </si>
  <si>
    <t>DF0226050100004091</t>
  </si>
  <si>
    <t xml:space="preserve">01-May-2026
12:36:54</t>
  </si>
  <si>
    <t>DF0226050100004092</t>
  </si>
  <si>
    <t xml:space="preserve">01-May-2026
12:46:05</t>
  </si>
  <si>
    <t>DF0226050100004093</t>
  </si>
  <si>
    <t xml:space="preserve">01-May-2026
12:57:20</t>
  </si>
  <si>
    <t>DF0226050100004094</t>
  </si>
  <si>
    <t xml:space="preserve">01-May-2026
13:02:05</t>
  </si>
  <si>
    <t>DF0226050100004095</t>
  </si>
  <si>
    <t xml:space="preserve">01-May-2026
13:13:16</t>
  </si>
  <si>
    <t>DF0226050100004096</t>
  </si>
  <si>
    <t xml:space="preserve">01-May-2026
13:14:28</t>
  </si>
  <si>
    <t>DF0226050100004097</t>
  </si>
  <si>
    <t xml:space="preserve">01-May-2026
13:15:24</t>
  </si>
  <si>
    <t>DF0226050100004098</t>
  </si>
  <si>
    <t xml:space="preserve">01-May-2026
13:23:57</t>
  </si>
  <si>
    <t>DF0226050100004099</t>
  </si>
  <si>
    <t xml:space="preserve">01-May-2026
13:26:06</t>
  </si>
  <si>
    <t>DF0226050100004100</t>
  </si>
  <si>
    <t xml:space="preserve">01-May-2026
13:37:35</t>
  </si>
  <si>
    <t>DF0226050100004101</t>
  </si>
  <si>
    <t xml:space="preserve">01-May-2026
13:38:27</t>
  </si>
  <si>
    <t>DF0226050100004102</t>
  </si>
  <si>
    <t xml:space="preserve">01-May-2026
13:45:44</t>
  </si>
  <si>
    <t>DF0226050100004103</t>
  </si>
  <si>
    <t xml:space="preserve">01-May-2026
13:52:32</t>
  </si>
  <si>
    <t>DF0226050100004104</t>
  </si>
  <si>
    <t xml:space="preserve">01-May-2026
13:55:03</t>
  </si>
  <si>
    <t>DF0226050100004105</t>
  </si>
  <si>
    <t xml:space="preserve">01-May-2026
14:06:08</t>
  </si>
  <si>
    <t>DF0226050100004106</t>
  </si>
  <si>
    <t xml:space="preserve">01-May-2026
14:12:42</t>
  </si>
  <si>
    <t>DF0226050100004107</t>
  </si>
  <si>
    <t xml:space="preserve">01-May-2026
14:13:28</t>
  </si>
  <si>
    <t>DF0226050100004108</t>
  </si>
  <si>
    <t xml:space="preserve">01-May-2026
14:24:05</t>
  </si>
  <si>
    <t>DF0226050100004109</t>
  </si>
  <si>
    <t xml:space="preserve">01-May-2026
15:19:56</t>
  </si>
  <si>
    <t>DF0226050100004110</t>
  </si>
  <si>
    <t xml:space="preserve">01-May-2026
15:22:06</t>
  </si>
  <si>
    <t>DF0226050100004111</t>
  </si>
  <si>
    <t xml:space="preserve">01-May-2026
15:22:38</t>
  </si>
  <si>
    <t>DF0226050100004112</t>
  </si>
  <si>
    <t xml:space="preserve">01-May-2026
16:06:22</t>
  </si>
  <si>
    <t>DF0226050100004113</t>
  </si>
  <si>
    <t xml:space="preserve">01-May-2026
16:09:00</t>
  </si>
  <si>
    <t>DF0226050100004114</t>
  </si>
  <si>
    <t xml:space="preserve">01-May-2026
16:10:14</t>
  </si>
  <si>
    <t>DF0226050100004115</t>
  </si>
  <si>
    <t xml:space="preserve">01-May-2026
16:31:02</t>
  </si>
  <si>
    <t>DF0226050100004116</t>
  </si>
  <si>
    <t xml:space="preserve">01-May-2026
16:33:29</t>
  </si>
  <si>
    <t>NISA (DINE IN)</t>
  </si>
  <si>
    <t>DF0226050100004117</t>
  </si>
  <si>
    <t xml:space="preserve">01-May-2026
16:46:31</t>
  </si>
  <si>
    <t>DF0226050100004118</t>
  </si>
  <si>
    <t xml:space="preserve">01-May-2026
16:48:57</t>
  </si>
  <si>
    <t>DF0226050100004119</t>
  </si>
  <si>
    <t xml:space="preserve">01-May-2026
17:03:38</t>
  </si>
  <si>
    <t>DF0226050100004120</t>
  </si>
  <si>
    <t xml:space="preserve">01-May-2026
17:33:44</t>
  </si>
  <si>
    <t>DF0226050100004121</t>
  </si>
  <si>
    <t xml:space="preserve">01-May-2026
18:11:24</t>
  </si>
  <si>
    <t>DF0226050100004122</t>
  </si>
  <si>
    <t xml:space="preserve">01-May-2026
18:18:39</t>
  </si>
  <si>
    <t>DF0226050100004123</t>
  </si>
  <si>
    <t xml:space="preserve">01-May-2026
18:37:59</t>
  </si>
  <si>
    <t>DF0226050100004124</t>
  </si>
  <si>
    <t xml:space="preserve">01-May-2026
19:12:11</t>
  </si>
  <si>
    <t>DF0226050100004125</t>
  </si>
  <si>
    <t xml:space="preserve">01-May-2026
19:35:27</t>
  </si>
  <si>
    <t>DF0226050100004126</t>
  </si>
  <si>
    <t xml:space="preserve">01-May-2026
19:36:20</t>
  </si>
  <si>
    <t>DF0226050100004127</t>
  </si>
  <si>
    <t xml:space="preserve">01-May-2026
20:06:30</t>
  </si>
  <si>
    <t>DF0226050100004128</t>
  </si>
  <si>
    <t xml:space="preserve">01-May-2026
20:07:49</t>
  </si>
  <si>
    <t>DF0226050100004129</t>
  </si>
  <si>
    <t xml:space="preserve">01-May-2026
20:11:26</t>
  </si>
  <si>
    <t>DF0226050100004130</t>
  </si>
  <si>
    <t xml:space="preserve">01-May-2026
20:24:24</t>
  </si>
  <si>
    <t>DF0226050100004131</t>
  </si>
  <si>
    <t xml:space="preserve">01-May-2026
20:25:00</t>
  </si>
  <si>
    <t>DF0226050100004132</t>
  </si>
  <si>
    <t xml:space="preserve">01-May-2026
20:25:59</t>
  </si>
  <si>
    <t>DF0226050100004133</t>
  </si>
  <si>
    <t xml:space="preserve">01-May-2026
20:56:03</t>
  </si>
  <si>
    <t>DF0226050100004134</t>
  </si>
  <si>
    <t xml:space="preserve">01-May-2026
21:27:03</t>
  </si>
  <si>
    <t>DF0226050100004135</t>
  </si>
  <si>
    <t xml:space="preserve">01-May-2026
21:31:17</t>
  </si>
  <si>
    <t>Total -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</si>
</sst>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4" x14ac:knownFonts="1">
    <font>
      <color theme="1"/>
      <family val="2"/>
      <scheme val="minor"/>
      <sz val="11"/>
      <name val="Calibri"/>
    </font>
    <font>
      <name val="Calibri"/>
    </font>
    <font>
      <b/>
      <color rgb="FF000000"/>
      <sz val="10"/>
      <name val="Calibri"/>
    </font>
    <font>
      <color rgb="FF00000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A6A6A6"/>
      </patternFill>
    </fill>
    <fill>
      <patternFill patternType="solid">
        <fgColor rgb="FF8F8F8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9"/>
  <sheetViews>
    <sheetView workbookViewId="0" zoomScale="80"/>
  </sheetViews>
  <sheetFormatPr defaultRowHeight="15.75" outlineLevelRow="0" outlineLevelCol="0" x14ac:dyDescent="55" customHeight="1"/>
  <cols>
    <col min="1" max="1" width="22" customWidth="1"/>
    <col min="2" max="2" width="12.1" hidden="1" customWidth="1"/>
    <col min="3" max="3" width="15.7" customWidth="1"/>
    <col min="4" max="4" width="17.4" customWidth="1"/>
    <col min="5" max="5" width="0.1" hidden="1" customWidth="1"/>
    <col min="6" max="6" width="16" customWidth="1"/>
    <col min="7" max="7" width="12" customWidth="1"/>
    <col min="9" max="9" width="14" customWidth="1"/>
    <col min="10" max="10" width="10" customWidth="1"/>
    <col min="12" max="12" width="9" hidden="1" customWidth="1"/>
    <col min="13" max="13" width="10" customWidth="1"/>
    <col min="14" max="14" width="11.2" customWidth="1"/>
    <col min="16" max="16" width="0.1" customWidth="1"/>
    <col min="17" max="18" width="10" customWidth="1"/>
    <col min="19" max="19" width="11" customWidth="1"/>
  </cols>
  <sheetData>
    <row r="1" ht="52.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8.5" customHeight="1" spans="1:19" x14ac:dyDescent="0.25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  <c r="I2" s="2"/>
      <c r="J2" s="2" t="s">
        <v>4</v>
      </c>
      <c r="K2" s="2"/>
      <c r="L2" s="2"/>
      <c r="M2" s="2" t="s">
        <v>5</v>
      </c>
      <c r="N2" s="2"/>
      <c r="O2" s="2"/>
      <c r="P2" s="2"/>
      <c r="Q2" s="2" t="s">
        <v>6</v>
      </c>
      <c r="R2" s="2"/>
      <c r="S2" s="2"/>
    </row>
    <row r="3" ht="31.5" customHeight="1" spans="1:19" x14ac:dyDescent="0.25">
      <c r="A3" s="2" t="s">
        <v>7</v>
      </c>
      <c r="B3" s="2"/>
      <c r="C3" s="2" t="s">
        <v>8</v>
      </c>
      <c r="D3" s="2"/>
      <c r="E3" s="2"/>
      <c r="F3" s="2" t="s">
        <v>9</v>
      </c>
      <c r="G3" s="2"/>
      <c r="H3" s="2"/>
      <c r="I3" s="2"/>
      <c r="J3" s="2" t="s">
        <v>10</v>
      </c>
      <c r="K3" s="2"/>
      <c r="L3" s="2"/>
      <c r="M3" s="3" t="s">
        <v>11</v>
      </c>
      <c r="N3" s="3"/>
      <c r="O3" s="3"/>
      <c r="P3" s="3"/>
      <c r="Q3" s="3"/>
      <c r="R3" s="3"/>
      <c r="S3" s="3"/>
    </row>
    <row r="4" ht="25.5" customHeight="1" spans="1:19" x14ac:dyDescent="0.25">
      <c r="A4" s="4" t="s">
        <v>12</v>
      </c>
      <c r="B4" s="4" t="s">
        <v>13</v>
      </c>
      <c r="C4" s="4"/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4" t="s">
        <v>20</v>
      </c>
      <c r="L4" s="4" t="s">
        <v>21</v>
      </c>
      <c r="M4" s="4"/>
      <c r="N4" s="4" t="s">
        <v>22</v>
      </c>
      <c r="O4" s="4" t="s">
        <v>23</v>
      </c>
      <c r="P4" s="4" t="s">
        <v>24</v>
      </c>
      <c r="Q4" s="4"/>
      <c r="R4" s="4" t="s">
        <v>25</v>
      </c>
      <c r="S4" s="4" t="s">
        <v>26</v>
      </c>
    </row>
    <row r="5" ht="31.5" customHeight="1" spans="1:19" x14ac:dyDescent="0.25">
      <c r="A5" s="5" t="s">
        <v>27</v>
      </c>
      <c r="B5" s="6" t="s">
        <v>28</v>
      </c>
      <c r="C5" s="6"/>
      <c r="D5" s="5" t="s">
        <v>29</v>
      </c>
      <c r="E5" s="5" t="s">
        <v>11</v>
      </c>
      <c r="F5" s="5" t="s">
        <v>11</v>
      </c>
      <c r="G5" s="5" t="s">
        <v>11</v>
      </c>
      <c r="H5" s="7">
        <v>1</v>
      </c>
      <c r="I5" s="8">
        <v>50000</v>
      </c>
      <c r="J5" s="8"/>
      <c r="K5" s="8">
        <v>0</v>
      </c>
      <c r="L5" s="8">
        <v>0</v>
      </c>
      <c r="M5" s="8"/>
      <c r="N5" s="8">
        <f>I5-L5</f>
        <v>50000</v>
      </c>
      <c r="O5" s="8">
        <v>0</v>
      </c>
      <c r="P5" s="8">
        <v>0</v>
      </c>
      <c r="Q5" s="8"/>
      <c r="R5" s="8">
        <v>0</v>
      </c>
      <c r="S5" s="8">
        <v>0</v>
      </c>
    </row>
    <row r="6" ht="31.5" customHeight="1" spans="1:19" x14ac:dyDescent="0.25">
      <c r="A6" s="5" t="s">
        <v>30</v>
      </c>
      <c r="B6" s="6" t="s">
        <v>31</v>
      </c>
      <c r="C6" s="6"/>
      <c r="D6" s="5" t="s">
        <v>29</v>
      </c>
      <c r="E6" s="5" t="s">
        <v>11</v>
      </c>
      <c r="F6" s="5" t="s">
        <v>11</v>
      </c>
      <c r="G6" s="5" t="s">
        <v>11</v>
      </c>
      <c r="H6" s="7">
        <v>2</v>
      </c>
      <c r="I6" s="8">
        <v>80000</v>
      </c>
      <c r="J6" s="8"/>
      <c r="K6" s="8">
        <v>0</v>
      </c>
      <c r="L6" s="8">
        <v>0</v>
      </c>
      <c r="M6" s="8"/>
      <c r="N6" s="8">
        <f>I6-L6</f>
        <v>80000</v>
      </c>
      <c r="O6" s="8">
        <v>0</v>
      </c>
      <c r="P6" s="8">
        <v>0</v>
      </c>
      <c r="Q6" s="8"/>
      <c r="R6" s="8">
        <v>0</v>
      </c>
      <c r="S6" s="8">
        <v>0</v>
      </c>
    </row>
    <row r="7" ht="31.5" customHeight="1" spans="1:19" x14ac:dyDescent="0.25">
      <c r="A7" s="5" t="s">
        <v>32</v>
      </c>
      <c r="B7" s="6" t="s">
        <v>33</v>
      </c>
      <c r="C7" s="6"/>
      <c r="D7" s="5" t="s">
        <v>29</v>
      </c>
      <c r="E7" s="5" t="s">
        <v>11</v>
      </c>
      <c r="F7" s="5" t="s">
        <v>11</v>
      </c>
      <c r="G7" s="5" t="s">
        <v>11</v>
      </c>
      <c r="H7" s="7">
        <v>2</v>
      </c>
      <c r="I7" s="8">
        <v>100000</v>
      </c>
      <c r="J7" s="8"/>
      <c r="K7" s="8">
        <v>0</v>
      </c>
      <c r="L7" s="8">
        <v>0</v>
      </c>
      <c r="M7" s="8"/>
      <c r="N7" s="8">
        <f>I7-L7</f>
        <v>100000</v>
      </c>
      <c r="O7" s="8">
        <v>0</v>
      </c>
      <c r="P7" s="8">
        <v>0</v>
      </c>
      <c r="Q7" s="8"/>
      <c r="R7" s="8">
        <v>0</v>
      </c>
      <c r="S7" s="8">
        <v>0</v>
      </c>
    </row>
    <row r="8" ht="31.5" customHeight="1" spans="1:19" x14ac:dyDescent="0.25">
      <c r="A8" s="5" t="s">
        <v>34</v>
      </c>
      <c r="B8" s="6" t="s">
        <v>35</v>
      </c>
      <c r="C8" s="6"/>
      <c r="D8" s="5" t="s">
        <v>29</v>
      </c>
      <c r="E8" s="5" t="s">
        <v>11</v>
      </c>
      <c r="F8" s="5" t="s">
        <v>11</v>
      </c>
      <c r="G8" s="5" t="s">
        <v>11</v>
      </c>
      <c r="H8" s="7">
        <v>5</v>
      </c>
      <c r="I8" s="8">
        <v>200000</v>
      </c>
      <c r="J8" s="8"/>
      <c r="K8" s="8">
        <v>0</v>
      </c>
      <c r="L8" s="8">
        <v>45000</v>
      </c>
      <c r="M8" s="8"/>
      <c r="N8" s="8">
        <f>I8-L8</f>
        <v>155000</v>
      </c>
      <c r="O8" s="8">
        <v>0</v>
      </c>
      <c r="P8" s="8">
        <v>0</v>
      </c>
      <c r="Q8" s="8"/>
      <c r="R8" s="8">
        <v>0</v>
      </c>
      <c r="S8" s="8">
        <v>0</v>
      </c>
    </row>
    <row r="9" ht="31.5" customHeight="1" spans="1:19" x14ac:dyDescent="0.25">
      <c r="A9" s="5" t="s">
        <v>36</v>
      </c>
      <c r="B9" s="6" t="s">
        <v>37</v>
      </c>
      <c r="C9" s="6"/>
      <c r="D9" s="5" t="s">
        <v>29</v>
      </c>
      <c r="E9" s="5" t="s">
        <v>11</v>
      </c>
      <c r="F9" s="5" t="s">
        <v>11</v>
      </c>
      <c r="G9" s="5" t="s">
        <v>11</v>
      </c>
      <c r="H9" s="7">
        <v>1</v>
      </c>
      <c r="I9" s="8">
        <v>15000</v>
      </c>
      <c r="J9" s="8"/>
      <c r="K9" s="8">
        <v>0</v>
      </c>
      <c r="L9" s="8">
        <v>4527.77</v>
      </c>
      <c r="M9" s="8"/>
      <c r="N9" s="8">
        <f>I9-L9</f>
        <v>10472.23</v>
      </c>
      <c r="O9" s="8">
        <v>0</v>
      </c>
      <c r="P9" s="8">
        <v>0</v>
      </c>
      <c r="Q9" s="8"/>
      <c r="R9" s="8">
        <v>0</v>
      </c>
      <c r="S9" s="8">
        <v>0</v>
      </c>
    </row>
    <row r="10" ht="31.5" customHeight="1" spans="1:19" x14ac:dyDescent="0.25">
      <c r="A10" s="5" t="s">
        <v>38</v>
      </c>
      <c r="B10" s="6" t="s">
        <v>39</v>
      </c>
      <c r="C10" s="6"/>
      <c r="D10" s="5" t="s">
        <v>29</v>
      </c>
      <c r="E10" s="5" t="s">
        <v>11</v>
      </c>
      <c r="F10" s="5" t="s">
        <v>11</v>
      </c>
      <c r="G10" s="5" t="s">
        <v>11</v>
      </c>
      <c r="H10" s="7">
        <v>1</v>
      </c>
      <c r="I10" s="8">
        <v>125000</v>
      </c>
      <c r="J10" s="8"/>
      <c r="K10" s="8">
        <v>0</v>
      </c>
      <c r="L10" s="8">
        <v>104285.71</v>
      </c>
      <c r="M10" s="8"/>
      <c r="N10" s="8">
        <f>I10-L10</f>
        <v>20714.289999999994</v>
      </c>
      <c r="O10" s="8">
        <v>0</v>
      </c>
      <c r="P10" s="8">
        <v>0</v>
      </c>
      <c r="Q10" s="8"/>
      <c r="R10" s="8">
        <v>0</v>
      </c>
      <c r="S10" s="8">
        <v>0</v>
      </c>
    </row>
    <row r="11" ht="31.5" customHeight="1" spans="1:19" x14ac:dyDescent="0.25">
      <c r="A11" s="5" t="s">
        <v>40</v>
      </c>
      <c r="B11" s="6" t="s">
        <v>41</v>
      </c>
      <c r="C11" s="6"/>
      <c r="D11" s="5" t="s">
        <v>29</v>
      </c>
      <c r="E11" s="5" t="s">
        <v>11</v>
      </c>
      <c r="F11" s="5" t="s">
        <v>11</v>
      </c>
      <c r="G11" s="5" t="s">
        <v>11</v>
      </c>
      <c r="H11" s="7">
        <v>4</v>
      </c>
      <c r="I11" s="8">
        <v>200000</v>
      </c>
      <c r="J11" s="8"/>
      <c r="K11" s="8">
        <v>0</v>
      </c>
      <c r="L11" s="8">
        <v>0</v>
      </c>
      <c r="M11" s="8"/>
      <c r="N11" s="8">
        <f>I11-L11</f>
        <v>200000</v>
      </c>
      <c r="O11" s="8">
        <v>0</v>
      </c>
      <c r="P11" s="8">
        <v>0</v>
      </c>
      <c r="Q11" s="8"/>
      <c r="R11" s="8">
        <v>0</v>
      </c>
      <c r="S11" s="8">
        <v>0</v>
      </c>
    </row>
    <row r="12" ht="31.5" customHeight="1" spans="1:19" x14ac:dyDescent="0.25">
      <c r="A12" s="5" t="s">
        <v>42</v>
      </c>
      <c r="B12" s="6" t="s">
        <v>43</v>
      </c>
      <c r="C12" s="6"/>
      <c r="D12" s="5" t="s">
        <v>29</v>
      </c>
      <c r="E12" s="5" t="s">
        <v>11</v>
      </c>
      <c r="F12" s="5" t="s">
        <v>11</v>
      </c>
      <c r="G12" s="5" t="s">
        <v>11</v>
      </c>
      <c r="H12" s="7">
        <v>3</v>
      </c>
      <c r="I12" s="8">
        <v>150000</v>
      </c>
      <c r="J12" s="8"/>
      <c r="K12" s="8">
        <v>0</v>
      </c>
      <c r="L12" s="8">
        <v>0</v>
      </c>
      <c r="M12" s="8"/>
      <c r="N12" s="8">
        <f>I12-L12</f>
        <v>150000</v>
      </c>
      <c r="O12" s="8">
        <v>0</v>
      </c>
      <c r="P12" s="8">
        <v>0</v>
      </c>
      <c r="Q12" s="8"/>
      <c r="R12" s="8">
        <v>0</v>
      </c>
      <c r="S12" s="8">
        <v>0</v>
      </c>
    </row>
    <row r="13" ht="31.5" customHeight="1" spans="1:19" x14ac:dyDescent="0.25">
      <c r="A13" s="5" t="s">
        <v>44</v>
      </c>
      <c r="B13" s="6" t="s">
        <v>45</v>
      </c>
      <c r="C13" s="6"/>
      <c r="D13" s="5" t="s">
        <v>29</v>
      </c>
      <c r="E13" s="5" t="s">
        <v>11</v>
      </c>
      <c r="F13" s="5" t="s">
        <v>11</v>
      </c>
      <c r="G13" s="5" t="s">
        <v>11</v>
      </c>
      <c r="H13" s="7">
        <v>1</v>
      </c>
      <c r="I13" s="8">
        <v>25000</v>
      </c>
      <c r="J13" s="8"/>
      <c r="K13" s="8">
        <v>0</v>
      </c>
      <c r="L13" s="8">
        <v>0</v>
      </c>
      <c r="M13" s="8"/>
      <c r="N13" s="8">
        <f>I13-L13</f>
        <v>25000</v>
      </c>
      <c r="O13" s="8">
        <v>0</v>
      </c>
      <c r="P13" s="8">
        <v>0</v>
      </c>
      <c r="Q13" s="8"/>
      <c r="R13" s="8">
        <v>0</v>
      </c>
      <c r="S13" s="8">
        <v>0</v>
      </c>
    </row>
    <row r="14" ht="31.5" customHeight="1" spans="1:19" x14ac:dyDescent="0.25">
      <c r="A14" s="5" t="s">
        <v>46</v>
      </c>
      <c r="B14" s="6" t="s">
        <v>47</v>
      </c>
      <c r="C14" s="6"/>
      <c r="D14" s="5" t="s">
        <v>29</v>
      </c>
      <c r="E14" s="5" t="s">
        <v>11</v>
      </c>
      <c r="F14" s="5" t="s">
        <v>11</v>
      </c>
      <c r="G14" s="5" t="s">
        <v>11</v>
      </c>
      <c r="H14" s="7">
        <v>1</v>
      </c>
      <c r="I14" s="8">
        <v>12000</v>
      </c>
      <c r="J14" s="8"/>
      <c r="K14" s="8">
        <v>0</v>
      </c>
      <c r="L14" s="8">
        <v>6250</v>
      </c>
      <c r="M14" s="8"/>
      <c r="N14" s="8">
        <f>I14-L14</f>
        <v>5750</v>
      </c>
      <c r="O14" s="8">
        <v>0</v>
      </c>
      <c r="P14" s="8">
        <v>0</v>
      </c>
      <c r="Q14" s="8"/>
      <c r="R14" s="8">
        <v>0</v>
      </c>
      <c r="S14" s="8">
        <v>0</v>
      </c>
    </row>
    <row r="15" ht="31.5" customHeight="1" spans="1:19" x14ac:dyDescent="0.25">
      <c r="A15" s="5" t="s">
        <v>48</v>
      </c>
      <c r="B15" s="6" t="s">
        <v>49</v>
      </c>
      <c r="C15" s="6"/>
      <c r="D15" s="5" t="s">
        <v>29</v>
      </c>
      <c r="E15" s="5" t="s">
        <v>11</v>
      </c>
      <c r="F15" s="5" t="s">
        <v>11</v>
      </c>
      <c r="G15" s="5" t="s">
        <v>11</v>
      </c>
      <c r="H15" s="7">
        <v>2</v>
      </c>
      <c r="I15" s="8">
        <v>40000</v>
      </c>
      <c r="J15" s="8"/>
      <c r="K15" s="8">
        <v>0</v>
      </c>
      <c r="L15" s="8">
        <v>7950</v>
      </c>
      <c r="M15" s="8"/>
      <c r="N15" s="8">
        <f>I15-L15</f>
        <v>32050</v>
      </c>
      <c r="O15" s="8">
        <v>0</v>
      </c>
      <c r="P15" s="8">
        <v>0</v>
      </c>
      <c r="Q15" s="8"/>
      <c r="R15" s="8">
        <v>0</v>
      </c>
      <c r="S15" s="8">
        <v>0</v>
      </c>
    </row>
    <row r="16" ht="31.5" customHeight="1" spans="1:19" x14ac:dyDescent="0.25">
      <c r="A16" s="5" t="s">
        <v>50</v>
      </c>
      <c r="B16" s="6" t="s">
        <v>51</v>
      </c>
      <c r="C16" s="6"/>
      <c r="D16" s="5" t="s">
        <v>29</v>
      </c>
      <c r="E16" s="5" t="s">
        <v>11</v>
      </c>
      <c r="F16" s="5" t="s">
        <v>11</v>
      </c>
      <c r="G16" s="5" t="s">
        <v>11</v>
      </c>
      <c r="H16" s="7">
        <v>2</v>
      </c>
      <c r="I16" s="8">
        <v>100000</v>
      </c>
      <c r="J16" s="8"/>
      <c r="K16" s="8">
        <v>0</v>
      </c>
      <c r="L16" s="8">
        <v>0</v>
      </c>
      <c r="M16" s="8"/>
      <c r="N16" s="8">
        <f>I16-L16</f>
        <v>100000</v>
      </c>
      <c r="O16" s="8">
        <v>0</v>
      </c>
      <c r="P16" s="8">
        <v>0</v>
      </c>
      <c r="Q16" s="8"/>
      <c r="R16" s="8">
        <v>0</v>
      </c>
      <c r="S16" s="8">
        <v>0</v>
      </c>
    </row>
    <row r="17" ht="31.5" customHeight="1" spans="1:19" x14ac:dyDescent="0.25">
      <c r="A17" s="5" t="s">
        <v>52</v>
      </c>
      <c r="B17" s="6" t="s">
        <v>53</v>
      </c>
      <c r="C17" s="6"/>
      <c r="D17" s="5" t="s">
        <v>29</v>
      </c>
      <c r="E17" s="5" t="s">
        <v>11</v>
      </c>
      <c r="F17" s="5" t="s">
        <v>11</v>
      </c>
      <c r="G17" s="5" t="s">
        <v>11</v>
      </c>
      <c r="H17" s="7">
        <v>1</v>
      </c>
      <c r="I17" s="8">
        <v>260000</v>
      </c>
      <c r="J17" s="8"/>
      <c r="K17" s="8">
        <v>0</v>
      </c>
      <c r="L17" s="8">
        <v>187503.31</v>
      </c>
      <c r="M17" s="8"/>
      <c r="N17" s="8">
        <f>I17-L17</f>
        <v>72496.69</v>
      </c>
      <c r="O17" s="8">
        <v>0</v>
      </c>
      <c r="P17" s="8">
        <v>0</v>
      </c>
      <c r="Q17" s="8"/>
      <c r="R17" s="8">
        <v>0</v>
      </c>
      <c r="S17" s="8">
        <v>0</v>
      </c>
    </row>
    <row r="18" ht="31.5" customHeight="1" spans="1:19" x14ac:dyDescent="0.25">
      <c r="A18" s="5" t="s">
        <v>54</v>
      </c>
      <c r="B18" s="6" t="s">
        <v>55</v>
      </c>
      <c r="C18" s="6"/>
      <c r="D18" s="5" t="s">
        <v>29</v>
      </c>
      <c r="E18" s="5" t="s">
        <v>11</v>
      </c>
      <c r="F18" s="5" t="s">
        <v>11</v>
      </c>
      <c r="G18" s="5" t="s">
        <v>11</v>
      </c>
      <c r="H18" s="7">
        <v>2</v>
      </c>
      <c r="I18" s="8">
        <v>58000</v>
      </c>
      <c r="J18" s="8"/>
      <c r="K18" s="8">
        <v>0</v>
      </c>
      <c r="L18" s="8">
        <v>0</v>
      </c>
      <c r="M18" s="8"/>
      <c r="N18" s="8">
        <f>I18-L18</f>
        <v>58000</v>
      </c>
      <c r="O18" s="8">
        <v>0</v>
      </c>
      <c r="P18" s="8">
        <v>0</v>
      </c>
      <c r="Q18" s="8"/>
      <c r="R18" s="8">
        <v>0</v>
      </c>
      <c r="S18" s="8">
        <v>0</v>
      </c>
    </row>
    <row r="19" ht="31.5" customHeight="1" spans="1:19" x14ac:dyDescent="0.25">
      <c r="A19" s="5" t="s">
        <v>56</v>
      </c>
      <c r="B19" s="6" t="s">
        <v>57</v>
      </c>
      <c r="C19" s="6"/>
      <c r="D19" s="5" t="s">
        <v>29</v>
      </c>
      <c r="E19" s="5" t="s">
        <v>11</v>
      </c>
      <c r="F19" s="5" t="s">
        <v>11</v>
      </c>
      <c r="G19" s="5" t="s">
        <v>11</v>
      </c>
      <c r="H19" s="7">
        <v>2</v>
      </c>
      <c r="I19" s="8">
        <v>60000</v>
      </c>
      <c r="J19" s="8"/>
      <c r="K19" s="8">
        <v>0</v>
      </c>
      <c r="L19" s="8">
        <v>0</v>
      </c>
      <c r="M19" s="8"/>
      <c r="N19" s="8">
        <f>I19-L19</f>
        <v>60000</v>
      </c>
      <c r="O19" s="8">
        <v>0</v>
      </c>
      <c r="P19" s="8">
        <v>0</v>
      </c>
      <c r="Q19" s="8"/>
      <c r="R19" s="8">
        <v>0</v>
      </c>
      <c r="S19" s="8">
        <v>0</v>
      </c>
    </row>
    <row r="20" ht="31.5" customHeight="1" spans="1:19" x14ac:dyDescent="0.25">
      <c r="A20" s="5" t="s">
        <v>58</v>
      </c>
      <c r="B20" s="6" t="s">
        <v>59</v>
      </c>
      <c r="C20" s="6"/>
      <c r="D20" s="5" t="s">
        <v>29</v>
      </c>
      <c r="E20" s="5" t="s">
        <v>11</v>
      </c>
      <c r="F20" s="5" t="s">
        <v>11</v>
      </c>
      <c r="G20" s="5" t="s">
        <v>11</v>
      </c>
      <c r="H20" s="7">
        <v>1</v>
      </c>
      <c r="I20" s="8">
        <v>50000</v>
      </c>
      <c r="J20" s="8"/>
      <c r="K20" s="8">
        <v>0</v>
      </c>
      <c r="L20" s="8">
        <v>0</v>
      </c>
      <c r="M20" s="8"/>
      <c r="N20" s="8">
        <f>I20-L20</f>
        <v>50000</v>
      </c>
      <c r="O20" s="8">
        <v>0</v>
      </c>
      <c r="P20" s="8">
        <v>0</v>
      </c>
      <c r="Q20" s="8"/>
      <c r="R20" s="8">
        <v>0</v>
      </c>
      <c r="S20" s="8">
        <v>0</v>
      </c>
    </row>
    <row r="21" ht="31.5" customHeight="1" spans="1:19" x14ac:dyDescent="0.25">
      <c r="A21" s="5" t="s">
        <v>60</v>
      </c>
      <c r="B21" s="6" t="s">
        <v>61</v>
      </c>
      <c r="C21" s="6"/>
      <c r="D21" s="5" t="s">
        <v>29</v>
      </c>
      <c r="E21" s="5" t="s">
        <v>11</v>
      </c>
      <c r="F21" s="5" t="s">
        <v>11</v>
      </c>
      <c r="G21" s="5" t="s">
        <v>11</v>
      </c>
      <c r="H21" s="7">
        <v>1</v>
      </c>
      <c r="I21" s="8">
        <v>28000</v>
      </c>
      <c r="J21" s="8"/>
      <c r="K21" s="8">
        <v>0</v>
      </c>
      <c r="L21" s="8">
        <v>0</v>
      </c>
      <c r="M21" s="8"/>
      <c r="N21" s="8">
        <f>I21-L21</f>
        <v>28000</v>
      </c>
      <c r="O21" s="8">
        <v>0</v>
      </c>
      <c r="P21" s="8">
        <v>0</v>
      </c>
      <c r="Q21" s="8"/>
      <c r="R21" s="8">
        <v>0</v>
      </c>
      <c r="S21" s="8">
        <v>0</v>
      </c>
    </row>
    <row r="22" ht="31.5" customHeight="1" spans="1:19" x14ac:dyDescent="0.25">
      <c r="A22" s="5" t="s">
        <v>62</v>
      </c>
      <c r="B22" s="6" t="s">
        <v>63</v>
      </c>
      <c r="C22" s="6"/>
      <c r="D22" s="5" t="s">
        <v>29</v>
      </c>
      <c r="E22" s="5" t="s">
        <v>11</v>
      </c>
      <c r="F22" s="5" t="s">
        <v>11</v>
      </c>
      <c r="G22" s="5" t="s">
        <v>11</v>
      </c>
      <c r="H22" s="7">
        <v>2</v>
      </c>
      <c r="I22" s="8">
        <v>45000</v>
      </c>
      <c r="J22" s="8"/>
      <c r="K22" s="8">
        <v>0</v>
      </c>
      <c r="L22" s="8">
        <v>4527.77</v>
      </c>
      <c r="M22" s="8"/>
      <c r="N22" s="8">
        <f>I22-L22</f>
        <v>40472.229999999996</v>
      </c>
      <c r="O22" s="8">
        <v>0</v>
      </c>
      <c r="P22" s="8">
        <v>0</v>
      </c>
      <c r="Q22" s="8"/>
      <c r="R22" s="8">
        <v>0</v>
      </c>
      <c r="S22" s="8">
        <v>0</v>
      </c>
    </row>
    <row r="23" ht="31.5" customHeight="1" spans="1:19" x14ac:dyDescent="0.25">
      <c r="A23" s="5" t="s">
        <v>64</v>
      </c>
      <c r="B23" s="6" t="s">
        <v>65</v>
      </c>
      <c r="C23" s="6"/>
      <c r="D23" s="5" t="s">
        <v>29</v>
      </c>
      <c r="E23" s="5" t="s">
        <v>11</v>
      </c>
      <c r="F23" s="5" t="s">
        <v>11</v>
      </c>
      <c r="G23" s="5" t="s">
        <v>11</v>
      </c>
      <c r="H23" s="7">
        <v>2</v>
      </c>
      <c r="I23" s="8">
        <v>60000</v>
      </c>
      <c r="J23" s="8"/>
      <c r="K23" s="8">
        <v>0</v>
      </c>
      <c r="L23" s="8">
        <v>0</v>
      </c>
      <c r="M23" s="8"/>
      <c r="N23" s="8">
        <f>I23-L23</f>
        <v>60000</v>
      </c>
      <c r="O23" s="8">
        <v>0</v>
      </c>
      <c r="P23" s="8">
        <v>0</v>
      </c>
      <c r="Q23" s="8"/>
      <c r="R23" s="8">
        <v>0</v>
      </c>
      <c r="S23" s="8">
        <v>0</v>
      </c>
    </row>
    <row r="24" ht="31.5" customHeight="1" spans="1:19" x14ac:dyDescent="0.25">
      <c r="A24" s="5" t="s">
        <v>66</v>
      </c>
      <c r="B24" s="6" t="s">
        <v>67</v>
      </c>
      <c r="C24" s="6"/>
      <c r="D24" s="5" t="s">
        <v>29</v>
      </c>
      <c r="E24" s="5" t="s">
        <v>11</v>
      </c>
      <c r="F24" s="5" t="s">
        <v>11</v>
      </c>
      <c r="G24" s="5" t="s">
        <v>11</v>
      </c>
      <c r="H24" s="7">
        <v>1</v>
      </c>
      <c r="I24" s="8">
        <v>25000</v>
      </c>
      <c r="J24" s="8"/>
      <c r="K24" s="8">
        <v>0</v>
      </c>
      <c r="L24" s="8">
        <v>0</v>
      </c>
      <c r="M24" s="8"/>
      <c r="N24" s="8">
        <f>I24-L24</f>
        <v>25000</v>
      </c>
      <c r="O24" s="8">
        <v>0</v>
      </c>
      <c r="P24" s="8">
        <v>0</v>
      </c>
      <c r="Q24" s="8"/>
      <c r="R24" s="8">
        <v>0</v>
      </c>
      <c r="S24" s="8">
        <v>0</v>
      </c>
    </row>
    <row r="25" ht="31.5" customHeight="1" spans="1:19" x14ac:dyDescent="0.25">
      <c r="A25" s="5" t="s">
        <v>68</v>
      </c>
      <c r="B25" s="6" t="s">
        <v>69</v>
      </c>
      <c r="C25" s="6"/>
      <c r="D25" s="5" t="s">
        <v>29</v>
      </c>
      <c r="E25" s="5" t="s">
        <v>11</v>
      </c>
      <c r="F25" s="5" t="s">
        <v>11</v>
      </c>
      <c r="G25" s="5" t="s">
        <v>11</v>
      </c>
      <c r="H25" s="7">
        <v>1</v>
      </c>
      <c r="I25" s="8">
        <v>15000</v>
      </c>
      <c r="J25" s="8"/>
      <c r="K25" s="8">
        <v>0</v>
      </c>
      <c r="L25" s="8">
        <v>4527.77</v>
      </c>
      <c r="M25" s="8"/>
      <c r="N25" s="8">
        <f>I25-L25</f>
        <v>10472.23</v>
      </c>
      <c r="O25" s="8">
        <v>0</v>
      </c>
      <c r="P25" s="8">
        <v>0</v>
      </c>
      <c r="Q25" s="8"/>
      <c r="R25" s="8">
        <v>0</v>
      </c>
      <c r="S25" s="8">
        <v>0</v>
      </c>
    </row>
    <row r="26" ht="31.5" customHeight="1" spans="1:19" x14ac:dyDescent="0.25">
      <c r="A26" s="5" t="s">
        <v>70</v>
      </c>
      <c r="B26" s="6" t="s">
        <v>71</v>
      </c>
      <c r="C26" s="6"/>
      <c r="D26" s="5" t="s">
        <v>29</v>
      </c>
      <c r="E26" s="5" t="s">
        <v>11</v>
      </c>
      <c r="F26" s="5" t="s">
        <v>11</v>
      </c>
      <c r="G26" s="5" t="s">
        <v>11</v>
      </c>
      <c r="H26" s="7">
        <v>1</v>
      </c>
      <c r="I26" s="8">
        <v>35000</v>
      </c>
      <c r="J26" s="8"/>
      <c r="K26" s="8">
        <v>0</v>
      </c>
      <c r="L26" s="8">
        <v>0</v>
      </c>
      <c r="M26" s="8"/>
      <c r="N26" s="8">
        <f>I26-L26</f>
        <v>35000</v>
      </c>
      <c r="O26" s="8">
        <v>0</v>
      </c>
      <c r="P26" s="8">
        <v>0</v>
      </c>
      <c r="Q26" s="8"/>
      <c r="R26" s="8">
        <v>0</v>
      </c>
      <c r="S26" s="8">
        <v>0</v>
      </c>
    </row>
    <row r="27" ht="31.5" customHeight="1" spans="1:19" x14ac:dyDescent="0.25">
      <c r="A27" s="5" t="s">
        <v>72</v>
      </c>
      <c r="B27" s="6" t="s">
        <v>73</v>
      </c>
      <c r="C27" s="6"/>
      <c r="D27" s="5" t="s">
        <v>29</v>
      </c>
      <c r="E27" s="5" t="s">
        <v>11</v>
      </c>
      <c r="F27" s="5" t="s">
        <v>11</v>
      </c>
      <c r="G27" s="5" t="s">
        <v>11</v>
      </c>
      <c r="H27" s="7">
        <v>1</v>
      </c>
      <c r="I27" s="8">
        <v>15000</v>
      </c>
      <c r="J27" s="8"/>
      <c r="K27" s="8">
        <v>0</v>
      </c>
      <c r="L27" s="8">
        <v>4527.77</v>
      </c>
      <c r="M27" s="8"/>
      <c r="N27" s="8">
        <f>I27-L27</f>
        <v>10472.23</v>
      </c>
      <c r="O27" s="8">
        <v>0</v>
      </c>
      <c r="P27" s="8">
        <v>0</v>
      </c>
      <c r="Q27" s="8"/>
      <c r="R27" s="8">
        <v>0</v>
      </c>
      <c r="S27" s="8">
        <v>0</v>
      </c>
    </row>
    <row r="28" ht="31.5" customHeight="1" spans="1:19" x14ac:dyDescent="0.25">
      <c r="A28" s="5" t="s">
        <v>74</v>
      </c>
      <c r="B28" s="6" t="s">
        <v>75</v>
      </c>
      <c r="C28" s="6"/>
      <c r="D28" s="5" t="s">
        <v>29</v>
      </c>
      <c r="E28" s="5" t="s">
        <v>11</v>
      </c>
      <c r="F28" s="5" t="s">
        <v>11</v>
      </c>
      <c r="G28" s="5" t="s">
        <v>11</v>
      </c>
      <c r="H28" s="7">
        <v>1</v>
      </c>
      <c r="I28" s="8">
        <v>15000</v>
      </c>
      <c r="J28" s="8"/>
      <c r="K28" s="8">
        <v>0</v>
      </c>
      <c r="L28" s="8">
        <v>4527.77</v>
      </c>
      <c r="M28" s="8"/>
      <c r="N28" s="8">
        <f>I28-L28</f>
        <v>10472.23</v>
      </c>
      <c r="O28" s="8">
        <v>0</v>
      </c>
      <c r="P28" s="8">
        <v>0</v>
      </c>
      <c r="Q28" s="8"/>
      <c r="R28" s="8">
        <v>0</v>
      </c>
      <c r="S28" s="8">
        <v>0</v>
      </c>
    </row>
    <row r="29" ht="31.5" customHeight="1" spans="1:19" x14ac:dyDescent="0.25">
      <c r="A29" s="5" t="s">
        <v>76</v>
      </c>
      <c r="B29" s="6" t="s">
        <v>77</v>
      </c>
      <c r="C29" s="6"/>
      <c r="D29" s="5" t="s">
        <v>29</v>
      </c>
      <c r="E29" s="5" t="s">
        <v>11</v>
      </c>
      <c r="F29" s="5" t="s">
        <v>11</v>
      </c>
      <c r="G29" s="5" t="s">
        <v>11</v>
      </c>
      <c r="H29" s="7">
        <v>1</v>
      </c>
      <c r="I29" s="8">
        <v>28000</v>
      </c>
      <c r="J29" s="8"/>
      <c r="K29" s="8">
        <v>0</v>
      </c>
      <c r="L29" s="8">
        <v>0</v>
      </c>
      <c r="M29" s="8"/>
      <c r="N29" s="8">
        <f>I29-L29</f>
        <v>28000</v>
      </c>
      <c r="O29" s="8">
        <v>0</v>
      </c>
      <c r="P29" s="8">
        <v>0</v>
      </c>
      <c r="Q29" s="8"/>
      <c r="R29" s="8">
        <v>0</v>
      </c>
      <c r="S29" s="8">
        <v>0</v>
      </c>
    </row>
    <row r="30" ht="31.5" customHeight="1" spans="1:19" x14ac:dyDescent="0.25">
      <c r="A30" s="5" t="s">
        <v>78</v>
      </c>
      <c r="B30" s="6" t="s">
        <v>79</v>
      </c>
      <c r="C30" s="6"/>
      <c r="D30" s="5" t="s">
        <v>29</v>
      </c>
      <c r="E30" s="5" t="s">
        <v>11</v>
      </c>
      <c r="F30" s="5" t="s">
        <v>11</v>
      </c>
      <c r="G30" s="5" t="s">
        <v>11</v>
      </c>
      <c r="H30" s="7">
        <v>2</v>
      </c>
      <c r="I30" s="8">
        <v>50000</v>
      </c>
      <c r="J30" s="8"/>
      <c r="K30" s="8">
        <v>0</v>
      </c>
      <c r="L30" s="8">
        <v>29527.77</v>
      </c>
      <c r="M30" s="8"/>
      <c r="N30" s="8">
        <f>I30-L30</f>
        <v>20472.23</v>
      </c>
      <c r="O30" s="8">
        <v>0</v>
      </c>
      <c r="P30" s="8">
        <v>0</v>
      </c>
      <c r="Q30" s="8"/>
      <c r="R30" s="8">
        <v>0</v>
      </c>
      <c r="S30" s="8">
        <v>0</v>
      </c>
    </row>
    <row r="31" ht="31.5" customHeight="1" spans="1:19" x14ac:dyDescent="0.25">
      <c r="A31" s="5" t="s">
        <v>80</v>
      </c>
      <c r="B31" s="6" t="s">
        <v>81</v>
      </c>
      <c r="C31" s="6"/>
      <c r="D31" s="5" t="s">
        <v>29</v>
      </c>
      <c r="E31" s="5" t="s">
        <v>11</v>
      </c>
      <c r="F31" s="5" t="s">
        <v>11</v>
      </c>
      <c r="G31" s="5" t="s">
        <v>11</v>
      </c>
      <c r="H31" s="7">
        <v>1</v>
      </c>
      <c r="I31" s="8">
        <v>35000</v>
      </c>
      <c r="J31" s="8"/>
      <c r="K31" s="8">
        <v>0</v>
      </c>
      <c r="L31" s="8">
        <v>25000</v>
      </c>
      <c r="M31" s="8"/>
      <c r="N31" s="8">
        <f>I31-L31</f>
        <v>10000</v>
      </c>
      <c r="O31" s="8">
        <v>0</v>
      </c>
      <c r="P31" s="8">
        <v>0</v>
      </c>
      <c r="Q31" s="8"/>
      <c r="R31" s="8">
        <v>0</v>
      </c>
      <c r="S31" s="8">
        <v>0</v>
      </c>
    </row>
    <row r="32" ht="31.5" customHeight="1" spans="1:19" x14ac:dyDescent="0.25">
      <c r="A32" s="5" t="s">
        <v>82</v>
      </c>
      <c r="B32" s="6" t="s">
        <v>83</v>
      </c>
      <c r="C32" s="6"/>
      <c r="D32" s="5" t="s">
        <v>29</v>
      </c>
      <c r="E32" s="5" t="s">
        <v>11</v>
      </c>
      <c r="F32" s="5" t="s">
        <v>11</v>
      </c>
      <c r="G32" s="5" t="s">
        <v>11</v>
      </c>
      <c r="H32" s="7">
        <v>1</v>
      </c>
      <c r="I32" s="8">
        <v>35000</v>
      </c>
      <c r="J32" s="8"/>
      <c r="K32" s="8">
        <v>0</v>
      </c>
      <c r="L32" s="8">
        <v>0</v>
      </c>
      <c r="M32" s="8"/>
      <c r="N32" s="8">
        <f>I32-L32</f>
        <v>35000</v>
      </c>
      <c r="O32" s="8">
        <v>0</v>
      </c>
      <c r="P32" s="8">
        <v>0</v>
      </c>
      <c r="Q32" s="8"/>
      <c r="R32" s="8">
        <v>0</v>
      </c>
      <c r="S32" s="8">
        <v>0</v>
      </c>
    </row>
    <row r="33" ht="31.5" customHeight="1" spans="1:19" x14ac:dyDescent="0.25">
      <c r="A33" s="5" t="s">
        <v>84</v>
      </c>
      <c r="B33" s="6" t="s">
        <v>85</v>
      </c>
      <c r="C33" s="6"/>
      <c r="D33" s="5" t="s">
        <v>29</v>
      </c>
      <c r="E33" s="5" t="s">
        <v>11</v>
      </c>
      <c r="F33" s="5" t="s">
        <v>11</v>
      </c>
      <c r="G33" s="5" t="s">
        <v>11</v>
      </c>
      <c r="H33" s="7">
        <v>1</v>
      </c>
      <c r="I33" s="8">
        <v>10000</v>
      </c>
      <c r="J33" s="8"/>
      <c r="K33" s="8">
        <v>0</v>
      </c>
      <c r="L33" s="8">
        <v>2087.18</v>
      </c>
      <c r="M33" s="8"/>
      <c r="N33" s="8">
        <f>I33-L33</f>
        <v>7912.82</v>
      </c>
      <c r="O33" s="8">
        <v>0</v>
      </c>
      <c r="P33" s="8">
        <v>0</v>
      </c>
      <c r="Q33" s="8"/>
      <c r="R33" s="8">
        <v>0</v>
      </c>
      <c r="S33" s="8">
        <v>0</v>
      </c>
    </row>
    <row r="34" ht="31.5" customHeight="1" spans="1:19" x14ac:dyDescent="0.25">
      <c r="A34" s="5" t="s">
        <v>86</v>
      </c>
      <c r="B34" s="6" t="s">
        <v>87</v>
      </c>
      <c r="C34" s="6"/>
      <c r="D34" s="5" t="s">
        <v>29</v>
      </c>
      <c r="E34" s="5" t="s">
        <v>11</v>
      </c>
      <c r="F34" s="5" t="s">
        <v>11</v>
      </c>
      <c r="G34" s="5" t="s">
        <v>11</v>
      </c>
      <c r="H34" s="7">
        <v>2</v>
      </c>
      <c r="I34" s="8">
        <v>45000</v>
      </c>
      <c r="J34" s="8"/>
      <c r="K34" s="8">
        <v>0</v>
      </c>
      <c r="L34" s="8">
        <v>0</v>
      </c>
      <c r="M34" s="8"/>
      <c r="N34" s="8">
        <f>I34-L34</f>
        <v>45000</v>
      </c>
      <c r="O34" s="8">
        <v>0</v>
      </c>
      <c r="P34" s="8">
        <v>0</v>
      </c>
      <c r="Q34" s="8"/>
      <c r="R34" s="8">
        <v>0</v>
      </c>
      <c r="S34" s="8">
        <v>0</v>
      </c>
    </row>
    <row r="35" ht="31.5" customHeight="1" spans="1:19" x14ac:dyDescent="0.25">
      <c r="A35" s="5" t="s">
        <v>88</v>
      </c>
      <c r="B35" s="6" t="s">
        <v>89</v>
      </c>
      <c r="C35" s="6"/>
      <c r="D35" s="5" t="s">
        <v>29</v>
      </c>
      <c r="E35" s="5" t="s">
        <v>11</v>
      </c>
      <c r="F35" s="5" t="s">
        <v>11</v>
      </c>
      <c r="G35" s="5" t="s">
        <v>11</v>
      </c>
      <c r="H35" s="7">
        <v>1</v>
      </c>
      <c r="I35" s="8">
        <v>50000</v>
      </c>
      <c r="J35" s="8"/>
      <c r="K35" s="8">
        <v>0</v>
      </c>
      <c r="L35" s="8">
        <v>0</v>
      </c>
      <c r="M35" s="8"/>
      <c r="N35" s="8">
        <f>I35-L35</f>
        <v>50000</v>
      </c>
      <c r="O35" s="8">
        <v>0</v>
      </c>
      <c r="P35" s="8">
        <v>0</v>
      </c>
      <c r="Q35" s="8"/>
      <c r="R35" s="8">
        <v>0</v>
      </c>
      <c r="S35" s="8">
        <v>0</v>
      </c>
    </row>
    <row r="36" ht="31.5" customHeight="1" spans="1:19" x14ac:dyDescent="0.25">
      <c r="A36" s="5" t="s">
        <v>90</v>
      </c>
      <c r="B36" s="6" t="s">
        <v>91</v>
      </c>
      <c r="C36" s="6"/>
      <c r="D36" s="5" t="s">
        <v>29</v>
      </c>
      <c r="E36" s="5" t="s">
        <v>11</v>
      </c>
      <c r="F36" s="5" t="s">
        <v>11</v>
      </c>
      <c r="G36" s="5" t="s">
        <v>11</v>
      </c>
      <c r="H36" s="7">
        <v>2</v>
      </c>
      <c r="I36" s="8">
        <v>140000</v>
      </c>
      <c r="J36" s="8"/>
      <c r="K36" s="8">
        <v>0</v>
      </c>
      <c r="L36" s="8">
        <v>58472.73</v>
      </c>
      <c r="M36" s="8"/>
      <c r="N36" s="8">
        <f>I36-L36</f>
        <v>81527.26999999999</v>
      </c>
      <c r="O36" s="8">
        <v>0</v>
      </c>
      <c r="P36" s="8">
        <v>0</v>
      </c>
      <c r="Q36" s="8"/>
      <c r="R36" s="8">
        <v>0</v>
      </c>
      <c r="S36" s="8">
        <v>0</v>
      </c>
    </row>
    <row r="37" ht="31.5" customHeight="1" spans="1:19" x14ac:dyDescent="0.25">
      <c r="A37" s="5" t="s">
        <v>92</v>
      </c>
      <c r="B37" s="6" t="s">
        <v>93</v>
      </c>
      <c r="C37" s="6"/>
      <c r="D37" s="5" t="s">
        <v>29</v>
      </c>
      <c r="E37" s="5" t="s">
        <v>11</v>
      </c>
      <c r="F37" s="5" t="s">
        <v>11</v>
      </c>
      <c r="G37" s="5" t="s">
        <v>11</v>
      </c>
      <c r="H37" s="7">
        <v>1</v>
      </c>
      <c r="I37" s="8">
        <v>28000</v>
      </c>
      <c r="J37" s="8"/>
      <c r="K37" s="8">
        <v>0</v>
      </c>
      <c r="L37" s="8">
        <v>0</v>
      </c>
      <c r="M37" s="8"/>
      <c r="N37" s="8">
        <f>I37-L37</f>
        <v>28000</v>
      </c>
      <c r="O37" s="8">
        <v>0</v>
      </c>
      <c r="P37" s="8">
        <v>0</v>
      </c>
      <c r="Q37" s="8"/>
      <c r="R37" s="8">
        <v>0</v>
      </c>
      <c r="S37" s="8">
        <v>0</v>
      </c>
    </row>
    <row r="38" ht="31.5" customHeight="1" spans="1:19" x14ac:dyDescent="0.25">
      <c r="A38" s="5" t="s">
        <v>94</v>
      </c>
      <c r="B38" s="6" t="s">
        <v>95</v>
      </c>
      <c r="C38" s="6"/>
      <c r="D38" s="5" t="s">
        <v>29</v>
      </c>
      <c r="E38" s="5" t="s">
        <v>11</v>
      </c>
      <c r="F38" s="5" t="s">
        <v>11</v>
      </c>
      <c r="G38" s="5" t="s">
        <v>11</v>
      </c>
      <c r="H38" s="7">
        <v>1</v>
      </c>
      <c r="I38" s="8">
        <v>15000</v>
      </c>
      <c r="J38" s="8"/>
      <c r="K38" s="8">
        <v>0</v>
      </c>
      <c r="L38" s="8">
        <v>4527.77</v>
      </c>
      <c r="M38" s="8"/>
      <c r="N38" s="8">
        <f>I38-L38</f>
        <v>10472.23</v>
      </c>
      <c r="O38" s="8">
        <v>0</v>
      </c>
      <c r="P38" s="8">
        <v>0</v>
      </c>
      <c r="Q38" s="8"/>
      <c r="R38" s="8">
        <v>0</v>
      </c>
      <c r="S38" s="8">
        <v>0</v>
      </c>
    </row>
    <row r="39" ht="31.5" customHeight="1" spans="1:19" x14ac:dyDescent="0.25">
      <c r="A39" s="5" t="s">
        <v>96</v>
      </c>
      <c r="B39" s="6" t="s">
        <v>97</v>
      </c>
      <c r="C39" s="6"/>
      <c r="D39" s="5" t="s">
        <v>29</v>
      </c>
      <c r="E39" s="5" t="s">
        <v>11</v>
      </c>
      <c r="F39" s="5" t="s">
        <v>11</v>
      </c>
      <c r="G39" s="5" t="s">
        <v>11</v>
      </c>
      <c r="H39" s="7">
        <v>1</v>
      </c>
      <c r="I39" s="8">
        <v>15000</v>
      </c>
      <c r="J39" s="8"/>
      <c r="K39" s="8">
        <v>0</v>
      </c>
      <c r="L39" s="8">
        <v>4527.77</v>
      </c>
      <c r="M39" s="8"/>
      <c r="N39" s="8">
        <f>I39-L39</f>
        <v>10472.23</v>
      </c>
      <c r="O39" s="8">
        <v>0</v>
      </c>
      <c r="P39" s="8">
        <v>0</v>
      </c>
      <c r="Q39" s="8"/>
      <c r="R39" s="8">
        <v>0</v>
      </c>
      <c r="S39" s="8">
        <v>0</v>
      </c>
    </row>
    <row r="40" ht="31.5" customHeight="1" spans="1:19" x14ac:dyDescent="0.25">
      <c r="A40" s="5" t="s">
        <v>98</v>
      </c>
      <c r="B40" s="6" t="s">
        <v>99</v>
      </c>
      <c r="C40" s="6"/>
      <c r="D40" s="5" t="s">
        <v>29</v>
      </c>
      <c r="E40" s="5" t="s">
        <v>11</v>
      </c>
      <c r="F40" s="5" t="s">
        <v>11</v>
      </c>
      <c r="G40" s="5" t="s">
        <v>11</v>
      </c>
      <c r="H40" s="7">
        <v>1</v>
      </c>
      <c r="I40" s="8">
        <v>15000</v>
      </c>
      <c r="J40" s="8"/>
      <c r="K40" s="8">
        <v>0</v>
      </c>
      <c r="L40" s="8">
        <v>4527.77</v>
      </c>
      <c r="M40" s="8"/>
      <c r="N40" s="8">
        <f>I40-L40</f>
        <v>10472.23</v>
      </c>
      <c r="O40" s="8">
        <v>0</v>
      </c>
      <c r="P40" s="8">
        <v>0</v>
      </c>
      <c r="Q40" s="8"/>
      <c r="R40" s="8">
        <v>0</v>
      </c>
      <c r="S40" s="8">
        <v>0</v>
      </c>
    </row>
    <row r="41" ht="31.5" customHeight="1" spans="1:19" x14ac:dyDescent="0.25">
      <c r="A41" s="5" t="s">
        <v>100</v>
      </c>
      <c r="B41" s="6" t="s">
        <v>101</v>
      </c>
      <c r="C41" s="6"/>
      <c r="D41" s="5" t="s">
        <v>29</v>
      </c>
      <c r="E41" s="5" t="s">
        <v>11</v>
      </c>
      <c r="F41" s="5" t="s">
        <v>11</v>
      </c>
      <c r="G41" s="5" t="s">
        <v>11</v>
      </c>
      <c r="H41" s="7">
        <v>3</v>
      </c>
      <c r="I41" s="8">
        <v>350000</v>
      </c>
      <c r="J41" s="8"/>
      <c r="K41" s="8">
        <v>0</v>
      </c>
      <c r="L41" s="8">
        <v>0</v>
      </c>
      <c r="M41" s="8"/>
      <c r="N41" s="8">
        <f>I41-L41</f>
        <v>350000</v>
      </c>
      <c r="O41" s="8">
        <v>0</v>
      </c>
      <c r="P41" s="8">
        <v>0</v>
      </c>
      <c r="Q41" s="8"/>
      <c r="R41" s="8">
        <v>0</v>
      </c>
      <c r="S41" s="8">
        <v>0</v>
      </c>
    </row>
    <row r="42" ht="31.5" customHeight="1" spans="1:19" x14ac:dyDescent="0.25">
      <c r="A42" s="5" t="s">
        <v>102</v>
      </c>
      <c r="B42" s="6" t="s">
        <v>103</v>
      </c>
      <c r="C42" s="6"/>
      <c r="D42" s="5" t="s">
        <v>29</v>
      </c>
      <c r="E42" s="5" t="s">
        <v>11</v>
      </c>
      <c r="F42" s="5" t="s">
        <v>11</v>
      </c>
      <c r="G42" s="5" t="s">
        <v>11</v>
      </c>
      <c r="H42" s="7">
        <v>3</v>
      </c>
      <c r="I42" s="8">
        <v>87000</v>
      </c>
      <c r="J42" s="8"/>
      <c r="K42" s="8">
        <v>0</v>
      </c>
      <c r="L42" s="8">
        <v>0</v>
      </c>
      <c r="M42" s="8"/>
      <c r="N42" s="8">
        <f>I42-L42</f>
        <v>87000</v>
      </c>
      <c r="O42" s="8">
        <v>0</v>
      </c>
      <c r="P42" s="8">
        <v>0</v>
      </c>
      <c r="Q42" s="8"/>
      <c r="R42" s="8">
        <v>0</v>
      </c>
      <c r="S42" s="8">
        <v>0</v>
      </c>
    </row>
    <row r="43" ht="31.5" customHeight="1" spans="1:19" x14ac:dyDescent="0.25">
      <c r="A43" s="5" t="s">
        <v>104</v>
      </c>
      <c r="B43" s="6" t="s">
        <v>105</v>
      </c>
      <c r="C43" s="6"/>
      <c r="D43" s="5" t="s">
        <v>29</v>
      </c>
      <c r="E43" s="5" t="s">
        <v>11</v>
      </c>
      <c r="F43" s="5" t="s">
        <v>11</v>
      </c>
      <c r="G43" s="5" t="s">
        <v>11</v>
      </c>
      <c r="H43" s="7">
        <v>1</v>
      </c>
      <c r="I43" s="8">
        <v>45000</v>
      </c>
      <c r="J43" s="8"/>
      <c r="K43" s="8">
        <v>0</v>
      </c>
      <c r="L43" s="8">
        <v>0</v>
      </c>
      <c r="M43" s="8"/>
      <c r="N43" s="8">
        <f>I43-L43</f>
        <v>45000</v>
      </c>
      <c r="O43" s="8">
        <v>0</v>
      </c>
      <c r="P43" s="8">
        <v>0</v>
      </c>
      <c r="Q43" s="8"/>
      <c r="R43" s="8">
        <v>0</v>
      </c>
      <c r="S43" s="8">
        <v>0</v>
      </c>
    </row>
    <row r="44" ht="31.5" customHeight="1" spans="1:19" x14ac:dyDescent="0.25">
      <c r="A44" s="5" t="s">
        <v>106</v>
      </c>
      <c r="B44" s="6" t="s">
        <v>107</v>
      </c>
      <c r="C44" s="6"/>
      <c r="D44" s="5" t="s">
        <v>29</v>
      </c>
      <c r="E44" s="5" t="s">
        <v>11</v>
      </c>
      <c r="F44" s="5" t="s">
        <v>11</v>
      </c>
      <c r="G44" s="5" t="s">
        <v>11</v>
      </c>
      <c r="H44" s="7">
        <v>1</v>
      </c>
      <c r="I44" s="8">
        <v>10000</v>
      </c>
      <c r="J44" s="8"/>
      <c r="K44" s="8">
        <v>0</v>
      </c>
      <c r="L44" s="8">
        <v>2087.18</v>
      </c>
      <c r="M44" s="8"/>
      <c r="N44" s="8">
        <f>I44-L44</f>
        <v>7912.82</v>
      </c>
      <c r="O44" s="8">
        <v>0</v>
      </c>
      <c r="P44" s="8">
        <v>0</v>
      </c>
      <c r="Q44" s="8"/>
      <c r="R44" s="8">
        <v>0</v>
      </c>
      <c r="S44" s="8">
        <v>0</v>
      </c>
    </row>
    <row r="45" ht="31.5" customHeight="1" spans="1:19" x14ac:dyDescent="0.25">
      <c r="A45" s="5" t="s">
        <v>108</v>
      </c>
      <c r="B45" s="6" t="s">
        <v>109</v>
      </c>
      <c r="C45" s="6"/>
      <c r="D45" s="5" t="s">
        <v>29</v>
      </c>
      <c r="E45" s="5" t="s">
        <v>11</v>
      </c>
      <c r="F45" s="5" t="s">
        <v>11</v>
      </c>
      <c r="G45" s="5" t="s">
        <v>11</v>
      </c>
      <c r="H45" s="7">
        <v>1</v>
      </c>
      <c r="I45" s="8">
        <v>40000</v>
      </c>
      <c r="J45" s="8"/>
      <c r="K45" s="8">
        <v>0</v>
      </c>
      <c r="L45" s="8">
        <v>0</v>
      </c>
      <c r="M45" s="8"/>
      <c r="N45" s="8">
        <f>I45-L45</f>
        <v>40000</v>
      </c>
      <c r="O45" s="8">
        <v>0</v>
      </c>
      <c r="P45" s="8">
        <v>0</v>
      </c>
      <c r="Q45" s="8"/>
      <c r="R45" s="8">
        <v>0</v>
      </c>
      <c r="S45" s="8">
        <v>0</v>
      </c>
    </row>
    <row r="46" ht="31.5" customHeight="1" spans="1:19" x14ac:dyDescent="0.25">
      <c r="A46" s="5" t="s">
        <v>110</v>
      </c>
      <c r="B46" s="6" t="s">
        <v>111</v>
      </c>
      <c r="C46" s="6"/>
      <c r="D46" s="5" t="s">
        <v>29</v>
      </c>
      <c r="E46" s="5" t="s">
        <v>11</v>
      </c>
      <c r="F46" s="5" t="s">
        <v>11</v>
      </c>
      <c r="G46" s="5" t="s">
        <v>11</v>
      </c>
      <c r="H46" s="7">
        <v>8</v>
      </c>
      <c r="I46" s="8">
        <v>400000</v>
      </c>
      <c r="J46" s="8"/>
      <c r="K46" s="8">
        <v>0</v>
      </c>
      <c r="L46" s="8">
        <v>0</v>
      </c>
      <c r="M46" s="8"/>
      <c r="N46" s="8">
        <f>I46-L46</f>
        <v>400000</v>
      </c>
      <c r="O46" s="8">
        <v>0</v>
      </c>
      <c r="P46" s="8">
        <v>0</v>
      </c>
      <c r="Q46" s="8"/>
      <c r="R46" s="8">
        <v>0</v>
      </c>
      <c r="S46" s="8">
        <v>0</v>
      </c>
    </row>
    <row r="47" ht="31.5" customHeight="1" spans="1:19" x14ac:dyDescent="0.25">
      <c r="A47" s="5" t="s">
        <v>112</v>
      </c>
      <c r="B47" s="6" t="s">
        <v>113</v>
      </c>
      <c r="C47" s="6"/>
      <c r="D47" s="5" t="s">
        <v>29</v>
      </c>
      <c r="E47" s="5" t="s">
        <v>11</v>
      </c>
      <c r="F47" s="5" t="s">
        <v>11</v>
      </c>
      <c r="G47" s="5" t="s">
        <v>11</v>
      </c>
      <c r="H47" s="7">
        <v>1</v>
      </c>
      <c r="I47" s="8">
        <v>15000</v>
      </c>
      <c r="J47" s="8"/>
      <c r="K47" s="8">
        <v>0</v>
      </c>
      <c r="L47" s="8">
        <v>4527.77</v>
      </c>
      <c r="M47" s="8"/>
      <c r="N47" s="8">
        <f>I47-L47</f>
        <v>10472.23</v>
      </c>
      <c r="O47" s="8">
        <v>0</v>
      </c>
      <c r="P47" s="8">
        <v>0</v>
      </c>
      <c r="Q47" s="8"/>
      <c r="R47" s="8">
        <v>0</v>
      </c>
      <c r="S47" s="8">
        <v>0</v>
      </c>
    </row>
    <row r="48" ht="31.5" customHeight="1" spans="1:19" x14ac:dyDescent="0.25">
      <c r="A48" s="5" t="s">
        <v>114</v>
      </c>
      <c r="B48" s="6" t="s">
        <v>115</v>
      </c>
      <c r="C48" s="6"/>
      <c r="D48" s="5" t="s">
        <v>29</v>
      </c>
      <c r="E48" s="5" t="s">
        <v>11</v>
      </c>
      <c r="F48" s="5" t="s">
        <v>11</v>
      </c>
      <c r="G48" s="5" t="s">
        <v>11</v>
      </c>
      <c r="H48" s="7">
        <v>1</v>
      </c>
      <c r="I48" s="8">
        <v>120000</v>
      </c>
      <c r="J48" s="8"/>
      <c r="K48" s="8">
        <v>0</v>
      </c>
      <c r="L48" s="8">
        <v>78585.42</v>
      </c>
      <c r="M48" s="8"/>
      <c r="N48" s="8">
        <f>I48-L48</f>
        <v>41414.58</v>
      </c>
      <c r="O48" s="8">
        <v>0</v>
      </c>
      <c r="P48" s="8">
        <v>0</v>
      </c>
      <c r="Q48" s="8"/>
      <c r="R48" s="8">
        <v>0</v>
      </c>
      <c r="S48" s="8">
        <v>0</v>
      </c>
    </row>
    <row r="49" ht="31.5" customHeight="1" spans="1:19" x14ac:dyDescent="0.25">
      <c r="A49" s="5" t="s">
        <v>116</v>
      </c>
      <c r="B49" s="6" t="s">
        <v>117</v>
      </c>
      <c r="C49" s="6"/>
      <c r="D49" s="5" t="s">
        <v>29</v>
      </c>
      <c r="E49" s="5" t="s">
        <v>11</v>
      </c>
      <c r="F49" s="5" t="s">
        <v>11</v>
      </c>
      <c r="G49" s="5" t="s">
        <v>11</v>
      </c>
      <c r="H49" s="7">
        <v>1</v>
      </c>
      <c r="I49" s="8">
        <v>150000</v>
      </c>
      <c r="J49" s="8"/>
      <c r="K49" s="8">
        <v>0</v>
      </c>
      <c r="L49" s="8">
        <v>0</v>
      </c>
      <c r="M49" s="8"/>
      <c r="N49" s="8">
        <f>I49-L49</f>
        <v>150000</v>
      </c>
      <c r="O49" s="8">
        <v>0</v>
      </c>
      <c r="P49" s="8">
        <v>0</v>
      </c>
      <c r="Q49" s="8"/>
      <c r="R49" s="8">
        <v>0</v>
      </c>
      <c r="S49" s="8">
        <v>0</v>
      </c>
    </row>
    <row r="50" ht="31.5" customHeight="1" spans="1:19" x14ac:dyDescent="0.25">
      <c r="A50" s="5" t="s">
        <v>118</v>
      </c>
      <c r="B50" s="6" t="s">
        <v>119</v>
      </c>
      <c r="C50" s="6"/>
      <c r="D50" s="5" t="s">
        <v>29</v>
      </c>
      <c r="E50" s="5" t="s">
        <v>11</v>
      </c>
      <c r="F50" s="5" t="s">
        <v>11</v>
      </c>
      <c r="G50" s="5" t="s">
        <v>11</v>
      </c>
      <c r="H50" s="7">
        <v>1</v>
      </c>
      <c r="I50" s="8">
        <v>40000</v>
      </c>
      <c r="J50" s="8"/>
      <c r="K50" s="8">
        <v>0</v>
      </c>
      <c r="L50" s="8">
        <v>0</v>
      </c>
      <c r="M50" s="8"/>
      <c r="N50" s="8">
        <f>I50-L50</f>
        <v>40000</v>
      </c>
      <c r="O50" s="8">
        <v>0</v>
      </c>
      <c r="P50" s="8">
        <v>0</v>
      </c>
      <c r="Q50" s="8"/>
      <c r="R50" s="8">
        <v>0</v>
      </c>
      <c r="S50" s="8">
        <v>0</v>
      </c>
    </row>
    <row r="51" ht="31.5" customHeight="1" spans="1:19" x14ac:dyDescent="0.25">
      <c r="A51" s="5" t="s">
        <v>120</v>
      </c>
      <c r="B51" s="6" t="s">
        <v>121</v>
      </c>
      <c r="C51" s="6"/>
      <c r="D51" s="5" t="s">
        <v>29</v>
      </c>
      <c r="E51" s="5" t="s">
        <v>11</v>
      </c>
      <c r="F51" s="5" t="s">
        <v>11</v>
      </c>
      <c r="G51" s="5" t="s">
        <v>11</v>
      </c>
      <c r="H51" s="7">
        <v>1</v>
      </c>
      <c r="I51" s="8">
        <v>35000</v>
      </c>
      <c r="J51" s="8"/>
      <c r="K51" s="8">
        <v>0</v>
      </c>
      <c r="L51" s="8">
        <v>0</v>
      </c>
      <c r="M51" s="8"/>
      <c r="N51" s="8">
        <f>I51-L51</f>
        <v>35000</v>
      </c>
      <c r="O51" s="8">
        <v>0</v>
      </c>
      <c r="P51" s="8">
        <v>0</v>
      </c>
      <c r="Q51" s="8"/>
      <c r="R51" s="8">
        <v>0</v>
      </c>
      <c r="S51" s="8">
        <v>0</v>
      </c>
    </row>
    <row r="52" ht="31.5" customHeight="1" spans="1:19" x14ac:dyDescent="0.25">
      <c r="A52" s="5" t="s">
        <v>122</v>
      </c>
      <c r="B52" s="6" t="s">
        <v>123</v>
      </c>
      <c r="C52" s="6"/>
      <c r="D52" s="5" t="s">
        <v>29</v>
      </c>
      <c r="E52" s="5" t="s">
        <v>11</v>
      </c>
      <c r="F52" s="5" t="s">
        <v>11</v>
      </c>
      <c r="G52" s="5" t="s">
        <v>11</v>
      </c>
      <c r="H52" s="7">
        <v>2</v>
      </c>
      <c r="I52" s="8">
        <v>80000</v>
      </c>
      <c r="J52" s="8"/>
      <c r="K52" s="8">
        <v>0</v>
      </c>
      <c r="L52" s="8">
        <v>0</v>
      </c>
      <c r="M52" s="8"/>
      <c r="N52" s="8">
        <f>I52-L52</f>
        <v>80000</v>
      </c>
      <c r="O52" s="8">
        <v>0</v>
      </c>
      <c r="P52" s="8">
        <v>0</v>
      </c>
      <c r="Q52" s="8"/>
      <c r="R52" s="8">
        <v>0</v>
      </c>
      <c r="S52" s="8">
        <v>0</v>
      </c>
    </row>
    <row r="53" ht="31.5" customHeight="1" spans="1:19" x14ac:dyDescent="0.25">
      <c r="A53" s="5" t="s">
        <v>124</v>
      </c>
      <c r="B53" s="6" t="s">
        <v>125</v>
      </c>
      <c r="C53" s="6"/>
      <c r="D53" s="5" t="s">
        <v>29</v>
      </c>
      <c r="E53" s="5" t="s">
        <v>11</v>
      </c>
      <c r="F53" s="5" t="s">
        <v>11</v>
      </c>
      <c r="G53" s="5" t="s">
        <v>11</v>
      </c>
      <c r="H53" s="7">
        <v>1</v>
      </c>
      <c r="I53" s="8">
        <v>15000</v>
      </c>
      <c r="J53" s="8"/>
      <c r="K53" s="8">
        <v>0</v>
      </c>
      <c r="L53" s="8">
        <v>4527.77</v>
      </c>
      <c r="M53" s="8"/>
      <c r="N53" s="8">
        <f>I53-L53</f>
        <v>10472.23</v>
      </c>
      <c r="O53" s="8">
        <v>0</v>
      </c>
      <c r="P53" s="8">
        <v>0</v>
      </c>
      <c r="Q53" s="8"/>
      <c r="R53" s="8">
        <v>0</v>
      </c>
      <c r="S53" s="8">
        <v>0</v>
      </c>
    </row>
    <row r="54" ht="31.5" customHeight="1" spans="1:19" x14ac:dyDescent="0.25">
      <c r="A54" s="5" t="s">
        <v>126</v>
      </c>
      <c r="B54" s="6" t="s">
        <v>127</v>
      </c>
      <c r="C54" s="6"/>
      <c r="D54" s="5" t="s">
        <v>29</v>
      </c>
      <c r="E54" s="5" t="s">
        <v>11</v>
      </c>
      <c r="F54" s="5" t="s">
        <v>11</v>
      </c>
      <c r="G54" s="5" t="s">
        <v>11</v>
      </c>
      <c r="H54" s="7">
        <v>1</v>
      </c>
      <c r="I54" s="8">
        <v>15000</v>
      </c>
      <c r="J54" s="8"/>
      <c r="K54" s="8">
        <v>0</v>
      </c>
      <c r="L54" s="8">
        <v>4527.77</v>
      </c>
      <c r="M54" s="8"/>
      <c r="N54" s="8">
        <f>I54-L54</f>
        <v>10472.23</v>
      </c>
      <c r="O54" s="8">
        <v>0</v>
      </c>
      <c r="P54" s="8">
        <v>0</v>
      </c>
      <c r="Q54" s="8"/>
      <c r="R54" s="8">
        <v>0</v>
      </c>
      <c r="S54" s="8">
        <v>0</v>
      </c>
    </row>
    <row r="55" ht="31.5" customHeight="1" spans="1:19" x14ac:dyDescent="0.25">
      <c r="A55" s="5" t="s">
        <v>128</v>
      </c>
      <c r="B55" s="6" t="s">
        <v>129</v>
      </c>
      <c r="C55" s="6"/>
      <c r="D55" s="5" t="s">
        <v>29</v>
      </c>
      <c r="E55" s="5" t="s">
        <v>11</v>
      </c>
      <c r="F55" s="5" t="s">
        <v>11</v>
      </c>
      <c r="G55" s="5" t="s">
        <v>11</v>
      </c>
      <c r="H55" s="7">
        <v>11</v>
      </c>
      <c r="I55" s="8">
        <v>152000</v>
      </c>
      <c r="J55" s="8"/>
      <c r="K55" s="8">
        <v>0</v>
      </c>
      <c r="L55" s="8">
        <v>58314.95</v>
      </c>
      <c r="M55" s="8"/>
      <c r="N55" s="8">
        <f>I55-L55</f>
        <v>93685.05</v>
      </c>
      <c r="O55" s="8">
        <v>0</v>
      </c>
      <c r="P55" s="8">
        <v>0</v>
      </c>
      <c r="Q55" s="8"/>
      <c r="R55" s="8">
        <v>0</v>
      </c>
      <c r="S55" s="8">
        <v>0</v>
      </c>
    </row>
    <row r="56" ht="31.5" customHeight="1" spans="1:19" x14ac:dyDescent="0.25">
      <c r="A56" s="5" t="s">
        <v>130</v>
      </c>
      <c r="B56" s="6" t="s">
        <v>131</v>
      </c>
      <c r="C56" s="6"/>
      <c r="D56" s="5" t="s">
        <v>29</v>
      </c>
      <c r="E56" s="5" t="s">
        <v>11</v>
      </c>
      <c r="F56" s="5" t="s">
        <v>11</v>
      </c>
      <c r="G56" s="5" t="s">
        <v>11</v>
      </c>
      <c r="H56" s="7">
        <v>2</v>
      </c>
      <c r="I56" s="8">
        <v>100000</v>
      </c>
      <c r="J56" s="8"/>
      <c r="K56" s="8">
        <v>0</v>
      </c>
      <c r="L56" s="8">
        <v>0</v>
      </c>
      <c r="M56" s="8"/>
      <c r="N56" s="8">
        <f>I56-L56</f>
        <v>100000</v>
      </c>
      <c r="O56" s="8">
        <v>0</v>
      </c>
      <c r="P56" s="8">
        <v>0</v>
      </c>
      <c r="Q56" s="8"/>
      <c r="R56" s="8">
        <v>0</v>
      </c>
      <c r="S56" s="8">
        <v>0</v>
      </c>
    </row>
    <row r="57" ht="31.5" customHeight="1" spans="1:19" x14ac:dyDescent="0.25">
      <c r="A57" s="5" t="s">
        <v>132</v>
      </c>
      <c r="B57" s="6" t="s">
        <v>133</v>
      </c>
      <c r="C57" s="6"/>
      <c r="D57" s="5" t="s">
        <v>29</v>
      </c>
      <c r="E57" s="5" t="s">
        <v>11</v>
      </c>
      <c r="F57" s="5" t="s">
        <v>11</v>
      </c>
      <c r="G57" s="5" t="s">
        <v>11</v>
      </c>
      <c r="H57" s="7">
        <v>1</v>
      </c>
      <c r="I57" s="8">
        <v>90000</v>
      </c>
      <c r="J57" s="8"/>
      <c r="K57" s="8">
        <v>0</v>
      </c>
      <c r="L57" s="8">
        <v>58472.73</v>
      </c>
      <c r="M57" s="8"/>
      <c r="N57" s="8">
        <f>I57-L57</f>
        <v>31527.269999999997</v>
      </c>
      <c r="O57" s="8">
        <v>0</v>
      </c>
      <c r="P57" s="8">
        <v>0</v>
      </c>
      <c r="Q57" s="8"/>
      <c r="R57" s="8">
        <v>0</v>
      </c>
      <c r="S57" s="8">
        <v>0</v>
      </c>
    </row>
    <row r="58" ht="31.5" customHeight="1" spans="1:19" x14ac:dyDescent="0.25">
      <c r="A58" s="5" t="s">
        <v>134</v>
      </c>
      <c r="B58" s="6" t="s">
        <v>135</v>
      </c>
      <c r="C58" s="6"/>
      <c r="D58" s="5" t="s">
        <v>29</v>
      </c>
      <c r="E58" s="5" t="s">
        <v>11</v>
      </c>
      <c r="F58" s="5" t="s">
        <v>11</v>
      </c>
      <c r="G58" s="5" t="s">
        <v>11</v>
      </c>
      <c r="H58" s="7">
        <v>1</v>
      </c>
      <c r="I58" s="8">
        <v>15000</v>
      </c>
      <c r="J58" s="8"/>
      <c r="K58" s="8">
        <v>0</v>
      </c>
      <c r="L58" s="8">
        <v>7950</v>
      </c>
      <c r="M58" s="8"/>
      <c r="N58" s="8">
        <f>I58-L58</f>
        <v>7050</v>
      </c>
      <c r="O58" s="8">
        <v>0</v>
      </c>
      <c r="P58" s="8">
        <v>0</v>
      </c>
      <c r="Q58" s="8"/>
      <c r="R58" s="8">
        <v>0</v>
      </c>
      <c r="S58" s="8">
        <v>0</v>
      </c>
    </row>
    <row r="59" ht="31.5" customHeight="1" spans="1:19" x14ac:dyDescent="0.25">
      <c r="A59" s="5" t="s">
        <v>136</v>
      </c>
      <c r="B59" s="6" t="s">
        <v>137</v>
      </c>
      <c r="C59" s="6"/>
      <c r="D59" s="5" t="s">
        <v>138</v>
      </c>
      <c r="E59" s="5" t="s">
        <v>11</v>
      </c>
      <c r="F59" s="5" t="s">
        <v>11</v>
      </c>
      <c r="G59" s="5" t="s">
        <v>11</v>
      </c>
      <c r="H59" s="7">
        <v>1</v>
      </c>
      <c r="I59" s="8">
        <v>50000</v>
      </c>
      <c r="J59" s="8"/>
      <c r="K59" s="8">
        <v>0</v>
      </c>
      <c r="L59" s="8">
        <v>0</v>
      </c>
      <c r="M59" s="8"/>
      <c r="N59" s="8">
        <f>I59-L59</f>
        <v>50000</v>
      </c>
      <c r="O59" s="8">
        <v>0</v>
      </c>
      <c r="P59" s="8">
        <v>0</v>
      </c>
      <c r="Q59" s="8"/>
      <c r="R59" s="8">
        <v>0</v>
      </c>
      <c r="S59" s="8">
        <v>0</v>
      </c>
    </row>
    <row r="60" ht="31.5" customHeight="1" spans="1:19" x14ac:dyDescent="0.25">
      <c r="A60" s="5" t="s">
        <v>139</v>
      </c>
      <c r="B60" s="6" t="s">
        <v>140</v>
      </c>
      <c r="C60" s="6"/>
      <c r="D60" s="5" t="s">
        <v>138</v>
      </c>
      <c r="E60" s="5" t="s">
        <v>11</v>
      </c>
      <c r="F60" s="5" t="s">
        <v>11</v>
      </c>
      <c r="G60" s="5" t="s">
        <v>11</v>
      </c>
      <c r="H60" s="7">
        <v>4</v>
      </c>
      <c r="I60" s="8">
        <v>160000</v>
      </c>
      <c r="J60" s="8"/>
      <c r="K60" s="8">
        <v>0</v>
      </c>
      <c r="L60" s="8">
        <v>0</v>
      </c>
      <c r="M60" s="8"/>
      <c r="N60" s="8">
        <f>I60-L60</f>
        <v>160000</v>
      </c>
      <c r="O60" s="8">
        <v>0</v>
      </c>
      <c r="P60" s="8">
        <v>0</v>
      </c>
      <c r="Q60" s="8"/>
      <c r="R60" s="8">
        <v>0</v>
      </c>
      <c r="S60" s="8">
        <v>0</v>
      </c>
    </row>
    <row r="61" ht="31.5" customHeight="1" spans="1:19" x14ac:dyDescent="0.25">
      <c r="A61" s="5" t="s">
        <v>141</v>
      </c>
      <c r="B61" s="6" t="s">
        <v>142</v>
      </c>
      <c r="C61" s="6"/>
      <c r="D61" s="5" t="s">
        <v>138</v>
      </c>
      <c r="E61" s="5" t="s">
        <v>11</v>
      </c>
      <c r="F61" s="5" t="s">
        <v>11</v>
      </c>
      <c r="G61" s="5" t="s">
        <v>11</v>
      </c>
      <c r="H61" s="7">
        <v>1</v>
      </c>
      <c r="I61" s="8">
        <v>28000</v>
      </c>
      <c r="J61" s="8"/>
      <c r="K61" s="8">
        <v>0</v>
      </c>
      <c r="L61" s="8">
        <v>0</v>
      </c>
      <c r="M61" s="8"/>
      <c r="N61" s="8">
        <f>I61-L61</f>
        <v>28000</v>
      </c>
      <c r="O61" s="8">
        <v>0</v>
      </c>
      <c r="P61" s="8">
        <v>0</v>
      </c>
      <c r="Q61" s="8"/>
      <c r="R61" s="8">
        <v>0</v>
      </c>
      <c r="S61" s="8">
        <v>0</v>
      </c>
    </row>
    <row r="62" ht="31.5" customHeight="1" spans="1:19" x14ac:dyDescent="0.25">
      <c r="A62" s="5" t="s">
        <v>143</v>
      </c>
      <c r="B62" s="6" t="s">
        <v>144</v>
      </c>
      <c r="C62" s="6"/>
      <c r="D62" s="5" t="s">
        <v>138</v>
      </c>
      <c r="E62" s="5" t="s">
        <v>11</v>
      </c>
      <c r="F62" s="5" t="s">
        <v>11</v>
      </c>
      <c r="G62" s="5" t="s">
        <v>11</v>
      </c>
      <c r="H62" s="7">
        <v>1</v>
      </c>
      <c r="I62" s="8">
        <v>90000</v>
      </c>
      <c r="J62" s="8"/>
      <c r="K62" s="8">
        <v>0</v>
      </c>
      <c r="L62" s="8">
        <v>58472.73</v>
      </c>
      <c r="M62" s="8"/>
      <c r="N62" s="8">
        <f>I62-L62</f>
        <v>31527.269999999997</v>
      </c>
      <c r="O62" s="8">
        <v>0</v>
      </c>
      <c r="P62" s="8">
        <v>0</v>
      </c>
      <c r="Q62" s="8"/>
      <c r="R62" s="8">
        <v>0</v>
      </c>
      <c r="S62" s="8">
        <v>0</v>
      </c>
    </row>
    <row r="63" ht="31.5" customHeight="1" spans="1:19" x14ac:dyDescent="0.25">
      <c r="A63" s="5" t="s">
        <v>145</v>
      </c>
      <c r="B63" s="6" t="s">
        <v>146</v>
      </c>
      <c r="C63" s="6"/>
      <c r="D63" s="5" t="s">
        <v>138</v>
      </c>
      <c r="E63" s="5" t="s">
        <v>11</v>
      </c>
      <c r="F63" s="5" t="s">
        <v>11</v>
      </c>
      <c r="G63" s="5" t="s">
        <v>11</v>
      </c>
      <c r="H63" s="7">
        <v>1</v>
      </c>
      <c r="I63" s="8">
        <v>12000</v>
      </c>
      <c r="J63" s="8"/>
      <c r="K63" s="8">
        <v>0</v>
      </c>
      <c r="L63" s="8">
        <v>6250</v>
      </c>
      <c r="M63" s="8"/>
      <c r="N63" s="8">
        <f>I63-L63</f>
        <v>5750</v>
      </c>
      <c r="O63" s="8">
        <v>0</v>
      </c>
      <c r="P63" s="8">
        <v>0</v>
      </c>
      <c r="Q63" s="8"/>
      <c r="R63" s="8">
        <v>0</v>
      </c>
      <c r="S63" s="8">
        <v>0</v>
      </c>
    </row>
    <row r="64" ht="31.5" customHeight="1" spans="1:19" x14ac:dyDescent="0.25">
      <c r="A64" s="5" t="s">
        <v>147</v>
      </c>
      <c r="B64" s="6" t="s">
        <v>148</v>
      </c>
      <c r="C64" s="6"/>
      <c r="D64" s="5" t="s">
        <v>138</v>
      </c>
      <c r="E64" s="5" t="s">
        <v>11</v>
      </c>
      <c r="F64" s="5" t="s">
        <v>11</v>
      </c>
      <c r="G64" s="5" t="s">
        <v>11</v>
      </c>
      <c r="H64" s="7">
        <v>1</v>
      </c>
      <c r="I64" s="8">
        <v>20000</v>
      </c>
      <c r="J64" s="8"/>
      <c r="K64" s="8">
        <v>0</v>
      </c>
      <c r="L64" s="8">
        <v>10250</v>
      </c>
      <c r="M64" s="8"/>
      <c r="N64" s="8">
        <f>I64-L64</f>
        <v>9750</v>
      </c>
      <c r="O64" s="8">
        <v>0</v>
      </c>
      <c r="P64" s="8">
        <v>0</v>
      </c>
      <c r="Q64" s="8"/>
      <c r="R64" s="8">
        <v>0</v>
      </c>
      <c r="S64" s="8">
        <v>0</v>
      </c>
    </row>
    <row r="65" ht="31.5" customHeight="1" spans="1:19" x14ac:dyDescent="0.25">
      <c r="A65" s="5" t="s">
        <v>149</v>
      </c>
      <c r="B65" s="6" t="s">
        <v>150</v>
      </c>
      <c r="C65" s="6"/>
      <c r="D65" s="5" t="s">
        <v>138</v>
      </c>
      <c r="E65" s="5" t="s">
        <v>11</v>
      </c>
      <c r="F65" s="5" t="s">
        <v>11</v>
      </c>
      <c r="G65" s="5" t="s">
        <v>11</v>
      </c>
      <c r="H65" s="7">
        <v>7</v>
      </c>
      <c r="I65" s="8">
        <v>151000</v>
      </c>
      <c r="J65" s="8"/>
      <c r="K65" s="8">
        <v>0</v>
      </c>
      <c r="L65" s="8">
        <v>20837.18</v>
      </c>
      <c r="M65" s="8"/>
      <c r="N65" s="8">
        <f>I65-L65</f>
        <v>130162.82</v>
      </c>
      <c r="O65" s="8">
        <v>0</v>
      </c>
      <c r="P65" s="8">
        <v>0</v>
      </c>
      <c r="Q65" s="8"/>
      <c r="R65" s="8">
        <v>0</v>
      </c>
      <c r="S65" s="8">
        <v>0</v>
      </c>
    </row>
    <row r="66" ht="31.5" customHeight="1" spans="1:19" x14ac:dyDescent="0.25">
      <c r="A66" s="5" t="s">
        <v>151</v>
      </c>
      <c r="B66" s="6" t="s">
        <v>152</v>
      </c>
      <c r="C66" s="6"/>
      <c r="D66" s="5" t="s">
        <v>138</v>
      </c>
      <c r="E66" s="5" t="s">
        <v>11</v>
      </c>
      <c r="F66" s="5" t="s">
        <v>11</v>
      </c>
      <c r="G66" s="5" t="s">
        <v>11</v>
      </c>
      <c r="H66" s="7">
        <v>4</v>
      </c>
      <c r="I66" s="8">
        <v>810000</v>
      </c>
      <c r="J66" s="8"/>
      <c r="K66" s="8">
        <v>0</v>
      </c>
      <c r="L66" s="8">
        <v>0</v>
      </c>
      <c r="M66" s="8"/>
      <c r="N66" s="8">
        <f>I66-L66</f>
        <v>810000</v>
      </c>
      <c r="O66" s="8">
        <v>0</v>
      </c>
      <c r="P66" s="8">
        <v>0</v>
      </c>
      <c r="Q66" s="8"/>
      <c r="R66" s="8">
        <v>0</v>
      </c>
      <c r="S66" s="8">
        <v>0</v>
      </c>
    </row>
    <row r="67" ht="31.5" customHeight="1" spans="1:19" x14ac:dyDescent="0.25">
      <c r="A67" s="5" t="s">
        <v>153</v>
      </c>
      <c r="B67" s="6" t="s">
        <v>154</v>
      </c>
      <c r="C67" s="6"/>
      <c r="D67" s="5" t="s">
        <v>138</v>
      </c>
      <c r="E67" s="5" t="s">
        <v>11</v>
      </c>
      <c r="F67" s="5" t="s">
        <v>11</v>
      </c>
      <c r="G67" s="5" t="s">
        <v>11</v>
      </c>
      <c r="H67" s="7">
        <v>2</v>
      </c>
      <c r="I67" s="8">
        <v>22000</v>
      </c>
      <c r="J67" s="8"/>
      <c r="K67" s="8">
        <v>0</v>
      </c>
      <c r="L67" s="8">
        <v>8337.18</v>
      </c>
      <c r="M67" s="8"/>
      <c r="N67" s="8">
        <f>I67-L67</f>
        <v>13662.82</v>
      </c>
      <c r="O67" s="8">
        <v>0</v>
      </c>
      <c r="P67" s="8">
        <v>0</v>
      </c>
      <c r="Q67" s="8"/>
      <c r="R67" s="8">
        <v>0</v>
      </c>
      <c r="S67" s="8">
        <v>0</v>
      </c>
    </row>
    <row r="68" ht="31.5" customHeight="1" spans="1:19" x14ac:dyDescent="0.25">
      <c r="A68" s="5" t="s">
        <v>155</v>
      </c>
      <c r="B68" s="6" t="s">
        <v>156</v>
      </c>
      <c r="C68" s="6"/>
      <c r="D68" s="5" t="s">
        <v>138</v>
      </c>
      <c r="E68" s="5" t="s">
        <v>11</v>
      </c>
      <c r="F68" s="5" t="s">
        <v>11</v>
      </c>
      <c r="G68" s="5" t="s">
        <v>11</v>
      </c>
      <c r="H68" s="7">
        <v>2</v>
      </c>
      <c r="I68" s="8">
        <v>24000</v>
      </c>
      <c r="J68" s="8"/>
      <c r="K68" s="8">
        <v>0</v>
      </c>
      <c r="L68" s="8">
        <v>12500</v>
      </c>
      <c r="M68" s="8"/>
      <c r="N68" s="8">
        <f>I68-L68</f>
        <v>11500</v>
      </c>
      <c r="O68" s="8">
        <v>0</v>
      </c>
      <c r="P68" s="8">
        <v>0</v>
      </c>
      <c r="Q68" s="8"/>
      <c r="R68" s="8">
        <v>0</v>
      </c>
      <c r="S68" s="8">
        <v>0</v>
      </c>
    </row>
    <row r="69" ht="31.5" customHeight="1" spans="1:19" x14ac:dyDescent="0.25">
      <c r="A69" s="5" t="s">
        <v>157</v>
      </c>
      <c r="B69" s="6" t="s">
        <v>158</v>
      </c>
      <c r="C69" s="6"/>
      <c r="D69" s="5" t="s">
        <v>138</v>
      </c>
      <c r="E69" s="5" t="s">
        <v>11</v>
      </c>
      <c r="F69" s="5" t="s">
        <v>11</v>
      </c>
      <c r="G69" s="5" t="s">
        <v>11</v>
      </c>
      <c r="H69" s="7">
        <v>1</v>
      </c>
      <c r="I69" s="8">
        <v>25000</v>
      </c>
      <c r="J69" s="8"/>
      <c r="K69" s="8">
        <v>0</v>
      </c>
      <c r="L69" s="8">
        <v>0</v>
      </c>
      <c r="M69" s="8"/>
      <c r="N69" s="8">
        <f>I69-L69</f>
        <v>25000</v>
      </c>
      <c r="O69" s="8">
        <v>0</v>
      </c>
      <c r="P69" s="8">
        <v>0</v>
      </c>
      <c r="Q69" s="8"/>
      <c r="R69" s="8">
        <v>0</v>
      </c>
      <c r="S69" s="8">
        <v>0</v>
      </c>
    </row>
    <row r="70" ht="31.5" customHeight="1" spans="1:19" x14ac:dyDescent="0.25">
      <c r="A70" s="5" t="s">
        <v>159</v>
      </c>
      <c r="B70" s="6" t="s">
        <v>160</v>
      </c>
      <c r="C70" s="6"/>
      <c r="D70" s="5" t="s">
        <v>138</v>
      </c>
      <c r="E70" s="5" t="s">
        <v>11</v>
      </c>
      <c r="F70" s="5" t="s">
        <v>11</v>
      </c>
      <c r="G70" s="5" t="s">
        <v>11</v>
      </c>
      <c r="H70" s="7">
        <v>3</v>
      </c>
      <c r="I70" s="8">
        <v>80000</v>
      </c>
      <c r="J70" s="8"/>
      <c r="K70" s="8">
        <v>0</v>
      </c>
      <c r="L70" s="8">
        <v>12477.77</v>
      </c>
      <c r="M70" s="8"/>
      <c r="N70" s="8">
        <f>I70-L70</f>
        <v>67522.23</v>
      </c>
      <c r="O70" s="8">
        <v>0</v>
      </c>
      <c r="P70" s="8">
        <v>0</v>
      </c>
      <c r="Q70" s="8"/>
      <c r="R70" s="8">
        <v>0</v>
      </c>
      <c r="S70" s="8">
        <v>0</v>
      </c>
    </row>
    <row r="71" ht="31.5" customHeight="1" spans="1:19" x14ac:dyDescent="0.25">
      <c r="A71" s="5" t="s">
        <v>161</v>
      </c>
      <c r="B71" s="6" t="s">
        <v>162</v>
      </c>
      <c r="C71" s="6"/>
      <c r="D71" s="5" t="s">
        <v>138</v>
      </c>
      <c r="E71" s="5" t="s">
        <v>11</v>
      </c>
      <c r="F71" s="5" t="s">
        <v>11</v>
      </c>
      <c r="G71" s="5" t="s">
        <v>11</v>
      </c>
      <c r="H71" s="7">
        <v>4</v>
      </c>
      <c r="I71" s="8">
        <v>540000</v>
      </c>
      <c r="J71" s="8"/>
      <c r="K71" s="8">
        <v>0</v>
      </c>
      <c r="L71" s="8">
        <v>0</v>
      </c>
      <c r="M71" s="8"/>
      <c r="N71" s="8">
        <f>I71-L71</f>
        <v>540000</v>
      </c>
      <c r="O71" s="8">
        <v>0</v>
      </c>
      <c r="P71" s="8">
        <v>0</v>
      </c>
      <c r="Q71" s="8"/>
      <c r="R71" s="8">
        <v>0</v>
      </c>
      <c r="S71" s="8">
        <v>0</v>
      </c>
    </row>
    <row r="72" ht="31.5" customHeight="1" spans="1:19" x14ac:dyDescent="0.25">
      <c r="A72" s="5" t="s">
        <v>163</v>
      </c>
      <c r="B72" s="6" t="s">
        <v>164</v>
      </c>
      <c r="C72" s="6"/>
      <c r="D72" s="5" t="s">
        <v>138</v>
      </c>
      <c r="E72" s="5" t="s">
        <v>11</v>
      </c>
      <c r="F72" s="5" t="s">
        <v>11</v>
      </c>
      <c r="G72" s="5" t="s">
        <v>11</v>
      </c>
      <c r="H72" s="7">
        <v>4</v>
      </c>
      <c r="I72" s="8">
        <v>600000</v>
      </c>
      <c r="J72" s="8"/>
      <c r="K72" s="8">
        <v>0</v>
      </c>
      <c r="L72" s="8">
        <v>0</v>
      </c>
      <c r="M72" s="8"/>
      <c r="N72" s="8">
        <f>I72-L72</f>
        <v>600000</v>
      </c>
      <c r="O72" s="8">
        <v>0</v>
      </c>
      <c r="P72" s="8">
        <v>0</v>
      </c>
      <c r="Q72" s="8"/>
      <c r="R72" s="8">
        <v>0</v>
      </c>
      <c r="S72" s="8">
        <v>0</v>
      </c>
    </row>
    <row r="73" ht="31.5" customHeight="1" spans="1:19" x14ac:dyDescent="0.25">
      <c r="A73" s="5" t="s">
        <v>165</v>
      </c>
      <c r="B73" s="6" t="s">
        <v>166</v>
      </c>
      <c r="C73" s="6"/>
      <c r="D73" s="5" t="s">
        <v>138</v>
      </c>
      <c r="E73" s="5" t="s">
        <v>11</v>
      </c>
      <c r="F73" s="5" t="s">
        <v>11</v>
      </c>
      <c r="G73" s="5" t="s">
        <v>11</v>
      </c>
      <c r="H73" s="7">
        <v>2</v>
      </c>
      <c r="I73" s="8">
        <v>27000</v>
      </c>
      <c r="J73" s="8"/>
      <c r="K73" s="8">
        <v>0</v>
      </c>
      <c r="L73" s="8">
        <v>10777.77</v>
      </c>
      <c r="M73" s="8"/>
      <c r="N73" s="8">
        <f>I73-L73</f>
        <v>16222.23</v>
      </c>
      <c r="O73" s="8">
        <v>0</v>
      </c>
      <c r="P73" s="8">
        <v>0</v>
      </c>
      <c r="Q73" s="8"/>
      <c r="R73" s="8">
        <v>0</v>
      </c>
      <c r="S73" s="8">
        <v>0</v>
      </c>
    </row>
    <row r="74" ht="31.5" customHeight="1" spans="1:19" x14ac:dyDescent="0.25">
      <c r="A74" s="5" t="s">
        <v>167</v>
      </c>
      <c r="B74" s="6" t="s">
        <v>168</v>
      </c>
      <c r="C74" s="6"/>
      <c r="D74" s="5" t="s">
        <v>138</v>
      </c>
      <c r="E74" s="5" t="s">
        <v>11</v>
      </c>
      <c r="F74" s="5" t="s">
        <v>11</v>
      </c>
      <c r="G74" s="5" t="s">
        <v>11</v>
      </c>
      <c r="H74" s="7">
        <v>1</v>
      </c>
      <c r="I74" s="8">
        <v>15000</v>
      </c>
      <c r="J74" s="8"/>
      <c r="K74" s="8">
        <v>0</v>
      </c>
      <c r="L74" s="8">
        <v>4527.77</v>
      </c>
      <c r="M74" s="8"/>
      <c r="N74" s="8">
        <f>I74-L74</f>
        <v>10472.23</v>
      </c>
      <c r="O74" s="8">
        <v>0</v>
      </c>
      <c r="P74" s="8">
        <v>0</v>
      </c>
      <c r="Q74" s="8"/>
      <c r="R74" s="8">
        <v>0</v>
      </c>
      <c r="S74" s="8">
        <v>0</v>
      </c>
    </row>
    <row r="75" ht="31.5" customHeight="1" spans="1:19" x14ac:dyDescent="0.25">
      <c r="A75" s="5" t="s">
        <v>169</v>
      </c>
      <c r="B75" s="6" t="s">
        <v>170</v>
      </c>
      <c r="C75" s="6"/>
      <c r="D75" s="5" t="s">
        <v>138</v>
      </c>
      <c r="E75" s="5" t="s">
        <v>11</v>
      </c>
      <c r="F75" s="5" t="s">
        <v>11</v>
      </c>
      <c r="G75" s="5" t="s">
        <v>11</v>
      </c>
      <c r="H75" s="7">
        <v>1</v>
      </c>
      <c r="I75" s="8">
        <v>35000</v>
      </c>
      <c r="J75" s="8"/>
      <c r="K75" s="8">
        <v>0</v>
      </c>
      <c r="L75" s="8">
        <v>25000</v>
      </c>
      <c r="M75" s="8"/>
      <c r="N75" s="8">
        <f>I75-L75</f>
        <v>10000</v>
      </c>
      <c r="O75" s="8">
        <v>0</v>
      </c>
      <c r="P75" s="8">
        <v>0</v>
      </c>
      <c r="Q75" s="8"/>
      <c r="R75" s="8">
        <v>0</v>
      </c>
      <c r="S75" s="8">
        <v>0</v>
      </c>
    </row>
    <row r="76" ht="31.5" customHeight="1" spans="1:19" x14ac:dyDescent="0.25">
      <c r="A76" s="5" t="s">
        <v>171</v>
      </c>
      <c r="B76" s="6" t="s">
        <v>172</v>
      </c>
      <c r="C76" s="6"/>
      <c r="D76" s="5" t="s">
        <v>138</v>
      </c>
      <c r="E76" s="5" t="s">
        <v>11</v>
      </c>
      <c r="F76" s="5" t="s">
        <v>11</v>
      </c>
      <c r="G76" s="5" t="s">
        <v>11</v>
      </c>
      <c r="H76" s="7">
        <v>1</v>
      </c>
      <c r="I76" s="8">
        <v>20000</v>
      </c>
      <c r="J76" s="8"/>
      <c r="K76" s="8">
        <v>0</v>
      </c>
      <c r="L76" s="8">
        <v>10250</v>
      </c>
      <c r="M76" s="8"/>
      <c r="N76" s="8">
        <f>I76-L76</f>
        <v>9750</v>
      </c>
      <c r="O76" s="8">
        <v>0</v>
      </c>
      <c r="P76" s="8">
        <v>0</v>
      </c>
      <c r="Q76" s="8"/>
      <c r="R76" s="8">
        <v>0</v>
      </c>
      <c r="S76" s="8">
        <v>0</v>
      </c>
    </row>
    <row r="77" ht="31.5" customHeight="1" spans="1:19" x14ac:dyDescent="0.25">
      <c r="A77" s="5" t="s">
        <v>173</v>
      </c>
      <c r="B77" s="6" t="s">
        <v>174</v>
      </c>
      <c r="C77" s="6"/>
      <c r="D77" s="5" t="s">
        <v>138</v>
      </c>
      <c r="E77" s="5" t="s">
        <v>11</v>
      </c>
      <c r="F77" s="5" t="s">
        <v>11</v>
      </c>
      <c r="G77" s="5" t="s">
        <v>11</v>
      </c>
      <c r="H77" s="7">
        <v>1</v>
      </c>
      <c r="I77" s="8">
        <v>25000</v>
      </c>
      <c r="J77" s="8"/>
      <c r="K77" s="8">
        <v>0</v>
      </c>
      <c r="L77" s="8">
        <v>0</v>
      </c>
      <c r="M77" s="8"/>
      <c r="N77" s="8">
        <f>I77-L77</f>
        <v>25000</v>
      </c>
      <c r="O77" s="8">
        <v>0</v>
      </c>
      <c r="P77" s="8">
        <v>0</v>
      </c>
      <c r="Q77" s="8"/>
      <c r="R77" s="8">
        <v>0</v>
      </c>
      <c r="S77" s="8">
        <v>0</v>
      </c>
    </row>
    <row r="78" ht="31.5" customHeight="1" spans="1:19" x14ac:dyDescent="0.25">
      <c r="A78" s="5" t="s">
        <v>175</v>
      </c>
      <c r="B78" s="6" t="s">
        <v>176</v>
      </c>
      <c r="C78" s="6"/>
      <c r="D78" s="5" t="s">
        <v>138</v>
      </c>
      <c r="E78" s="5" t="s">
        <v>11</v>
      </c>
      <c r="F78" s="5" t="s">
        <v>11</v>
      </c>
      <c r="G78" s="5" t="s">
        <v>11</v>
      </c>
      <c r="H78" s="7">
        <v>1</v>
      </c>
      <c r="I78" s="8">
        <v>12000</v>
      </c>
      <c r="J78" s="8"/>
      <c r="K78" s="8">
        <v>0</v>
      </c>
      <c r="L78" s="8">
        <v>6250</v>
      </c>
      <c r="M78" s="8"/>
      <c r="N78" s="8">
        <f>I78-L78</f>
        <v>5750</v>
      </c>
      <c r="O78" s="8">
        <v>0</v>
      </c>
      <c r="P78" s="8">
        <v>0</v>
      </c>
      <c r="Q78" s="8"/>
      <c r="R78" s="8">
        <v>0</v>
      </c>
      <c r="S78" s="8">
        <v>0</v>
      </c>
    </row>
    <row r="79" ht="18" customHeight="1" spans="1:19" x14ac:dyDescent="0.25">
      <c r="A79" s="9" t="s">
        <v>177</v>
      </c>
      <c r="B79" s="9"/>
      <c r="C79" s="9"/>
      <c r="D79" s="9"/>
      <c r="E79" s="9"/>
      <c r="F79" s="9"/>
      <c r="G79" s="9"/>
      <c r="H79" s="10">
        <f>SUM(H5:H78)</f>
        <v>140</v>
      </c>
      <c r="I79" s="11">
        <f>SUM(I5:I78)</f>
        <v>6734000</v>
      </c>
      <c r="J79" s="11"/>
      <c r="K79" s="11">
        <v>0</v>
      </c>
      <c r="L79" s="11">
        <f>SUM(L5:L78)</f>
        <v>907222.8500000003</v>
      </c>
      <c r="M79" s="11"/>
      <c r="N79" s="11">
        <f>SUM(N5:N78)</f>
        <v>5826777.149999999</v>
      </c>
      <c r="O79" s="11">
        <v>0</v>
      </c>
      <c r="P79" s="11">
        <v>0</v>
      </c>
      <c r="Q79" s="11"/>
      <c r="R79" s="11">
        <f>SUM(R5:R78)</f>
        <v>0</v>
      </c>
      <c r="S79" s="11">
        <v>0</v>
      </c>
    </row>
  </sheetData>
  <mergeCells count="316">
    <mergeCell ref="A1:S1"/>
    <mergeCell ref="A2:B2"/>
    <mergeCell ref="C2:E2"/>
    <mergeCell ref="F2:I2"/>
    <mergeCell ref="J2:L2"/>
    <mergeCell ref="M2:P2"/>
    <mergeCell ref="Q2:S2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B5:C5"/>
    <mergeCell ref="I5:J5"/>
    <mergeCell ref="L5:M5"/>
    <mergeCell ref="P5:Q5"/>
    <mergeCell ref="B6:C6"/>
    <mergeCell ref="I6:J6"/>
    <mergeCell ref="L6:M6"/>
    <mergeCell ref="P6:Q6"/>
    <mergeCell ref="B7:C7"/>
    <mergeCell ref="I7:J7"/>
    <mergeCell ref="L7:M7"/>
    <mergeCell ref="P7:Q7"/>
    <mergeCell ref="B8:C8"/>
    <mergeCell ref="I8:J8"/>
    <mergeCell ref="L8:M8"/>
    <mergeCell ref="P8:Q8"/>
    <mergeCell ref="B9:C9"/>
    <mergeCell ref="I9:J9"/>
    <mergeCell ref="L9:M9"/>
    <mergeCell ref="P9:Q9"/>
    <mergeCell ref="B10:C10"/>
    <mergeCell ref="I10:J10"/>
    <mergeCell ref="L10:M10"/>
    <mergeCell ref="P10:Q10"/>
    <mergeCell ref="B11:C11"/>
    <mergeCell ref="I11:J11"/>
    <mergeCell ref="L11:M11"/>
    <mergeCell ref="P11:Q11"/>
    <mergeCell ref="B12:C12"/>
    <mergeCell ref="I12:J12"/>
    <mergeCell ref="L12:M12"/>
    <mergeCell ref="P12:Q12"/>
    <mergeCell ref="B13:C13"/>
    <mergeCell ref="I13:J13"/>
    <mergeCell ref="L13:M13"/>
    <mergeCell ref="P13:Q13"/>
    <mergeCell ref="B14:C14"/>
    <mergeCell ref="I14:J14"/>
    <mergeCell ref="L14:M14"/>
    <mergeCell ref="P14:Q14"/>
    <mergeCell ref="B15:C15"/>
    <mergeCell ref="I15:J15"/>
    <mergeCell ref="L15:M15"/>
    <mergeCell ref="P15:Q15"/>
    <mergeCell ref="B16:C16"/>
    <mergeCell ref="I16:J16"/>
    <mergeCell ref="L16:M16"/>
    <mergeCell ref="P16:Q16"/>
    <mergeCell ref="B17:C17"/>
    <mergeCell ref="I17:J17"/>
    <mergeCell ref="L17:M17"/>
    <mergeCell ref="P17:Q17"/>
    <mergeCell ref="B18:C18"/>
    <mergeCell ref="I18:J18"/>
    <mergeCell ref="L18:M18"/>
    <mergeCell ref="P18:Q18"/>
    <mergeCell ref="B19:C19"/>
    <mergeCell ref="I19:J19"/>
    <mergeCell ref="L19:M19"/>
    <mergeCell ref="P19:Q19"/>
    <mergeCell ref="B20:C20"/>
    <mergeCell ref="I20:J20"/>
    <mergeCell ref="L20:M20"/>
    <mergeCell ref="P20:Q20"/>
    <mergeCell ref="B21:C21"/>
    <mergeCell ref="I21:J21"/>
    <mergeCell ref="L21:M21"/>
    <mergeCell ref="P21:Q21"/>
    <mergeCell ref="B22:C22"/>
    <mergeCell ref="I22:J22"/>
    <mergeCell ref="L22:M22"/>
    <mergeCell ref="P22:Q22"/>
    <mergeCell ref="B23:C23"/>
    <mergeCell ref="I23:J23"/>
    <mergeCell ref="L23:M23"/>
    <mergeCell ref="P23:Q23"/>
    <mergeCell ref="B24:C24"/>
    <mergeCell ref="I24:J24"/>
    <mergeCell ref="L24:M24"/>
    <mergeCell ref="P24:Q24"/>
    <mergeCell ref="B25:C25"/>
    <mergeCell ref="I25:J25"/>
    <mergeCell ref="L25:M25"/>
    <mergeCell ref="P25:Q25"/>
    <mergeCell ref="B26:C26"/>
    <mergeCell ref="I26:J26"/>
    <mergeCell ref="L26:M26"/>
    <mergeCell ref="P26:Q26"/>
    <mergeCell ref="B27:C27"/>
    <mergeCell ref="I27:J27"/>
    <mergeCell ref="L27:M27"/>
    <mergeCell ref="P27:Q27"/>
    <mergeCell ref="B28:C28"/>
    <mergeCell ref="I28:J28"/>
    <mergeCell ref="L28:M28"/>
    <mergeCell ref="P28:Q28"/>
    <mergeCell ref="B29:C29"/>
    <mergeCell ref="I29:J29"/>
    <mergeCell ref="L29:M29"/>
    <mergeCell ref="P29:Q29"/>
    <mergeCell ref="B30:C30"/>
    <mergeCell ref="I30:J30"/>
    <mergeCell ref="L30:M30"/>
    <mergeCell ref="P30:Q30"/>
    <mergeCell ref="B31:C31"/>
    <mergeCell ref="I31:J31"/>
    <mergeCell ref="L31:M31"/>
    <mergeCell ref="P31:Q31"/>
    <mergeCell ref="B32:C32"/>
    <mergeCell ref="I32:J32"/>
    <mergeCell ref="L32:M32"/>
    <mergeCell ref="P32:Q32"/>
    <mergeCell ref="B33:C33"/>
    <mergeCell ref="I33:J33"/>
    <mergeCell ref="L33:M33"/>
    <mergeCell ref="P33:Q33"/>
    <mergeCell ref="B34:C34"/>
    <mergeCell ref="I34:J34"/>
    <mergeCell ref="L34:M34"/>
    <mergeCell ref="P34:Q34"/>
    <mergeCell ref="B35:C35"/>
    <mergeCell ref="I35:J35"/>
    <mergeCell ref="L35:M35"/>
    <mergeCell ref="P35:Q35"/>
    <mergeCell ref="B36:C36"/>
    <mergeCell ref="I36:J36"/>
    <mergeCell ref="L36:M36"/>
    <mergeCell ref="P36:Q36"/>
    <mergeCell ref="B37:C37"/>
    <mergeCell ref="I37:J37"/>
    <mergeCell ref="L37:M37"/>
    <mergeCell ref="P37:Q37"/>
    <mergeCell ref="B38:C38"/>
    <mergeCell ref="I38:J38"/>
    <mergeCell ref="L38:M38"/>
    <mergeCell ref="P38:Q38"/>
    <mergeCell ref="B39:C39"/>
    <mergeCell ref="I39:J39"/>
    <mergeCell ref="L39:M39"/>
    <mergeCell ref="P39:Q39"/>
    <mergeCell ref="B40:C40"/>
    <mergeCell ref="I40:J40"/>
    <mergeCell ref="L40:M40"/>
    <mergeCell ref="P40:Q40"/>
    <mergeCell ref="B41:C41"/>
    <mergeCell ref="I41:J41"/>
    <mergeCell ref="L41:M41"/>
    <mergeCell ref="P41:Q41"/>
    <mergeCell ref="B42:C42"/>
    <mergeCell ref="I42:J42"/>
    <mergeCell ref="L42:M42"/>
    <mergeCell ref="P42:Q42"/>
    <mergeCell ref="B43:C43"/>
    <mergeCell ref="I43:J43"/>
    <mergeCell ref="L43:M43"/>
    <mergeCell ref="P43:Q43"/>
    <mergeCell ref="B44:C44"/>
    <mergeCell ref="I44:J44"/>
    <mergeCell ref="L44:M44"/>
    <mergeCell ref="P44:Q44"/>
    <mergeCell ref="B45:C45"/>
    <mergeCell ref="I45:J45"/>
    <mergeCell ref="L45:M45"/>
    <mergeCell ref="P45:Q45"/>
    <mergeCell ref="B46:C46"/>
    <mergeCell ref="I46:J46"/>
    <mergeCell ref="L46:M46"/>
    <mergeCell ref="P46:Q46"/>
    <mergeCell ref="B47:C47"/>
    <mergeCell ref="I47:J47"/>
    <mergeCell ref="L47:M47"/>
    <mergeCell ref="P47:Q47"/>
    <mergeCell ref="B48:C48"/>
    <mergeCell ref="I48:J48"/>
    <mergeCell ref="L48:M48"/>
    <mergeCell ref="P48:Q48"/>
    <mergeCell ref="B49:C49"/>
    <mergeCell ref="I49:J49"/>
    <mergeCell ref="L49:M49"/>
    <mergeCell ref="P49:Q49"/>
    <mergeCell ref="B50:C50"/>
    <mergeCell ref="I50:J50"/>
    <mergeCell ref="L50:M50"/>
    <mergeCell ref="P50:Q50"/>
    <mergeCell ref="B51:C51"/>
    <mergeCell ref="I51:J51"/>
    <mergeCell ref="L51:M51"/>
    <mergeCell ref="P51:Q51"/>
    <mergeCell ref="B52:C52"/>
    <mergeCell ref="I52:J52"/>
    <mergeCell ref="L52:M52"/>
    <mergeCell ref="P52:Q52"/>
    <mergeCell ref="B53:C53"/>
    <mergeCell ref="I53:J53"/>
    <mergeCell ref="L53:M53"/>
    <mergeCell ref="P53:Q53"/>
    <mergeCell ref="B54:C54"/>
    <mergeCell ref="I54:J54"/>
    <mergeCell ref="L54:M54"/>
    <mergeCell ref="P54:Q54"/>
    <mergeCell ref="B55:C55"/>
    <mergeCell ref="I55:J55"/>
    <mergeCell ref="L55:M55"/>
    <mergeCell ref="P55:Q55"/>
    <mergeCell ref="B56:C56"/>
    <mergeCell ref="I56:J56"/>
    <mergeCell ref="L56:M56"/>
    <mergeCell ref="P56:Q56"/>
    <mergeCell ref="B57:C57"/>
    <mergeCell ref="I57:J57"/>
    <mergeCell ref="L57:M57"/>
    <mergeCell ref="P57:Q57"/>
    <mergeCell ref="B58:C58"/>
    <mergeCell ref="I58:J58"/>
    <mergeCell ref="L58:M58"/>
    <mergeCell ref="P58:Q58"/>
    <mergeCell ref="B59:C59"/>
    <mergeCell ref="I59:J59"/>
    <mergeCell ref="L59:M59"/>
    <mergeCell ref="P59:Q59"/>
    <mergeCell ref="B60:C60"/>
    <mergeCell ref="I60:J60"/>
    <mergeCell ref="L60:M60"/>
    <mergeCell ref="P60:Q60"/>
    <mergeCell ref="B61:C61"/>
    <mergeCell ref="I61:J61"/>
    <mergeCell ref="L61:M61"/>
    <mergeCell ref="P61:Q61"/>
    <mergeCell ref="B62:C62"/>
    <mergeCell ref="I62:J62"/>
    <mergeCell ref="L62:M62"/>
    <mergeCell ref="P62:Q62"/>
    <mergeCell ref="B63:C63"/>
    <mergeCell ref="I63:J63"/>
    <mergeCell ref="L63:M63"/>
    <mergeCell ref="P63:Q63"/>
    <mergeCell ref="B64:C64"/>
    <mergeCell ref="I64:J64"/>
    <mergeCell ref="L64:M64"/>
    <mergeCell ref="P64:Q64"/>
    <mergeCell ref="B65:C65"/>
    <mergeCell ref="I65:J65"/>
    <mergeCell ref="L65:M65"/>
    <mergeCell ref="P65:Q65"/>
    <mergeCell ref="B66:C66"/>
    <mergeCell ref="I66:J66"/>
    <mergeCell ref="L66:M66"/>
    <mergeCell ref="P66:Q66"/>
    <mergeCell ref="B67:C67"/>
    <mergeCell ref="I67:J67"/>
    <mergeCell ref="L67:M67"/>
    <mergeCell ref="P67:Q67"/>
    <mergeCell ref="B68:C68"/>
    <mergeCell ref="I68:J68"/>
    <mergeCell ref="L68:M68"/>
    <mergeCell ref="P68:Q68"/>
    <mergeCell ref="B69:C69"/>
    <mergeCell ref="I69:J69"/>
    <mergeCell ref="L69:M69"/>
    <mergeCell ref="P69:Q69"/>
    <mergeCell ref="B70:C70"/>
    <mergeCell ref="I70:J70"/>
    <mergeCell ref="L70:M70"/>
    <mergeCell ref="P70:Q70"/>
    <mergeCell ref="B71:C71"/>
    <mergeCell ref="I71:J71"/>
    <mergeCell ref="L71:M71"/>
    <mergeCell ref="P71:Q71"/>
    <mergeCell ref="B72:C72"/>
    <mergeCell ref="I72:J72"/>
    <mergeCell ref="L72:M72"/>
    <mergeCell ref="P72:Q72"/>
    <mergeCell ref="B73:C73"/>
    <mergeCell ref="I73:J73"/>
    <mergeCell ref="L73:M73"/>
    <mergeCell ref="P73:Q73"/>
    <mergeCell ref="B74:C74"/>
    <mergeCell ref="I74:J74"/>
    <mergeCell ref="L74:M74"/>
    <mergeCell ref="P74:Q74"/>
    <mergeCell ref="B75:C75"/>
    <mergeCell ref="I75:J75"/>
    <mergeCell ref="L75:M75"/>
    <mergeCell ref="P75:Q75"/>
    <mergeCell ref="B76:C76"/>
    <mergeCell ref="I76:J76"/>
    <mergeCell ref="L76:M76"/>
    <mergeCell ref="P76:Q76"/>
    <mergeCell ref="B77:C77"/>
    <mergeCell ref="I77:J77"/>
    <mergeCell ref="L77:M77"/>
    <mergeCell ref="P77:Q77"/>
    <mergeCell ref="B78:C78"/>
    <mergeCell ref="I78:J78"/>
    <mergeCell ref="L78:M78"/>
    <mergeCell ref="P78:Q78"/>
    <mergeCell ref="A79:G79"/>
    <mergeCell ref="I79:J79"/>
    <mergeCell ref="L79:M79"/>
    <mergeCell ref="P79:Q79"/>
  </mergeCells>
  <pageMargins left="0.2" right="0.2" top="0.3" bottom="0.3" header="0.1" footer="0.1"/>
  <pageSetup paperSize="9" orientation="landscape" horizontalDpi="4294967295" verticalDpi="4294967295" scale="100" fitToWidth="1" fitToHeight="0"/>
  <headerFooter>
    <oddFooter>&amp;LGenerated by AYO Olsera&amp;CPage &amp;P of &amp;N&amp;R&amp;D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Mei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2026-07-12T17:17:04Z</dcterms:created>
  <dcterms:modified xsi:type="dcterms:W3CDTF">2026-07-12T17:17:04Z</dcterms:modified>
</cp:coreProperties>
</file>