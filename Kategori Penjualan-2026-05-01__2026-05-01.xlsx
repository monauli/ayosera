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ANGAN PADEL" state="visible" r:id="rId4"/>
    <sheet sheetId="2" name="SEWA RAKET" state="visible" r:id="rId5"/>
    <sheet sheetId="3" name="LABERS" state="visible" r:id="rId6"/>
    <sheet sheetId="4" name="MINUMAN" state="visible" r:id="rId7"/>
    <sheet sheetId="5" name="BOLA PADEL" state="visible" r:id="rId8"/>
    <sheet sheetId="6" name="SKORT WANITA" state="visible" r:id="rId9"/>
    <sheet sheetId="7" name="LAPANGAN PICKLEBALL" state="visible" r:id="rId10"/>
    <sheet sheetId="8" name="CELANA PRIA" state="visible" r:id="rId11"/>
    <sheet sheetId="9" name="GRIP" state="visible" r:id="rId12"/>
    <sheet sheetId="10" name="SEWA KERANJANG+BOLA" state="visible" r:id="rId13"/>
    <sheet sheetId="11" name="SNACK" state="visible" r:id="rId14"/>
  </sheets>
  <definedNames>
    <definedName name="_xlnm.Print_Area" localSheetId="0">'LAPANGAN PADEL'!$A1:$P12</definedName>
    <definedName name="_xlnm.Print_Area" localSheetId="1">'SEWA RAKET'!$A1:$P21</definedName>
    <definedName name="_xlnm.Print_Area" localSheetId="2">'LABERS'!$A1:$P31</definedName>
    <definedName name="_xlnm.Print_Area" localSheetId="3">'MINUMAN'!$A1:$P35</definedName>
    <definedName name="_xlnm.Print_Area" localSheetId="4">'BOLA PADEL'!$A1:$P8</definedName>
    <definedName name="_xlnm.Print_Area" localSheetId="5">'SKORT WANITA'!$A1:$P4</definedName>
    <definedName name="_xlnm.Print_Area" localSheetId="6">'LAPANGAN PICKLEBALL'!$A1:$P4</definedName>
    <definedName name="_xlnm.Print_Area" localSheetId="7">'CELANA PRIA'!$A1:$P4</definedName>
    <definedName name="_xlnm.Print_Area" localSheetId="8">'GRIP'!$A1:$P6</definedName>
    <definedName name="_xlnm.Print_Area" localSheetId="9">'SEWA KERANJANG+BOLA'!$A1:$P5</definedName>
    <definedName name="_xlnm.Print_Area" localSheetId="10">'SNACK'!$A1:$P7</definedName>
  </definedNames>
  <calcPr calcId="171027" fullCalcOnLoad="1"/>
</workbook>
</file>

<file path=xl/sharedStrings.xml><?xml version="1.0" encoding="utf-8"?>
<sst xmlns="http://schemas.openxmlformats.org/spreadsheetml/2006/main" count="1134" uniqueCount="205">
  <si>
    <t>Item Penjualan : May 01, 2026 - May 01, 2026</t>
  </si>
  <si>
    <t>No. Pesanan</t>
  </si>
  <si>
    <t>Tanggal Jual</t>
  </si>
  <si>
    <t>Pelanggan</t>
  </si>
  <si>
    <t>Nomor Meja</t>
  </si>
  <si>
    <t>Penjualan Oleh</t>
  </si>
  <si>
    <t>No. Seri</t>
  </si>
  <si>
    <t>Item</t>
  </si>
  <si>
    <t>Qty</t>
  </si>
  <si>
    <t>Unit Pengukuran</t>
  </si>
  <si>
    <t>Total Pesanan</t>
  </si>
  <si>
    <t>Komisi</t>
  </si>
  <si>
    <t>Modal Produk</t>
  </si>
  <si>
    <t xml:space="preserve">Sudah termasuk
Pajak</t>
  </si>
  <si>
    <t>Nama Diskon</t>
  </si>
  <si>
    <t>Diskon</t>
  </si>
  <si>
    <t>Laba</t>
  </si>
  <si>
    <t>DF0226050100004098</t>
  </si>
  <si>
    <t xml:space="preserve">01-May-2026
13:23:57</t>
  </si>
  <si>
    <t/>
  </si>
  <si>
    <t>AMEL (DINE IN)</t>
  </si>
  <si>
    <t>COURT FEES - 9,</t>
  </si>
  <si>
    <t>COURT FEES - 1</t>
  </si>
  <si>
    <t>DF0226050100004123</t>
  </si>
  <si>
    <t xml:space="preserve">01-May-2026
18:37:59</t>
  </si>
  <si>
    <t>NISA (DINE IN)</t>
  </si>
  <si>
    <t>COURT FEES - 5</t>
  </si>
  <si>
    <t>COURT FEES - 6</t>
  </si>
  <si>
    <t>DF0226050100004128</t>
  </si>
  <si>
    <t xml:space="preserve">01-May-2026
20:07:49</t>
  </si>
  <si>
    <t>COURT FEES - 2</t>
  </si>
  <si>
    <t>DF0226050100004129</t>
  </si>
  <si>
    <t xml:space="preserve">01-May-2026
20:11:26</t>
  </si>
  <si>
    <t>COURT FEES - 7</t>
  </si>
  <si>
    <t>Total - IDR</t>
  </si>
  <si>
    <t>DF0226050100004062</t>
  </si>
  <si>
    <t xml:space="preserve">01-May-2026
06:57:24</t>
  </si>
  <si>
    <t>SEWA RAKET - RAKET PREMIUM</t>
  </si>
  <si>
    <t>DF0226050100004063</t>
  </si>
  <si>
    <t xml:space="preserve">01-May-2026
07:00:11</t>
  </si>
  <si>
    <t>SEWA RAKET - RAKET STANDAR</t>
  </si>
  <si>
    <t>DF0226050100004064</t>
  </si>
  <si>
    <t xml:space="preserve">01-May-2026
07:04:59</t>
  </si>
  <si>
    <t>DF0226050100004065</t>
  </si>
  <si>
    <t xml:space="preserve">01-May-2026
07:47:37</t>
  </si>
  <si>
    <t>DF0226050100004068</t>
  </si>
  <si>
    <t xml:space="preserve">01-May-2026
08:11:42</t>
  </si>
  <si>
    <t>DF0226050100004069</t>
  </si>
  <si>
    <t xml:space="preserve">01-May-2026
08:20:09</t>
  </si>
  <si>
    <t>DF0226050100004073</t>
  </si>
  <si>
    <t xml:space="preserve">01-May-2026
08:59:09</t>
  </si>
  <si>
    <t>DF0226050100004077</t>
  </si>
  <si>
    <t xml:space="preserve">01-May-2026
09:42:58</t>
  </si>
  <si>
    <t>DF0226050100004080</t>
  </si>
  <si>
    <t xml:space="preserve">01-May-2026
10:01:49</t>
  </si>
  <si>
    <t>DF0226050100004092</t>
  </si>
  <si>
    <t xml:space="preserve">01-May-2026
12:46:05</t>
  </si>
  <si>
    <t>DF0226050100004093</t>
  </si>
  <si>
    <t xml:space="preserve">01-May-2026
12:57:20</t>
  </si>
  <si>
    <t>DF0226050100004103</t>
  </si>
  <si>
    <t xml:space="preserve">01-May-2026
13:52:32</t>
  </si>
  <si>
    <t>DF0226050100004113</t>
  </si>
  <si>
    <t xml:space="preserve">01-May-2026
16:09:00</t>
  </si>
  <si>
    <t>DF0226050100004116</t>
  </si>
  <si>
    <t xml:space="preserve">01-May-2026
16:33:29</t>
  </si>
  <si>
    <t>DF0226050100004117</t>
  </si>
  <si>
    <t xml:space="preserve">01-May-2026
16:46:31</t>
  </si>
  <si>
    <t>DF0226050100004122</t>
  </si>
  <si>
    <t xml:space="preserve">01-May-2026
18:18:39</t>
  </si>
  <si>
    <t>DF0226050100004070</t>
  </si>
  <si>
    <t xml:space="preserve">01-May-2026
08:35:32</t>
  </si>
  <si>
    <t>ICED LYCHEE TEA</t>
  </si>
  <si>
    <t>DF0226050100004072</t>
  </si>
  <si>
    <t xml:space="preserve">01-May-2026
08:43:44</t>
  </si>
  <si>
    <t>ICED LEMON TEA</t>
  </si>
  <si>
    <t>DF0226050100004075</t>
  </si>
  <si>
    <t xml:space="preserve">01-May-2026
09:38:23</t>
  </si>
  <si>
    <t>BLACK - Ice</t>
  </si>
  <si>
    <t>ES KOPI SUSU</t>
  </si>
  <si>
    <t>DF0226050100004076</t>
  </si>
  <si>
    <t xml:space="preserve">01-May-2026
09:41:49</t>
  </si>
  <si>
    <t>BLACK - Hot</t>
  </si>
  <si>
    <t>DF0226050100004078</t>
  </si>
  <si>
    <t xml:space="preserve">01-May-2026
09:54:00</t>
  </si>
  <si>
    <t>DF0226050100004079</t>
  </si>
  <si>
    <t xml:space="preserve">01-May-2026
09:57:52</t>
  </si>
  <si>
    <t>DF0226050100004081</t>
  </si>
  <si>
    <t xml:space="preserve">01-May-2026
10:12:04</t>
  </si>
  <si>
    <t>ESPRESSO</t>
  </si>
  <si>
    <t>DF0226050100004083</t>
  </si>
  <si>
    <t xml:space="preserve">01-May-2026
11:01:41</t>
  </si>
  <si>
    <t>WHITE - Ice Latte</t>
  </si>
  <si>
    <t>DF0226050100004086</t>
  </si>
  <si>
    <t xml:space="preserve">01-May-2026
11:16:45</t>
  </si>
  <si>
    <t>DF0226050100004089</t>
  </si>
  <si>
    <t xml:space="preserve">01-May-2026
11:34:32</t>
  </si>
  <si>
    <t>DF0226050100004091</t>
  </si>
  <si>
    <t xml:space="preserve">01-May-2026
12:36:54</t>
  </si>
  <si>
    <t>BROWNIES</t>
  </si>
  <si>
    <t>DF0226050100004094</t>
  </si>
  <si>
    <t xml:space="preserve">01-May-2026
13:02:05</t>
  </si>
  <si>
    <t>DF0226050100004099</t>
  </si>
  <si>
    <t xml:space="preserve">01-May-2026
13:26:06</t>
  </si>
  <si>
    <t>DF0226050100004100</t>
  </si>
  <si>
    <t xml:space="preserve">01-May-2026
13:37:35</t>
  </si>
  <si>
    <t>INDOMIE GORENG FULL PROTEIN</t>
  </si>
  <si>
    <t>DF0226050100004102</t>
  </si>
  <si>
    <t xml:space="preserve">01-May-2026
13:45:44</t>
  </si>
  <si>
    <t>APPLE JUICE ( FRESH APPLE)</t>
  </si>
  <si>
    <t>DF0226050100004107</t>
  </si>
  <si>
    <t xml:space="preserve">01-May-2026
14:13:28</t>
  </si>
  <si>
    <t>MATCHA - Ice</t>
  </si>
  <si>
    <t>DF0226050100004108</t>
  </si>
  <si>
    <t xml:space="preserve">01-May-2026
14:24:05</t>
  </si>
  <si>
    <t>WHITE - Hot Latte</t>
  </si>
  <si>
    <t>DF0226050100004109</t>
  </si>
  <si>
    <t xml:space="preserve">01-May-2026
15:19:56</t>
  </si>
  <si>
    <t>CHOCOLATE - Ice</t>
  </si>
  <si>
    <t>DF0226050100004112</t>
  </si>
  <si>
    <t xml:space="preserve">01-May-2026
16:06:22</t>
  </si>
  <si>
    <t>DF0226050100004118</t>
  </si>
  <si>
    <t xml:space="preserve">01-May-2026
16:48:57</t>
  </si>
  <si>
    <t>INDOMIE GORENG + TELUR</t>
  </si>
  <si>
    <t>DF0226050100004126</t>
  </si>
  <si>
    <t xml:space="preserve">01-May-2026
19:36:20</t>
  </si>
  <si>
    <t>DF0226050100004134</t>
  </si>
  <si>
    <t xml:space="preserve">01-May-2026
21:27:03</t>
  </si>
  <si>
    <t>DF0226050100004066</t>
  </si>
  <si>
    <t xml:space="preserve">01-May-2026
07:53:48</t>
  </si>
  <si>
    <t>NESTLE PURE LIFE 1500ML</t>
  </si>
  <si>
    <t>DF0226050100004071</t>
  </si>
  <si>
    <t xml:space="preserve">01-May-2026
08:42:18</t>
  </si>
  <si>
    <t>POCARI SWEAT PET 500 ML</t>
  </si>
  <si>
    <t>DF0226050100004082</t>
  </si>
  <si>
    <t xml:space="preserve">01-May-2026
10:15:31</t>
  </si>
  <si>
    <t>DF0226050100004084</t>
  </si>
  <si>
    <t xml:space="preserve">01-May-2026
11:07:41</t>
  </si>
  <si>
    <t>DF0226050100004085</t>
  </si>
  <si>
    <t xml:space="preserve">01-May-2026
11:07:50</t>
  </si>
  <si>
    <t>DF0226050100004087</t>
  </si>
  <si>
    <t xml:space="preserve">01-May-2026
11:25:12</t>
  </si>
  <si>
    <t>DF0226050100004090</t>
  </si>
  <si>
    <t xml:space="preserve">01-May-2026
11:50:49</t>
  </si>
  <si>
    <t>NESTLE PURE LIFE 600ML</t>
  </si>
  <si>
    <t>DF0226050100004095</t>
  </si>
  <si>
    <t xml:space="preserve">01-May-2026
13:13:16</t>
  </si>
  <si>
    <t>DF0226050100004096</t>
  </si>
  <si>
    <t xml:space="preserve">01-May-2026
13:14:28</t>
  </si>
  <si>
    <t>DF0226050100004097</t>
  </si>
  <si>
    <t xml:space="preserve">01-May-2026
13:15:24</t>
  </si>
  <si>
    <t>DF0226050100004101</t>
  </si>
  <si>
    <t xml:space="preserve">01-May-2026
13:38:27</t>
  </si>
  <si>
    <t>DF0226050100004104</t>
  </si>
  <si>
    <t xml:space="preserve">01-May-2026
13:55:03</t>
  </si>
  <si>
    <t>DF0226050100004110</t>
  </si>
  <si>
    <t xml:space="preserve">01-May-2026
15:22:06</t>
  </si>
  <si>
    <t>DF0226050100004111</t>
  </si>
  <si>
    <t xml:space="preserve">01-May-2026
15:22:38</t>
  </si>
  <si>
    <t>POCARI ION WATER 500ML</t>
  </si>
  <si>
    <t>DF0226050100004120</t>
  </si>
  <si>
    <t xml:space="preserve">01-May-2026
17:33:44</t>
  </si>
  <si>
    <t>DF0226050100004121</t>
  </si>
  <si>
    <t xml:space="preserve">01-May-2026
18:11:24</t>
  </si>
  <si>
    <t>POCARI SWEAT PET 900ML</t>
  </si>
  <si>
    <t>DF0226050100004124</t>
  </si>
  <si>
    <t xml:space="preserve">01-May-2026
19:12:11</t>
  </si>
  <si>
    <t>DF0226050100004125</t>
  </si>
  <si>
    <t xml:space="preserve">01-May-2026
19:35:27</t>
  </si>
  <si>
    <t>DF0226050100004127</t>
  </si>
  <si>
    <t xml:space="preserve">01-May-2026
20:06:30</t>
  </si>
  <si>
    <t>DF0226050100004130</t>
  </si>
  <si>
    <t xml:space="preserve">01-May-2026
20:24:24</t>
  </si>
  <si>
    <t>DF0226050100004131</t>
  </si>
  <si>
    <t xml:space="preserve">01-May-2026
20:25:00</t>
  </si>
  <si>
    <t>DF0226050100004133</t>
  </si>
  <si>
    <t xml:space="preserve">01-May-2026
20:56:03</t>
  </si>
  <si>
    <t>DF0226050100004135</t>
  </si>
  <si>
    <t xml:space="preserve">01-May-2026
21:31:17</t>
  </si>
  <si>
    <t>BOLA AMA PINK ISI 2</t>
  </si>
  <si>
    <t>DF0226050100004067</t>
  </si>
  <si>
    <t xml:space="preserve">01-May-2026
08:07:42</t>
  </si>
  <si>
    <t>BOLA PADEL HEAD PRO S+ ISI 3</t>
  </si>
  <si>
    <t>BOLA PADEL ODEA</t>
  </si>
  <si>
    <t>DF0226050100004114</t>
  </si>
  <si>
    <t xml:space="preserve">01-May-2026
16:10:14</t>
  </si>
  <si>
    <t>DF0226050100004119</t>
  </si>
  <si>
    <t xml:space="preserve">01-May-2026
17:03:38</t>
  </si>
  <si>
    <t>DF0226050100004074</t>
  </si>
  <si>
    <t xml:space="preserve">01-May-2026
09:07:37</t>
  </si>
  <si>
    <t>YONEX LADIES SKORT #SKL-P061-2846-SOLID-S</t>
  </si>
  <si>
    <t>DF0226050100004106</t>
  </si>
  <si>
    <t xml:space="preserve">01-May-2026
14:12:42</t>
  </si>
  <si>
    <t>PICKLEBALL COURT FEE - -</t>
  </si>
  <si>
    <t>DF0226050100004105</t>
  </si>
  <si>
    <t xml:space="preserve">01-May-2026
14:06:08</t>
  </si>
  <si>
    <t>YONEX MENS SHORTS # SM-P061-3085-RW2-S</t>
  </si>
  <si>
    <t>OVERGRIPS WILSON</t>
  </si>
  <si>
    <t>DF0226050100004088</t>
  </si>
  <si>
    <t xml:space="preserve">01-May-2026
11:28:02</t>
  </si>
  <si>
    <t>DF0226050100004132</t>
  </si>
  <si>
    <t xml:space="preserve">01-May-2026
20:25:59</t>
  </si>
  <si>
    <t>SEWA KERANJANG+BOLA - 1 Jam,</t>
  </si>
  <si>
    <t>SOY JOY MULTI VARIANT</t>
  </si>
  <si>
    <t>DF0226050100004115</t>
  </si>
  <si>
    <t xml:space="preserve">01-May-2026
16:31:02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</si>
</sst>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IDR&quot; #,##0"/>
  </numFmts>
  <fonts count="3" x14ac:knownFonts="1">
    <font>
      <color theme="1"/>
      <family val="2"/>
      <scheme val="minor"/>
      <sz val="11"/>
      <name val="Calibri"/>
    </font>
    <font>
      <color rgb="FF000000"/>
      <sz val="10"/>
      <name val="Aptos Narrow"/>
    </font>
    <font>
      <b/>
      <color rgb="FF000000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center" shrinkToFit="1"/>
    </xf>
    <xf numFmtId="164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17</v>
      </c>
      <c r="B3" s="4" t="s">
        <v>18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21</v>
      </c>
      <c r="H3" s="5">
        <v>2</v>
      </c>
      <c r="I3" s="3" t="s">
        <v>19</v>
      </c>
      <c r="J3" s="6">
        <v>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50000</v>
      </c>
    </row>
    <row r="4" spans="1:16" x14ac:dyDescent="0.25">
      <c r="A4" s="3" t="s">
        <v>17</v>
      </c>
      <c r="B4" s="4" t="s">
        <v>18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22</v>
      </c>
      <c r="H4" s="5">
        <v>1</v>
      </c>
      <c r="I4" s="3" t="s">
        <v>19</v>
      </c>
      <c r="J4" s="6">
        <v>300000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300000</v>
      </c>
    </row>
    <row r="5" spans="1:16" x14ac:dyDescent="0.25">
      <c r="A5" s="3" t="s">
        <v>23</v>
      </c>
      <c r="B5" s="4" t="s">
        <v>24</v>
      </c>
      <c r="C5" s="3" t="s">
        <v>19</v>
      </c>
      <c r="D5" s="3" t="s">
        <v>19</v>
      </c>
      <c r="E5" s="3" t="s">
        <v>25</v>
      </c>
      <c r="F5" s="3" t="s">
        <v>19</v>
      </c>
      <c r="G5" s="3" t="s">
        <v>22</v>
      </c>
      <c r="H5" s="5">
        <v>2</v>
      </c>
      <c r="I5" s="3" t="s">
        <v>19</v>
      </c>
      <c r="J5" s="6">
        <v>600000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600000</v>
      </c>
    </row>
    <row r="6" spans="1:16" x14ac:dyDescent="0.25">
      <c r="A6" s="3" t="s">
        <v>23</v>
      </c>
      <c r="B6" s="4" t="s">
        <v>24</v>
      </c>
      <c r="C6" s="3" t="s">
        <v>19</v>
      </c>
      <c r="D6" s="3" t="s">
        <v>19</v>
      </c>
      <c r="E6" s="3" t="s">
        <v>25</v>
      </c>
      <c r="F6" s="3" t="s">
        <v>19</v>
      </c>
      <c r="G6" s="3" t="s">
        <v>26</v>
      </c>
      <c r="H6" s="5">
        <v>1</v>
      </c>
      <c r="I6" s="3" t="s">
        <v>19</v>
      </c>
      <c r="J6" s="6">
        <v>200000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200000</v>
      </c>
    </row>
    <row r="7" spans="1:16" x14ac:dyDescent="0.25">
      <c r="A7" s="3" t="s">
        <v>23</v>
      </c>
      <c r="B7" s="4" t="s">
        <v>24</v>
      </c>
      <c r="C7" s="3" t="s">
        <v>19</v>
      </c>
      <c r="D7" s="3" t="s">
        <v>19</v>
      </c>
      <c r="E7" s="3" t="s">
        <v>25</v>
      </c>
      <c r="F7" s="3" t="s">
        <v>19</v>
      </c>
      <c r="G7" s="3" t="s">
        <v>27</v>
      </c>
      <c r="H7" s="5">
        <v>1</v>
      </c>
      <c r="I7" s="3" t="s">
        <v>19</v>
      </c>
      <c r="J7" s="6">
        <v>10000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10000</v>
      </c>
    </row>
    <row r="8" spans="1:16" x14ac:dyDescent="0.25">
      <c r="A8" s="3" t="s">
        <v>28</v>
      </c>
      <c r="B8" s="4" t="s">
        <v>29</v>
      </c>
      <c r="C8" s="3" t="s">
        <v>19</v>
      </c>
      <c r="D8" s="3" t="s">
        <v>19</v>
      </c>
      <c r="E8" s="3" t="s">
        <v>25</v>
      </c>
      <c r="F8" s="3" t="s">
        <v>19</v>
      </c>
      <c r="G8" s="3" t="s">
        <v>27</v>
      </c>
      <c r="H8" s="5">
        <v>2</v>
      </c>
      <c r="I8" s="3" t="s">
        <v>19</v>
      </c>
      <c r="J8" s="6">
        <v>20000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20000</v>
      </c>
    </row>
    <row r="9" spans="1:16" x14ac:dyDescent="0.25">
      <c r="A9" s="3" t="s">
        <v>28</v>
      </c>
      <c r="B9" s="4" t="s">
        <v>29</v>
      </c>
      <c r="C9" s="3" t="s">
        <v>19</v>
      </c>
      <c r="D9" s="3" t="s">
        <v>19</v>
      </c>
      <c r="E9" s="3" t="s">
        <v>25</v>
      </c>
      <c r="F9" s="3" t="s">
        <v>19</v>
      </c>
      <c r="G9" s="3" t="s">
        <v>30</v>
      </c>
      <c r="H9" s="5">
        <v>1</v>
      </c>
      <c r="I9" s="3" t="s">
        <v>19</v>
      </c>
      <c r="J9" s="6">
        <v>320000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320000</v>
      </c>
    </row>
    <row r="10" spans="1:16" x14ac:dyDescent="0.25">
      <c r="A10" s="3" t="s">
        <v>28</v>
      </c>
      <c r="B10" s="4" t="s">
        <v>29</v>
      </c>
      <c r="C10" s="3" t="s">
        <v>19</v>
      </c>
      <c r="D10" s="3" t="s">
        <v>19</v>
      </c>
      <c r="E10" s="3" t="s">
        <v>25</v>
      </c>
      <c r="F10" s="3" t="s">
        <v>19</v>
      </c>
      <c r="G10" s="3" t="s">
        <v>26</v>
      </c>
      <c r="H10" s="5">
        <v>1</v>
      </c>
      <c r="I10" s="3" t="s">
        <v>19</v>
      </c>
      <c r="J10" s="6">
        <v>200000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200000</v>
      </c>
    </row>
    <row r="11" spans="1:16" x14ac:dyDescent="0.25">
      <c r="A11" s="3" t="s">
        <v>31</v>
      </c>
      <c r="B11" s="4" t="s">
        <v>32</v>
      </c>
      <c r="C11" s="3" t="s">
        <v>19</v>
      </c>
      <c r="D11" s="3" t="s">
        <v>19</v>
      </c>
      <c r="E11" s="3" t="s">
        <v>25</v>
      </c>
      <c r="F11" s="3" t="s">
        <v>19</v>
      </c>
      <c r="G11" s="3" t="s">
        <v>33</v>
      </c>
      <c r="H11" s="5">
        <v>4</v>
      </c>
      <c r="I11" s="3" t="s">
        <v>19</v>
      </c>
      <c r="J11" s="6">
        <v>600000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600000</v>
      </c>
    </row>
    <row r="12" ht="18" customHeight="1" spans="1:16" x14ac:dyDescent="0.25">
      <c r="A12" s="7" t="s">
        <v>34</v>
      </c>
      <c r="B12" s="7"/>
      <c r="C12" s="7"/>
      <c r="D12" s="7"/>
      <c r="E12" s="7"/>
      <c r="F12" s="7"/>
      <c r="G12" s="7"/>
      <c r="H12" s="8">
        <f>SUM(H3:H11)</f>
        <v>15</v>
      </c>
      <c r="I12" s="7"/>
      <c r="J12" s="9">
        <f>SUM(J3:J11)</f>
        <v>2300000</v>
      </c>
      <c r="K12" s="9">
        <f>SUM(K3:K11)</f>
        <v>0</v>
      </c>
      <c r="L12" s="9">
        <f>SUM(L3:L11)</f>
        <v>0</v>
      </c>
      <c r="M12" s="9">
        <f>SUM(M3:M11)</f>
        <v>0</v>
      </c>
      <c r="N12" s="7"/>
      <c r="O12" s="9">
        <f>SUM(O3:O11)</f>
        <v>0</v>
      </c>
      <c r="P12" s="9">
        <f>SUM(P3:P11)</f>
        <v>2300000</v>
      </c>
    </row>
  </sheetData>
  <mergeCells count="2">
    <mergeCell ref="A1:P1"/>
    <mergeCell ref="A12:G12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35</v>
      </c>
      <c r="B3" s="4" t="s">
        <v>36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37</v>
      </c>
      <c r="H3" s="5">
        <v>1</v>
      </c>
      <c r="I3" s="3" t="s">
        <v>19</v>
      </c>
      <c r="J3" s="6">
        <v>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50000</v>
      </c>
    </row>
    <row r="4" spans="1:16" x14ac:dyDescent="0.25">
      <c r="A4" s="3" t="s">
        <v>38</v>
      </c>
      <c r="B4" s="4" t="s">
        <v>39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40</v>
      </c>
      <c r="H4" s="5">
        <v>1</v>
      </c>
      <c r="I4" s="3" t="s">
        <v>19</v>
      </c>
      <c r="J4" s="6">
        <v>30000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30000</v>
      </c>
    </row>
    <row r="5" spans="1:16" x14ac:dyDescent="0.25">
      <c r="A5" s="3" t="s">
        <v>41</v>
      </c>
      <c r="B5" s="4" t="s">
        <v>42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37</v>
      </c>
      <c r="H5" s="5">
        <v>2</v>
      </c>
      <c r="I5" s="3" t="s">
        <v>19</v>
      </c>
      <c r="J5" s="6">
        <v>100000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100000</v>
      </c>
    </row>
    <row r="6" spans="1:16" x14ac:dyDescent="0.25">
      <c r="A6" s="3" t="s">
        <v>43</v>
      </c>
      <c r="B6" s="4" t="s">
        <v>44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40</v>
      </c>
      <c r="H6" s="5">
        <v>4</v>
      </c>
      <c r="I6" s="3" t="s">
        <v>19</v>
      </c>
      <c r="J6" s="6">
        <v>120000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120000</v>
      </c>
    </row>
    <row r="7" spans="1:16" x14ac:dyDescent="0.25">
      <c r="A7" s="3" t="s">
        <v>45</v>
      </c>
      <c r="B7" s="4" t="s">
        <v>46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37</v>
      </c>
      <c r="H7" s="5">
        <v>4</v>
      </c>
      <c r="I7" s="3" t="s">
        <v>19</v>
      </c>
      <c r="J7" s="6">
        <v>200000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200000</v>
      </c>
    </row>
    <row r="8" spans="1:16" x14ac:dyDescent="0.25">
      <c r="A8" s="3" t="s">
        <v>47</v>
      </c>
      <c r="B8" s="4" t="s">
        <v>48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37</v>
      </c>
      <c r="H8" s="5">
        <v>3</v>
      </c>
      <c r="I8" s="3" t="s">
        <v>19</v>
      </c>
      <c r="J8" s="6">
        <v>150000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150000</v>
      </c>
    </row>
    <row r="9" spans="1:16" x14ac:dyDescent="0.25">
      <c r="A9" s="3" t="s">
        <v>49</v>
      </c>
      <c r="B9" s="4" t="s">
        <v>50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37</v>
      </c>
      <c r="H9" s="5">
        <v>2</v>
      </c>
      <c r="I9" s="3" t="s">
        <v>19</v>
      </c>
      <c r="J9" s="6">
        <v>100000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100000</v>
      </c>
    </row>
    <row r="10" spans="1:16" x14ac:dyDescent="0.25">
      <c r="A10" s="3" t="s">
        <v>51</v>
      </c>
      <c r="B10" s="4" t="s">
        <v>52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37</v>
      </c>
      <c r="H10" s="5">
        <v>1</v>
      </c>
      <c r="I10" s="3" t="s">
        <v>19</v>
      </c>
      <c r="J10" s="6">
        <v>50000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50000</v>
      </c>
    </row>
    <row r="11" spans="1:16" x14ac:dyDescent="0.25">
      <c r="A11" s="3" t="s">
        <v>53</v>
      </c>
      <c r="B11" s="4" t="s">
        <v>54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40</v>
      </c>
      <c r="H11" s="5">
        <v>2</v>
      </c>
      <c r="I11" s="3" t="s">
        <v>19</v>
      </c>
      <c r="J11" s="6">
        <v>60000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60000</v>
      </c>
    </row>
    <row r="12" spans="1:16" x14ac:dyDescent="0.25">
      <c r="A12" s="3" t="s">
        <v>55</v>
      </c>
      <c r="B12" s="4" t="s">
        <v>56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37</v>
      </c>
      <c r="H12" s="5">
        <v>1</v>
      </c>
      <c r="I12" s="3" t="s">
        <v>19</v>
      </c>
      <c r="J12" s="6">
        <v>50000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50000</v>
      </c>
    </row>
    <row r="13" spans="1:16" x14ac:dyDescent="0.25">
      <c r="A13" s="3" t="s">
        <v>57</v>
      </c>
      <c r="B13" s="4" t="s">
        <v>58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37</v>
      </c>
      <c r="H13" s="5">
        <v>1</v>
      </c>
      <c r="I13" s="3" t="s">
        <v>19</v>
      </c>
      <c r="J13" s="6">
        <v>50000</v>
      </c>
      <c r="K13" s="6">
        <v>0</v>
      </c>
      <c r="L13" s="6">
        <v>0</v>
      </c>
      <c r="M13" s="6">
        <v>0</v>
      </c>
      <c r="N13" s="3" t="s">
        <v>19</v>
      </c>
      <c r="O13" s="6">
        <v>0</v>
      </c>
      <c r="P13" s="6">
        <f>J13-L13</f>
        <v>50000</v>
      </c>
    </row>
    <row r="14" spans="1:16" x14ac:dyDescent="0.25">
      <c r="A14" s="3" t="s">
        <v>59</v>
      </c>
      <c r="B14" s="4" t="s">
        <v>60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37</v>
      </c>
      <c r="H14" s="5">
        <v>8</v>
      </c>
      <c r="I14" s="3" t="s">
        <v>19</v>
      </c>
      <c r="J14" s="6">
        <v>400000</v>
      </c>
      <c r="K14" s="6">
        <v>0</v>
      </c>
      <c r="L14" s="6">
        <v>0</v>
      </c>
      <c r="M14" s="6">
        <v>0</v>
      </c>
      <c r="N14" s="3" t="s">
        <v>19</v>
      </c>
      <c r="O14" s="6">
        <v>0</v>
      </c>
      <c r="P14" s="6">
        <f>J14-L14</f>
        <v>400000</v>
      </c>
    </row>
    <row r="15" spans="1:16" x14ac:dyDescent="0.25">
      <c r="A15" s="3" t="s">
        <v>61</v>
      </c>
      <c r="B15" s="4" t="s">
        <v>62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37</v>
      </c>
      <c r="H15" s="5">
        <v>2</v>
      </c>
      <c r="I15" s="3" t="s">
        <v>19</v>
      </c>
      <c r="J15" s="6">
        <v>100000</v>
      </c>
      <c r="K15" s="6">
        <v>0</v>
      </c>
      <c r="L15" s="6">
        <v>0</v>
      </c>
      <c r="M15" s="6">
        <v>0</v>
      </c>
      <c r="N15" s="3" t="s">
        <v>19</v>
      </c>
      <c r="O15" s="6">
        <v>0</v>
      </c>
      <c r="P15" s="6">
        <f>J15-L15</f>
        <v>100000</v>
      </c>
    </row>
    <row r="16" spans="1:16" x14ac:dyDescent="0.25">
      <c r="A16" s="3" t="s">
        <v>63</v>
      </c>
      <c r="B16" s="4" t="s">
        <v>64</v>
      </c>
      <c r="C16" s="3" t="s">
        <v>19</v>
      </c>
      <c r="D16" s="3" t="s">
        <v>19</v>
      </c>
      <c r="E16" s="3" t="s">
        <v>25</v>
      </c>
      <c r="F16" s="3" t="s">
        <v>19</v>
      </c>
      <c r="G16" s="3" t="s">
        <v>37</v>
      </c>
      <c r="H16" s="5">
        <v>1</v>
      </c>
      <c r="I16" s="3" t="s">
        <v>19</v>
      </c>
      <c r="J16" s="6">
        <v>50000</v>
      </c>
      <c r="K16" s="6">
        <v>0</v>
      </c>
      <c r="L16" s="6">
        <v>0</v>
      </c>
      <c r="M16" s="6">
        <v>0</v>
      </c>
      <c r="N16" s="3" t="s">
        <v>19</v>
      </c>
      <c r="O16" s="6">
        <v>0</v>
      </c>
      <c r="P16" s="6">
        <f>J16-L16</f>
        <v>50000</v>
      </c>
    </row>
    <row r="17" spans="1:16" x14ac:dyDescent="0.25">
      <c r="A17" s="3" t="s">
        <v>65</v>
      </c>
      <c r="B17" s="4" t="s">
        <v>66</v>
      </c>
      <c r="C17" s="3" t="s">
        <v>19</v>
      </c>
      <c r="D17" s="3" t="s">
        <v>19</v>
      </c>
      <c r="E17" s="3" t="s">
        <v>25</v>
      </c>
      <c r="F17" s="3" t="s">
        <v>19</v>
      </c>
      <c r="G17" s="3" t="s">
        <v>37</v>
      </c>
      <c r="H17" s="5">
        <v>2</v>
      </c>
      <c r="I17" s="3" t="s">
        <v>19</v>
      </c>
      <c r="J17" s="6">
        <v>100000</v>
      </c>
      <c r="K17" s="6">
        <v>0</v>
      </c>
      <c r="L17" s="6">
        <v>0</v>
      </c>
      <c r="M17" s="6">
        <v>0</v>
      </c>
      <c r="N17" s="3" t="s">
        <v>19</v>
      </c>
      <c r="O17" s="6">
        <v>0</v>
      </c>
      <c r="P17" s="6">
        <f>J17-L17</f>
        <v>100000</v>
      </c>
    </row>
    <row r="18" spans="1:16" x14ac:dyDescent="0.25">
      <c r="A18" s="3" t="s">
        <v>65</v>
      </c>
      <c r="B18" s="4" t="s">
        <v>66</v>
      </c>
      <c r="C18" s="3" t="s">
        <v>19</v>
      </c>
      <c r="D18" s="3" t="s">
        <v>19</v>
      </c>
      <c r="E18" s="3" t="s">
        <v>25</v>
      </c>
      <c r="F18" s="3" t="s">
        <v>19</v>
      </c>
      <c r="G18" s="3" t="s">
        <v>40</v>
      </c>
      <c r="H18" s="5">
        <v>2</v>
      </c>
      <c r="I18" s="3" t="s">
        <v>19</v>
      </c>
      <c r="J18" s="6">
        <v>60000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60000</v>
      </c>
    </row>
    <row r="19" spans="1:16" x14ac:dyDescent="0.25">
      <c r="A19" s="3" t="s">
        <v>67</v>
      </c>
      <c r="B19" s="4" t="s">
        <v>68</v>
      </c>
      <c r="C19" s="3" t="s">
        <v>19</v>
      </c>
      <c r="D19" s="3" t="s">
        <v>19</v>
      </c>
      <c r="E19" s="3" t="s">
        <v>25</v>
      </c>
      <c r="F19" s="3" t="s">
        <v>19</v>
      </c>
      <c r="G19" s="3" t="s">
        <v>40</v>
      </c>
      <c r="H19" s="5">
        <v>1</v>
      </c>
      <c r="I19" s="3" t="s">
        <v>19</v>
      </c>
      <c r="J19" s="6">
        <v>30000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30000</v>
      </c>
    </row>
    <row r="20" spans="1:16" x14ac:dyDescent="0.25">
      <c r="A20" s="3" t="s">
        <v>67</v>
      </c>
      <c r="B20" s="4" t="s">
        <v>68</v>
      </c>
      <c r="C20" s="3" t="s">
        <v>19</v>
      </c>
      <c r="D20" s="3" t="s">
        <v>19</v>
      </c>
      <c r="E20" s="3" t="s">
        <v>25</v>
      </c>
      <c r="F20" s="3" t="s">
        <v>19</v>
      </c>
      <c r="G20" s="3" t="s">
        <v>37</v>
      </c>
      <c r="H20" s="5">
        <v>1</v>
      </c>
      <c r="I20" s="3" t="s">
        <v>19</v>
      </c>
      <c r="J20" s="6">
        <v>50000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50000</v>
      </c>
    </row>
    <row r="21" ht="18" customHeight="1" spans="1:16" x14ac:dyDescent="0.25">
      <c r="A21" s="7" t="s">
        <v>34</v>
      </c>
      <c r="B21" s="7"/>
      <c r="C21" s="7"/>
      <c r="D21" s="7"/>
      <c r="E21" s="7"/>
      <c r="F21" s="7"/>
      <c r="G21" s="7"/>
      <c r="H21" s="8">
        <f>SUM(H3:H20)</f>
        <v>39</v>
      </c>
      <c r="I21" s="7"/>
      <c r="J21" s="9">
        <f>SUM(J3:J20)</f>
        <v>1750000</v>
      </c>
      <c r="K21" s="9">
        <f>SUM(K3:K20)</f>
        <v>0</v>
      </c>
      <c r="L21" s="9">
        <f>SUM(L3:L20)</f>
        <v>0</v>
      </c>
      <c r="M21" s="9">
        <f>SUM(M3:M20)</f>
        <v>0</v>
      </c>
      <c r="N21" s="7"/>
      <c r="O21" s="9">
        <f>SUM(O3:O20)</f>
        <v>0</v>
      </c>
      <c r="P21" s="9">
        <f>SUM(P3:P20)</f>
        <v>1750000</v>
      </c>
    </row>
  </sheetData>
  <mergeCells count="2">
    <mergeCell ref="A1:P1"/>
    <mergeCell ref="A21:G21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1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69</v>
      </c>
      <c r="B3" s="4" t="s">
        <v>70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71</v>
      </c>
      <c r="H3" s="5">
        <v>1</v>
      </c>
      <c r="I3" s="3" t="s">
        <v>19</v>
      </c>
      <c r="J3" s="6">
        <v>25000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25000</v>
      </c>
    </row>
    <row r="4" spans="1:16" x14ac:dyDescent="0.25">
      <c r="A4" s="3" t="s">
        <v>72</v>
      </c>
      <c r="B4" s="4" t="s">
        <v>73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74</v>
      </c>
      <c r="H4" s="5">
        <v>1</v>
      </c>
      <c r="I4" s="3" t="s">
        <v>19</v>
      </c>
      <c r="J4" s="6">
        <v>25000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25000</v>
      </c>
    </row>
    <row r="5" spans="1:16" x14ac:dyDescent="0.25">
      <c r="A5" s="3" t="s">
        <v>75</v>
      </c>
      <c r="B5" s="4" t="s">
        <v>76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77</v>
      </c>
      <c r="H5" s="5">
        <v>1</v>
      </c>
      <c r="I5" s="3" t="s">
        <v>19</v>
      </c>
      <c r="J5" s="6">
        <v>30000</v>
      </c>
      <c r="K5" s="6">
        <v>0</v>
      </c>
      <c r="L5" s="6">
        <v>0</v>
      </c>
      <c r="M5" s="6">
        <v>0</v>
      </c>
      <c r="N5" s="3" t="s">
        <v>19</v>
      </c>
      <c r="O5" s="6">
        <v>0</v>
      </c>
      <c r="P5" s="6">
        <f>J5-L5</f>
        <v>30000</v>
      </c>
    </row>
    <row r="6" spans="1:16" x14ac:dyDescent="0.25">
      <c r="A6" s="3" t="s">
        <v>75</v>
      </c>
      <c r="B6" s="4" t="s">
        <v>76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78</v>
      </c>
      <c r="H6" s="5">
        <v>1</v>
      </c>
      <c r="I6" s="3" t="s">
        <v>19</v>
      </c>
      <c r="J6" s="6">
        <v>28000</v>
      </c>
      <c r="K6" s="6">
        <v>0</v>
      </c>
      <c r="L6" s="6">
        <v>0</v>
      </c>
      <c r="M6" s="6">
        <v>0</v>
      </c>
      <c r="N6" s="3" t="s">
        <v>19</v>
      </c>
      <c r="O6" s="6">
        <v>0</v>
      </c>
      <c r="P6" s="6">
        <f>J6-L6</f>
        <v>28000</v>
      </c>
    </row>
    <row r="7" spans="1:16" x14ac:dyDescent="0.25">
      <c r="A7" s="3" t="s">
        <v>79</v>
      </c>
      <c r="B7" s="4" t="s">
        <v>80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77</v>
      </c>
      <c r="H7" s="5">
        <v>1</v>
      </c>
      <c r="I7" s="3" t="s">
        <v>19</v>
      </c>
      <c r="J7" s="6">
        <v>30000</v>
      </c>
      <c r="K7" s="6">
        <v>0</v>
      </c>
      <c r="L7" s="6">
        <v>0</v>
      </c>
      <c r="M7" s="6">
        <v>0</v>
      </c>
      <c r="N7" s="3" t="s">
        <v>19</v>
      </c>
      <c r="O7" s="6">
        <v>0</v>
      </c>
      <c r="P7" s="6">
        <f>J7-L7</f>
        <v>30000</v>
      </c>
    </row>
    <row r="8" spans="1:16" x14ac:dyDescent="0.25">
      <c r="A8" s="3" t="s">
        <v>79</v>
      </c>
      <c r="B8" s="4" t="s">
        <v>80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81</v>
      </c>
      <c r="H8" s="5">
        <v>1</v>
      </c>
      <c r="I8" s="3" t="s">
        <v>19</v>
      </c>
      <c r="J8" s="6">
        <v>30000</v>
      </c>
      <c r="K8" s="6">
        <v>0</v>
      </c>
      <c r="L8" s="6">
        <v>0</v>
      </c>
      <c r="M8" s="6">
        <v>0</v>
      </c>
      <c r="N8" s="3" t="s">
        <v>19</v>
      </c>
      <c r="O8" s="6">
        <v>0</v>
      </c>
      <c r="P8" s="6">
        <f>J8-L8</f>
        <v>30000</v>
      </c>
    </row>
    <row r="9" spans="1:16" x14ac:dyDescent="0.25">
      <c r="A9" s="3" t="s">
        <v>82</v>
      </c>
      <c r="B9" s="4" t="s">
        <v>83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78</v>
      </c>
      <c r="H9" s="5">
        <v>1</v>
      </c>
      <c r="I9" s="3" t="s">
        <v>19</v>
      </c>
      <c r="J9" s="6">
        <v>28000</v>
      </c>
      <c r="K9" s="6">
        <v>0</v>
      </c>
      <c r="L9" s="6">
        <v>0</v>
      </c>
      <c r="M9" s="6">
        <v>0</v>
      </c>
      <c r="N9" s="3" t="s">
        <v>19</v>
      </c>
      <c r="O9" s="6">
        <v>0</v>
      </c>
      <c r="P9" s="6">
        <f>J9-L9</f>
        <v>28000</v>
      </c>
    </row>
    <row r="10" spans="1:16" x14ac:dyDescent="0.25">
      <c r="A10" s="3" t="s">
        <v>84</v>
      </c>
      <c r="B10" s="4" t="s">
        <v>85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77</v>
      </c>
      <c r="H10" s="5">
        <v>1</v>
      </c>
      <c r="I10" s="3" t="s">
        <v>19</v>
      </c>
      <c r="J10" s="6">
        <v>30000</v>
      </c>
      <c r="K10" s="6">
        <v>0</v>
      </c>
      <c r="L10" s="6">
        <v>0</v>
      </c>
      <c r="M10" s="6">
        <v>0</v>
      </c>
      <c r="N10" s="3" t="s">
        <v>19</v>
      </c>
      <c r="O10" s="6">
        <v>0</v>
      </c>
      <c r="P10" s="6">
        <f>J10-L10</f>
        <v>30000</v>
      </c>
    </row>
    <row r="11" spans="1:16" x14ac:dyDescent="0.25">
      <c r="A11" s="3" t="s">
        <v>86</v>
      </c>
      <c r="B11" s="4" t="s">
        <v>87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88</v>
      </c>
      <c r="H11" s="5">
        <v>1</v>
      </c>
      <c r="I11" s="3" t="s">
        <v>19</v>
      </c>
      <c r="J11" s="6">
        <v>25000</v>
      </c>
      <c r="K11" s="6">
        <v>0</v>
      </c>
      <c r="L11" s="6">
        <v>0</v>
      </c>
      <c r="M11" s="6">
        <v>0</v>
      </c>
      <c r="N11" s="3" t="s">
        <v>19</v>
      </c>
      <c r="O11" s="6">
        <v>0</v>
      </c>
      <c r="P11" s="6">
        <f>J11-L11</f>
        <v>25000</v>
      </c>
    </row>
    <row r="12" spans="1:16" x14ac:dyDescent="0.25">
      <c r="A12" s="3" t="s">
        <v>89</v>
      </c>
      <c r="B12" s="4" t="s">
        <v>90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91</v>
      </c>
      <c r="H12" s="5">
        <v>1</v>
      </c>
      <c r="I12" s="3" t="s">
        <v>19</v>
      </c>
      <c r="J12" s="6">
        <v>35000</v>
      </c>
      <c r="K12" s="6">
        <v>0</v>
      </c>
      <c r="L12" s="6">
        <v>0</v>
      </c>
      <c r="M12" s="6">
        <v>0</v>
      </c>
      <c r="N12" s="3" t="s">
        <v>19</v>
      </c>
      <c r="O12" s="6">
        <v>0</v>
      </c>
      <c r="P12" s="6">
        <f>J12-L12</f>
        <v>35000</v>
      </c>
    </row>
    <row r="13" spans="1:16" x14ac:dyDescent="0.25">
      <c r="A13" s="3" t="s">
        <v>92</v>
      </c>
      <c r="B13" s="4" t="s">
        <v>93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78</v>
      </c>
      <c r="H13" s="5">
        <v>1</v>
      </c>
      <c r="I13" s="3" t="s">
        <v>19</v>
      </c>
      <c r="J13" s="6">
        <v>28000</v>
      </c>
      <c r="K13" s="6">
        <v>0</v>
      </c>
      <c r="L13" s="6">
        <v>0</v>
      </c>
      <c r="M13" s="6">
        <v>0</v>
      </c>
      <c r="N13" s="3" t="s">
        <v>19</v>
      </c>
      <c r="O13" s="6">
        <v>0</v>
      </c>
      <c r="P13" s="6">
        <f>J13-L13</f>
        <v>28000</v>
      </c>
    </row>
    <row r="14" spans="1:16" x14ac:dyDescent="0.25">
      <c r="A14" s="3" t="s">
        <v>94</v>
      </c>
      <c r="B14" s="4" t="s">
        <v>95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91</v>
      </c>
      <c r="H14" s="5">
        <v>1</v>
      </c>
      <c r="I14" s="3" t="s">
        <v>19</v>
      </c>
      <c r="J14" s="6">
        <v>35000</v>
      </c>
      <c r="K14" s="6">
        <v>0</v>
      </c>
      <c r="L14" s="6">
        <v>0</v>
      </c>
      <c r="M14" s="6">
        <v>0</v>
      </c>
      <c r="N14" s="3" t="s">
        <v>19</v>
      </c>
      <c r="O14" s="6">
        <v>0</v>
      </c>
      <c r="P14" s="6">
        <f>J14-L14</f>
        <v>35000</v>
      </c>
    </row>
    <row r="15" spans="1:16" x14ac:dyDescent="0.25">
      <c r="A15" s="3" t="s">
        <v>96</v>
      </c>
      <c r="B15" s="4" t="s">
        <v>97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98</v>
      </c>
      <c r="H15" s="5">
        <v>1</v>
      </c>
      <c r="I15" s="3" t="s">
        <v>19</v>
      </c>
      <c r="J15" s="6">
        <v>17000</v>
      </c>
      <c r="K15" s="6">
        <v>0</v>
      </c>
      <c r="L15" s="6">
        <v>0</v>
      </c>
      <c r="M15" s="6">
        <v>0</v>
      </c>
      <c r="N15" s="3" t="s">
        <v>19</v>
      </c>
      <c r="O15" s="6">
        <v>0</v>
      </c>
      <c r="P15" s="6">
        <f>J15-L15</f>
        <v>17000</v>
      </c>
    </row>
    <row r="16" spans="1:16" x14ac:dyDescent="0.25">
      <c r="A16" s="3" t="s">
        <v>96</v>
      </c>
      <c r="B16" s="4" t="s">
        <v>97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78</v>
      </c>
      <c r="H16" s="5">
        <v>1</v>
      </c>
      <c r="I16" s="3" t="s">
        <v>19</v>
      </c>
      <c r="J16" s="6">
        <v>28000</v>
      </c>
      <c r="K16" s="6">
        <v>0</v>
      </c>
      <c r="L16" s="6">
        <v>0</v>
      </c>
      <c r="M16" s="6">
        <v>0</v>
      </c>
      <c r="N16" s="3" t="s">
        <v>19</v>
      </c>
      <c r="O16" s="6">
        <v>0</v>
      </c>
      <c r="P16" s="6">
        <f>J16-L16</f>
        <v>28000</v>
      </c>
    </row>
    <row r="17" spans="1:16" x14ac:dyDescent="0.25">
      <c r="A17" s="3" t="s">
        <v>99</v>
      </c>
      <c r="B17" s="4" t="s">
        <v>100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78</v>
      </c>
      <c r="H17" s="5">
        <v>1</v>
      </c>
      <c r="I17" s="3" t="s">
        <v>19</v>
      </c>
      <c r="J17" s="6">
        <v>28000</v>
      </c>
      <c r="K17" s="6">
        <v>0</v>
      </c>
      <c r="L17" s="6">
        <v>0</v>
      </c>
      <c r="M17" s="6">
        <v>0</v>
      </c>
      <c r="N17" s="3" t="s">
        <v>19</v>
      </c>
      <c r="O17" s="6">
        <v>0</v>
      </c>
      <c r="P17" s="6">
        <f>J17-L17</f>
        <v>28000</v>
      </c>
    </row>
    <row r="18" spans="1:16" x14ac:dyDescent="0.25">
      <c r="A18" s="3" t="s">
        <v>101</v>
      </c>
      <c r="B18" s="4" t="s">
        <v>102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91</v>
      </c>
      <c r="H18" s="5">
        <v>2</v>
      </c>
      <c r="I18" s="3" t="s">
        <v>19</v>
      </c>
      <c r="J18" s="6">
        <v>70000</v>
      </c>
      <c r="K18" s="6">
        <v>0</v>
      </c>
      <c r="L18" s="6">
        <v>0</v>
      </c>
      <c r="M18" s="6">
        <v>0</v>
      </c>
      <c r="N18" s="3" t="s">
        <v>19</v>
      </c>
      <c r="O18" s="6">
        <v>0</v>
      </c>
      <c r="P18" s="6">
        <f>J18-L18</f>
        <v>70000</v>
      </c>
    </row>
    <row r="19" spans="1:16" x14ac:dyDescent="0.25">
      <c r="A19" s="3" t="s">
        <v>101</v>
      </c>
      <c r="B19" s="4" t="s">
        <v>102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98</v>
      </c>
      <c r="H19" s="5">
        <v>1</v>
      </c>
      <c r="I19" s="3" t="s">
        <v>19</v>
      </c>
      <c r="J19" s="6">
        <v>17000</v>
      </c>
      <c r="K19" s="6">
        <v>0</v>
      </c>
      <c r="L19" s="6">
        <v>0</v>
      </c>
      <c r="M19" s="6">
        <v>0</v>
      </c>
      <c r="N19" s="3" t="s">
        <v>19</v>
      </c>
      <c r="O19" s="6">
        <v>0</v>
      </c>
      <c r="P19" s="6">
        <f>J19-L19</f>
        <v>17000</v>
      </c>
    </row>
    <row r="20" spans="1:16" x14ac:dyDescent="0.25">
      <c r="A20" s="3" t="s">
        <v>103</v>
      </c>
      <c r="B20" s="4" t="s">
        <v>104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105</v>
      </c>
      <c r="H20" s="5">
        <v>1</v>
      </c>
      <c r="I20" s="3" t="s">
        <v>19</v>
      </c>
      <c r="J20" s="6">
        <v>45000</v>
      </c>
      <c r="K20" s="6">
        <v>0</v>
      </c>
      <c r="L20" s="6">
        <v>0</v>
      </c>
      <c r="M20" s="6">
        <v>0</v>
      </c>
      <c r="N20" s="3" t="s">
        <v>19</v>
      </c>
      <c r="O20" s="6">
        <v>0</v>
      </c>
      <c r="P20" s="6">
        <f>J20-L20</f>
        <v>45000</v>
      </c>
    </row>
    <row r="21" spans="1:16" x14ac:dyDescent="0.25">
      <c r="A21" s="3" t="s">
        <v>106</v>
      </c>
      <c r="B21" s="4" t="s">
        <v>107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108</v>
      </c>
      <c r="H21" s="5">
        <v>1</v>
      </c>
      <c r="I21" s="3" t="s">
        <v>19</v>
      </c>
      <c r="J21" s="6">
        <v>40000</v>
      </c>
      <c r="K21" s="6">
        <v>0</v>
      </c>
      <c r="L21" s="6">
        <v>0</v>
      </c>
      <c r="M21" s="6">
        <v>0</v>
      </c>
      <c r="N21" s="3" t="s">
        <v>19</v>
      </c>
      <c r="O21" s="6">
        <v>0</v>
      </c>
      <c r="P21" s="6">
        <f>J21-L21</f>
        <v>40000</v>
      </c>
    </row>
    <row r="22" spans="1:16" x14ac:dyDescent="0.25">
      <c r="A22" s="3" t="s">
        <v>109</v>
      </c>
      <c r="B22" s="4" t="s">
        <v>110</v>
      </c>
      <c r="C22" s="3" t="s">
        <v>19</v>
      </c>
      <c r="D22" s="3" t="s">
        <v>19</v>
      </c>
      <c r="E22" s="3" t="s">
        <v>20</v>
      </c>
      <c r="F22" s="3" t="s">
        <v>19</v>
      </c>
      <c r="G22" s="3" t="s">
        <v>111</v>
      </c>
      <c r="H22" s="5">
        <v>1</v>
      </c>
      <c r="I22" s="3" t="s">
        <v>19</v>
      </c>
      <c r="J22" s="6">
        <v>40000</v>
      </c>
      <c r="K22" s="6">
        <v>0</v>
      </c>
      <c r="L22" s="6">
        <v>0</v>
      </c>
      <c r="M22" s="6">
        <v>0</v>
      </c>
      <c r="N22" s="3" t="s">
        <v>19</v>
      </c>
      <c r="O22" s="6">
        <v>0</v>
      </c>
      <c r="P22" s="6">
        <f>J22-L22</f>
        <v>40000</v>
      </c>
    </row>
    <row r="23" spans="1:16" x14ac:dyDescent="0.25">
      <c r="A23" s="3" t="s">
        <v>112</v>
      </c>
      <c r="B23" s="4" t="s">
        <v>113</v>
      </c>
      <c r="C23" s="3" t="s">
        <v>19</v>
      </c>
      <c r="D23" s="3" t="s">
        <v>19</v>
      </c>
      <c r="E23" s="3" t="s">
        <v>20</v>
      </c>
      <c r="F23" s="3" t="s">
        <v>19</v>
      </c>
      <c r="G23" s="3" t="s">
        <v>114</v>
      </c>
      <c r="H23" s="5">
        <v>1</v>
      </c>
      <c r="I23" s="3" t="s">
        <v>19</v>
      </c>
      <c r="J23" s="6">
        <v>35000</v>
      </c>
      <c r="K23" s="6">
        <v>0</v>
      </c>
      <c r="L23" s="6">
        <v>0</v>
      </c>
      <c r="M23" s="6">
        <v>0</v>
      </c>
      <c r="N23" s="3" t="s">
        <v>19</v>
      </c>
      <c r="O23" s="6">
        <v>0</v>
      </c>
      <c r="P23" s="6">
        <f>J23-L23</f>
        <v>35000</v>
      </c>
    </row>
    <row r="24" spans="1:16" x14ac:dyDescent="0.25">
      <c r="A24" s="3" t="s">
        <v>115</v>
      </c>
      <c r="B24" s="4" t="s">
        <v>116</v>
      </c>
      <c r="C24" s="3" t="s">
        <v>19</v>
      </c>
      <c r="D24" s="3" t="s">
        <v>19</v>
      </c>
      <c r="E24" s="3" t="s">
        <v>20</v>
      </c>
      <c r="F24" s="3" t="s">
        <v>19</v>
      </c>
      <c r="G24" s="3" t="s">
        <v>117</v>
      </c>
      <c r="H24" s="5">
        <v>1</v>
      </c>
      <c r="I24" s="3" t="s">
        <v>19</v>
      </c>
      <c r="J24" s="6">
        <v>40000</v>
      </c>
      <c r="K24" s="6">
        <v>0</v>
      </c>
      <c r="L24" s="6">
        <v>0</v>
      </c>
      <c r="M24" s="6">
        <v>0</v>
      </c>
      <c r="N24" s="3" t="s">
        <v>19</v>
      </c>
      <c r="O24" s="6">
        <v>0</v>
      </c>
      <c r="P24" s="6">
        <f>J24-L24</f>
        <v>40000</v>
      </c>
    </row>
    <row r="25" spans="1:16" x14ac:dyDescent="0.25">
      <c r="A25" s="3" t="s">
        <v>115</v>
      </c>
      <c r="B25" s="4" t="s">
        <v>116</v>
      </c>
      <c r="C25" s="3" t="s">
        <v>19</v>
      </c>
      <c r="D25" s="3" t="s">
        <v>19</v>
      </c>
      <c r="E25" s="3" t="s">
        <v>20</v>
      </c>
      <c r="F25" s="3" t="s">
        <v>19</v>
      </c>
      <c r="G25" s="3" t="s">
        <v>108</v>
      </c>
      <c r="H25" s="5">
        <v>1</v>
      </c>
      <c r="I25" s="3" t="s">
        <v>19</v>
      </c>
      <c r="J25" s="6">
        <v>40000</v>
      </c>
      <c r="K25" s="6">
        <v>0</v>
      </c>
      <c r="L25" s="6">
        <v>0</v>
      </c>
      <c r="M25" s="6">
        <v>0</v>
      </c>
      <c r="N25" s="3" t="s">
        <v>19</v>
      </c>
      <c r="O25" s="6">
        <v>0</v>
      </c>
      <c r="P25" s="6">
        <f>J25-L25</f>
        <v>40000</v>
      </c>
    </row>
    <row r="26" spans="1:16" x14ac:dyDescent="0.25">
      <c r="A26" s="3" t="s">
        <v>118</v>
      </c>
      <c r="B26" s="4" t="s">
        <v>119</v>
      </c>
      <c r="C26" s="3" t="s">
        <v>19</v>
      </c>
      <c r="D26" s="3" t="s">
        <v>19</v>
      </c>
      <c r="E26" s="3" t="s">
        <v>20</v>
      </c>
      <c r="F26" s="3" t="s">
        <v>19</v>
      </c>
      <c r="G26" s="3" t="s">
        <v>78</v>
      </c>
      <c r="H26" s="5">
        <v>1</v>
      </c>
      <c r="I26" s="3" t="s">
        <v>19</v>
      </c>
      <c r="J26" s="6">
        <v>28000</v>
      </c>
      <c r="K26" s="6">
        <v>0</v>
      </c>
      <c r="L26" s="6">
        <v>0</v>
      </c>
      <c r="M26" s="6">
        <v>0</v>
      </c>
      <c r="N26" s="3" t="s">
        <v>19</v>
      </c>
      <c r="O26" s="6">
        <v>0</v>
      </c>
      <c r="P26" s="6">
        <f>J26-L26</f>
        <v>28000</v>
      </c>
    </row>
    <row r="27" spans="1:16" x14ac:dyDescent="0.25">
      <c r="A27" s="3" t="s">
        <v>120</v>
      </c>
      <c r="B27" s="4" t="s">
        <v>121</v>
      </c>
      <c r="C27" s="3" t="s">
        <v>19</v>
      </c>
      <c r="D27" s="3" t="s">
        <v>19</v>
      </c>
      <c r="E27" s="3" t="s">
        <v>25</v>
      </c>
      <c r="F27" s="3" t="s">
        <v>19</v>
      </c>
      <c r="G27" s="3" t="s">
        <v>78</v>
      </c>
      <c r="H27" s="5">
        <v>1</v>
      </c>
      <c r="I27" s="3" t="s">
        <v>19</v>
      </c>
      <c r="J27" s="6">
        <v>28000</v>
      </c>
      <c r="K27" s="6">
        <v>0</v>
      </c>
      <c r="L27" s="6">
        <v>0</v>
      </c>
      <c r="M27" s="6">
        <v>0</v>
      </c>
      <c r="N27" s="3" t="s">
        <v>19</v>
      </c>
      <c r="O27" s="6">
        <v>0</v>
      </c>
      <c r="P27" s="6">
        <f>J27-L27</f>
        <v>28000</v>
      </c>
    </row>
    <row r="28" spans="1:16" x14ac:dyDescent="0.25">
      <c r="A28" s="3" t="s">
        <v>67</v>
      </c>
      <c r="B28" s="4" t="s">
        <v>68</v>
      </c>
      <c r="C28" s="3" t="s">
        <v>19</v>
      </c>
      <c r="D28" s="3" t="s">
        <v>19</v>
      </c>
      <c r="E28" s="3" t="s">
        <v>25</v>
      </c>
      <c r="F28" s="3" t="s">
        <v>19</v>
      </c>
      <c r="G28" s="3" t="s">
        <v>122</v>
      </c>
      <c r="H28" s="5">
        <v>1</v>
      </c>
      <c r="I28" s="3" t="s">
        <v>19</v>
      </c>
      <c r="J28" s="6">
        <v>25000</v>
      </c>
      <c r="K28" s="6">
        <v>0</v>
      </c>
      <c r="L28" s="6">
        <v>0</v>
      </c>
      <c r="M28" s="6">
        <v>0</v>
      </c>
      <c r="N28" s="3" t="s">
        <v>19</v>
      </c>
      <c r="O28" s="6">
        <v>0</v>
      </c>
      <c r="P28" s="6">
        <f>J28-L28</f>
        <v>25000</v>
      </c>
    </row>
    <row r="29" spans="1:16" x14ac:dyDescent="0.25">
      <c r="A29" s="3" t="s">
        <v>123</v>
      </c>
      <c r="B29" s="4" t="s">
        <v>124</v>
      </c>
      <c r="C29" s="3" t="s">
        <v>19</v>
      </c>
      <c r="D29" s="3" t="s">
        <v>19</v>
      </c>
      <c r="E29" s="3" t="s">
        <v>25</v>
      </c>
      <c r="F29" s="3" t="s">
        <v>19</v>
      </c>
      <c r="G29" s="3" t="s">
        <v>74</v>
      </c>
      <c r="H29" s="5">
        <v>1</v>
      </c>
      <c r="I29" s="3" t="s">
        <v>19</v>
      </c>
      <c r="J29" s="6">
        <v>25000</v>
      </c>
      <c r="K29" s="6">
        <v>0</v>
      </c>
      <c r="L29" s="6">
        <v>0</v>
      </c>
      <c r="M29" s="6">
        <v>0</v>
      </c>
      <c r="N29" s="3" t="s">
        <v>19</v>
      </c>
      <c r="O29" s="6">
        <v>0</v>
      </c>
      <c r="P29" s="6">
        <f>J29-L29</f>
        <v>25000</v>
      </c>
    </row>
    <row r="30" spans="1:16" x14ac:dyDescent="0.25">
      <c r="A30" s="3" t="s">
        <v>125</v>
      </c>
      <c r="B30" s="4" t="s">
        <v>126</v>
      </c>
      <c r="C30" s="3" t="s">
        <v>19</v>
      </c>
      <c r="D30" s="3" t="s">
        <v>19</v>
      </c>
      <c r="E30" s="3" t="s">
        <v>25</v>
      </c>
      <c r="F30" s="3" t="s">
        <v>19</v>
      </c>
      <c r="G30" s="3" t="s">
        <v>71</v>
      </c>
      <c r="H30" s="5">
        <v>1</v>
      </c>
      <c r="I30" s="3" t="s">
        <v>19</v>
      </c>
      <c r="J30" s="6">
        <v>25000</v>
      </c>
      <c r="K30" s="6">
        <v>0</v>
      </c>
      <c r="L30" s="6">
        <v>0</v>
      </c>
      <c r="M30" s="6">
        <v>0</v>
      </c>
      <c r="N30" s="3" t="s">
        <v>19</v>
      </c>
      <c r="O30" s="6">
        <v>0</v>
      </c>
      <c r="P30" s="6">
        <f>J30-L30</f>
        <v>25000</v>
      </c>
    </row>
    <row r="31" ht="18" customHeight="1" spans="1:16" x14ac:dyDescent="0.25">
      <c r="A31" s="7" t="s">
        <v>34</v>
      </c>
      <c r="B31" s="7"/>
      <c r="C31" s="7"/>
      <c r="D31" s="7"/>
      <c r="E31" s="7"/>
      <c r="F31" s="7"/>
      <c r="G31" s="7"/>
      <c r="H31" s="8">
        <f>SUM(H3:H30)</f>
        <v>29</v>
      </c>
      <c r="I31" s="7"/>
      <c r="J31" s="9">
        <f>SUM(J3:J30)</f>
        <v>880000</v>
      </c>
      <c r="K31" s="9">
        <f>SUM(K3:K30)</f>
        <v>0</v>
      </c>
      <c r="L31" s="9">
        <f>SUM(L3:L30)</f>
        <v>0</v>
      </c>
      <c r="M31" s="9">
        <f>SUM(M3:M30)</f>
        <v>0</v>
      </c>
      <c r="N31" s="7"/>
      <c r="O31" s="9">
        <f>SUM(O3:O30)</f>
        <v>0</v>
      </c>
      <c r="P31" s="9">
        <f>SUM(P3:P30)</f>
        <v>880000</v>
      </c>
    </row>
  </sheetData>
  <mergeCells count="2">
    <mergeCell ref="A1:P1"/>
    <mergeCell ref="A31:G31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5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127</v>
      </c>
      <c r="B3" s="4" t="s">
        <v>128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129</v>
      </c>
      <c r="H3" s="5">
        <v>1</v>
      </c>
      <c r="I3" s="3" t="s">
        <v>19</v>
      </c>
      <c r="J3" s="6">
        <v>15000</v>
      </c>
      <c r="K3" s="6">
        <v>0</v>
      </c>
      <c r="L3" s="6">
        <v>4527.77</v>
      </c>
      <c r="M3" s="6">
        <v>0</v>
      </c>
      <c r="N3" s="3" t="s">
        <v>19</v>
      </c>
      <c r="O3" s="6">
        <v>0</v>
      </c>
      <c r="P3" s="6">
        <f>J3-L3</f>
        <v>10472.23</v>
      </c>
    </row>
    <row r="4" spans="1:16" x14ac:dyDescent="0.25">
      <c r="A4" s="3" t="s">
        <v>130</v>
      </c>
      <c r="B4" s="4" t="s">
        <v>131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132</v>
      </c>
      <c r="H4" s="5">
        <v>1</v>
      </c>
      <c r="I4" s="3" t="s">
        <v>19</v>
      </c>
      <c r="J4" s="6">
        <v>12000</v>
      </c>
      <c r="K4" s="6">
        <v>0</v>
      </c>
      <c r="L4" s="6">
        <v>6250</v>
      </c>
      <c r="M4" s="6">
        <v>0</v>
      </c>
      <c r="N4" s="3" t="s">
        <v>19</v>
      </c>
      <c r="O4" s="6">
        <v>0</v>
      </c>
      <c r="P4" s="6">
        <f>J4-L4</f>
        <v>5750</v>
      </c>
    </row>
    <row r="5" spans="1:16" x14ac:dyDescent="0.25">
      <c r="A5" s="3" t="s">
        <v>84</v>
      </c>
      <c r="B5" s="4" t="s">
        <v>85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129</v>
      </c>
      <c r="H5" s="5">
        <v>1</v>
      </c>
      <c r="I5" s="3" t="s">
        <v>19</v>
      </c>
      <c r="J5" s="6">
        <v>15000</v>
      </c>
      <c r="K5" s="6">
        <v>0</v>
      </c>
      <c r="L5" s="6">
        <v>4527.77</v>
      </c>
      <c r="M5" s="6">
        <v>0</v>
      </c>
      <c r="N5" s="3" t="s">
        <v>19</v>
      </c>
      <c r="O5" s="6">
        <v>0</v>
      </c>
      <c r="P5" s="6">
        <f>J5-L5</f>
        <v>10472.23</v>
      </c>
    </row>
    <row r="6" spans="1:16" x14ac:dyDescent="0.25">
      <c r="A6" s="3" t="s">
        <v>133</v>
      </c>
      <c r="B6" s="4" t="s">
        <v>134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129</v>
      </c>
      <c r="H6" s="5">
        <v>1</v>
      </c>
      <c r="I6" s="3" t="s">
        <v>19</v>
      </c>
      <c r="J6" s="6">
        <v>15000</v>
      </c>
      <c r="K6" s="6">
        <v>0</v>
      </c>
      <c r="L6" s="6">
        <v>4527.77</v>
      </c>
      <c r="M6" s="6">
        <v>0</v>
      </c>
      <c r="N6" s="3" t="s">
        <v>19</v>
      </c>
      <c r="O6" s="6">
        <v>0</v>
      </c>
      <c r="P6" s="6">
        <f>J6-L6</f>
        <v>10472.23</v>
      </c>
    </row>
    <row r="7" spans="1:16" x14ac:dyDescent="0.25">
      <c r="A7" s="3" t="s">
        <v>135</v>
      </c>
      <c r="B7" s="4" t="s">
        <v>136</v>
      </c>
      <c r="C7" s="3" t="s">
        <v>19</v>
      </c>
      <c r="D7" s="3" t="s">
        <v>19</v>
      </c>
      <c r="E7" s="3" t="s">
        <v>20</v>
      </c>
      <c r="F7" s="3" t="s">
        <v>19</v>
      </c>
      <c r="G7" s="3" t="s">
        <v>129</v>
      </c>
      <c r="H7" s="5">
        <v>1</v>
      </c>
      <c r="I7" s="3" t="s">
        <v>19</v>
      </c>
      <c r="J7" s="6">
        <v>15000</v>
      </c>
      <c r="K7" s="6">
        <v>0</v>
      </c>
      <c r="L7" s="6">
        <v>4527.77</v>
      </c>
      <c r="M7" s="6">
        <v>0</v>
      </c>
      <c r="N7" s="3" t="s">
        <v>19</v>
      </c>
      <c r="O7" s="6">
        <v>0</v>
      </c>
      <c r="P7" s="6">
        <f>J7-L7</f>
        <v>10472.23</v>
      </c>
    </row>
    <row r="8" spans="1:16" x14ac:dyDescent="0.25">
      <c r="A8" s="3" t="s">
        <v>137</v>
      </c>
      <c r="B8" s="4" t="s">
        <v>138</v>
      </c>
      <c r="C8" s="3" t="s">
        <v>19</v>
      </c>
      <c r="D8" s="3" t="s">
        <v>19</v>
      </c>
      <c r="E8" s="3" t="s">
        <v>20</v>
      </c>
      <c r="F8" s="3" t="s">
        <v>19</v>
      </c>
      <c r="G8" s="3" t="s">
        <v>129</v>
      </c>
      <c r="H8" s="5">
        <v>1</v>
      </c>
      <c r="I8" s="3" t="s">
        <v>19</v>
      </c>
      <c r="J8" s="6">
        <v>15000</v>
      </c>
      <c r="K8" s="6">
        <v>0</v>
      </c>
      <c r="L8" s="6">
        <v>4527.77</v>
      </c>
      <c r="M8" s="6">
        <v>0</v>
      </c>
      <c r="N8" s="3" t="s">
        <v>19</v>
      </c>
      <c r="O8" s="6">
        <v>0</v>
      </c>
      <c r="P8" s="6">
        <f>J8-L8</f>
        <v>10472.23</v>
      </c>
    </row>
    <row r="9" spans="1:16" x14ac:dyDescent="0.25">
      <c r="A9" s="3" t="s">
        <v>139</v>
      </c>
      <c r="B9" s="4" t="s">
        <v>140</v>
      </c>
      <c r="C9" s="3" t="s">
        <v>19</v>
      </c>
      <c r="D9" s="3" t="s">
        <v>19</v>
      </c>
      <c r="E9" s="3" t="s">
        <v>20</v>
      </c>
      <c r="F9" s="3" t="s">
        <v>19</v>
      </c>
      <c r="G9" s="3" t="s">
        <v>129</v>
      </c>
      <c r="H9" s="5">
        <v>1</v>
      </c>
      <c r="I9" s="3" t="s">
        <v>19</v>
      </c>
      <c r="J9" s="6">
        <v>15000</v>
      </c>
      <c r="K9" s="6">
        <v>0</v>
      </c>
      <c r="L9" s="6">
        <v>4527.77</v>
      </c>
      <c r="M9" s="6">
        <v>0</v>
      </c>
      <c r="N9" s="3" t="s">
        <v>19</v>
      </c>
      <c r="O9" s="6">
        <v>0</v>
      </c>
      <c r="P9" s="6">
        <f>J9-L9</f>
        <v>10472.23</v>
      </c>
    </row>
    <row r="10" spans="1:16" x14ac:dyDescent="0.25">
      <c r="A10" s="3" t="s">
        <v>141</v>
      </c>
      <c r="B10" s="4" t="s">
        <v>142</v>
      </c>
      <c r="C10" s="3" t="s">
        <v>19</v>
      </c>
      <c r="D10" s="3" t="s">
        <v>19</v>
      </c>
      <c r="E10" s="3" t="s">
        <v>20</v>
      </c>
      <c r="F10" s="3" t="s">
        <v>19</v>
      </c>
      <c r="G10" s="3" t="s">
        <v>143</v>
      </c>
      <c r="H10" s="5">
        <v>1</v>
      </c>
      <c r="I10" s="3" t="s">
        <v>19</v>
      </c>
      <c r="J10" s="6">
        <v>10000</v>
      </c>
      <c r="K10" s="6">
        <v>0</v>
      </c>
      <c r="L10" s="6">
        <v>2087.18</v>
      </c>
      <c r="M10" s="6">
        <v>0</v>
      </c>
      <c r="N10" s="3" t="s">
        <v>19</v>
      </c>
      <c r="O10" s="6">
        <v>0</v>
      </c>
      <c r="P10" s="6">
        <f>J10-L10</f>
        <v>7912.82</v>
      </c>
    </row>
    <row r="11" spans="1:16" x14ac:dyDescent="0.25">
      <c r="A11" s="3" t="s">
        <v>144</v>
      </c>
      <c r="B11" s="4" t="s">
        <v>145</v>
      </c>
      <c r="C11" s="3" t="s">
        <v>19</v>
      </c>
      <c r="D11" s="3" t="s">
        <v>19</v>
      </c>
      <c r="E11" s="3" t="s">
        <v>20</v>
      </c>
      <c r="F11" s="3" t="s">
        <v>19</v>
      </c>
      <c r="G11" s="3" t="s">
        <v>129</v>
      </c>
      <c r="H11" s="5">
        <v>1</v>
      </c>
      <c r="I11" s="3" t="s">
        <v>19</v>
      </c>
      <c r="J11" s="6">
        <v>15000</v>
      </c>
      <c r="K11" s="6">
        <v>0</v>
      </c>
      <c r="L11" s="6">
        <v>4527.77</v>
      </c>
      <c r="M11" s="6">
        <v>0</v>
      </c>
      <c r="N11" s="3" t="s">
        <v>19</v>
      </c>
      <c r="O11" s="6">
        <v>0</v>
      </c>
      <c r="P11" s="6">
        <f>J11-L11</f>
        <v>10472.23</v>
      </c>
    </row>
    <row r="12" spans="1:16" x14ac:dyDescent="0.25">
      <c r="A12" s="3" t="s">
        <v>146</v>
      </c>
      <c r="B12" s="4" t="s">
        <v>147</v>
      </c>
      <c r="C12" s="3" t="s">
        <v>19</v>
      </c>
      <c r="D12" s="3" t="s">
        <v>19</v>
      </c>
      <c r="E12" s="3" t="s">
        <v>20</v>
      </c>
      <c r="F12" s="3" t="s">
        <v>19</v>
      </c>
      <c r="G12" s="3" t="s">
        <v>129</v>
      </c>
      <c r="H12" s="5">
        <v>1</v>
      </c>
      <c r="I12" s="3" t="s">
        <v>19</v>
      </c>
      <c r="J12" s="6">
        <v>15000</v>
      </c>
      <c r="K12" s="6">
        <v>0</v>
      </c>
      <c r="L12" s="6">
        <v>4527.77</v>
      </c>
      <c r="M12" s="6">
        <v>0</v>
      </c>
      <c r="N12" s="3" t="s">
        <v>19</v>
      </c>
      <c r="O12" s="6">
        <v>0</v>
      </c>
      <c r="P12" s="6">
        <f>J12-L12</f>
        <v>10472.23</v>
      </c>
    </row>
    <row r="13" spans="1:16" x14ac:dyDescent="0.25">
      <c r="A13" s="3" t="s">
        <v>148</v>
      </c>
      <c r="B13" s="4" t="s">
        <v>149</v>
      </c>
      <c r="C13" s="3" t="s">
        <v>19</v>
      </c>
      <c r="D13" s="3" t="s">
        <v>19</v>
      </c>
      <c r="E13" s="3" t="s">
        <v>20</v>
      </c>
      <c r="F13" s="3" t="s">
        <v>19</v>
      </c>
      <c r="G13" s="3" t="s">
        <v>129</v>
      </c>
      <c r="H13" s="5">
        <v>1</v>
      </c>
      <c r="I13" s="3" t="s">
        <v>19</v>
      </c>
      <c r="J13" s="6">
        <v>15000</v>
      </c>
      <c r="K13" s="6">
        <v>0</v>
      </c>
      <c r="L13" s="6">
        <v>4527.77</v>
      </c>
      <c r="M13" s="6">
        <v>0</v>
      </c>
      <c r="N13" s="3" t="s">
        <v>19</v>
      </c>
      <c r="O13" s="6">
        <v>0</v>
      </c>
      <c r="P13" s="6">
        <f>J13-L13</f>
        <v>10472.23</v>
      </c>
    </row>
    <row r="14" spans="1:16" x14ac:dyDescent="0.25">
      <c r="A14" s="3" t="s">
        <v>150</v>
      </c>
      <c r="B14" s="4" t="s">
        <v>151</v>
      </c>
      <c r="C14" s="3" t="s">
        <v>19</v>
      </c>
      <c r="D14" s="3" t="s">
        <v>19</v>
      </c>
      <c r="E14" s="3" t="s">
        <v>20</v>
      </c>
      <c r="F14" s="3" t="s">
        <v>19</v>
      </c>
      <c r="G14" s="3" t="s">
        <v>143</v>
      </c>
      <c r="H14" s="5">
        <v>1</v>
      </c>
      <c r="I14" s="3" t="s">
        <v>19</v>
      </c>
      <c r="J14" s="6">
        <v>10000</v>
      </c>
      <c r="K14" s="6">
        <v>0</v>
      </c>
      <c r="L14" s="6">
        <v>2087.18</v>
      </c>
      <c r="M14" s="6">
        <v>0</v>
      </c>
      <c r="N14" s="3" t="s">
        <v>19</v>
      </c>
      <c r="O14" s="6">
        <v>0</v>
      </c>
      <c r="P14" s="6">
        <f>J14-L14</f>
        <v>7912.82</v>
      </c>
    </row>
    <row r="15" spans="1:16" x14ac:dyDescent="0.25">
      <c r="A15" s="3" t="s">
        <v>152</v>
      </c>
      <c r="B15" s="4" t="s">
        <v>153</v>
      </c>
      <c r="C15" s="3" t="s">
        <v>19</v>
      </c>
      <c r="D15" s="3" t="s">
        <v>19</v>
      </c>
      <c r="E15" s="3" t="s">
        <v>20</v>
      </c>
      <c r="F15" s="3" t="s">
        <v>19</v>
      </c>
      <c r="G15" s="3" t="s">
        <v>129</v>
      </c>
      <c r="H15" s="5">
        <v>1</v>
      </c>
      <c r="I15" s="3" t="s">
        <v>19</v>
      </c>
      <c r="J15" s="6">
        <v>15000</v>
      </c>
      <c r="K15" s="6">
        <v>0</v>
      </c>
      <c r="L15" s="6">
        <v>4527.77</v>
      </c>
      <c r="M15" s="6">
        <v>0</v>
      </c>
      <c r="N15" s="3" t="s">
        <v>19</v>
      </c>
      <c r="O15" s="6">
        <v>0</v>
      </c>
      <c r="P15" s="6">
        <f>J15-L15</f>
        <v>10472.23</v>
      </c>
    </row>
    <row r="16" spans="1:16" x14ac:dyDescent="0.25">
      <c r="A16" s="3" t="s">
        <v>154</v>
      </c>
      <c r="B16" s="4" t="s">
        <v>155</v>
      </c>
      <c r="C16" s="3" t="s">
        <v>19</v>
      </c>
      <c r="D16" s="3" t="s">
        <v>19</v>
      </c>
      <c r="E16" s="3" t="s">
        <v>20</v>
      </c>
      <c r="F16" s="3" t="s">
        <v>19</v>
      </c>
      <c r="G16" s="3" t="s">
        <v>129</v>
      </c>
      <c r="H16" s="5">
        <v>1</v>
      </c>
      <c r="I16" s="3" t="s">
        <v>19</v>
      </c>
      <c r="J16" s="6">
        <v>15000</v>
      </c>
      <c r="K16" s="6">
        <v>0</v>
      </c>
      <c r="L16" s="6">
        <v>4527.77</v>
      </c>
      <c r="M16" s="6">
        <v>0</v>
      </c>
      <c r="N16" s="3" t="s">
        <v>19</v>
      </c>
      <c r="O16" s="6">
        <v>0</v>
      </c>
      <c r="P16" s="6">
        <f>J16-L16</f>
        <v>10472.23</v>
      </c>
    </row>
    <row r="17" spans="1:16" x14ac:dyDescent="0.25">
      <c r="A17" s="3" t="s">
        <v>156</v>
      </c>
      <c r="B17" s="4" t="s">
        <v>157</v>
      </c>
      <c r="C17" s="3" t="s">
        <v>19</v>
      </c>
      <c r="D17" s="3" t="s">
        <v>19</v>
      </c>
      <c r="E17" s="3" t="s">
        <v>20</v>
      </c>
      <c r="F17" s="3" t="s">
        <v>19</v>
      </c>
      <c r="G17" s="3" t="s">
        <v>129</v>
      </c>
      <c r="H17" s="5">
        <v>1</v>
      </c>
      <c r="I17" s="3" t="s">
        <v>19</v>
      </c>
      <c r="J17" s="6">
        <v>15000</v>
      </c>
      <c r="K17" s="6">
        <v>0</v>
      </c>
      <c r="L17" s="6">
        <v>4527.77</v>
      </c>
      <c r="M17" s="6">
        <v>0</v>
      </c>
      <c r="N17" s="3" t="s">
        <v>19</v>
      </c>
      <c r="O17" s="6">
        <v>0</v>
      </c>
      <c r="P17" s="6">
        <f>J17-L17</f>
        <v>10472.23</v>
      </c>
    </row>
    <row r="18" spans="1:16" x14ac:dyDescent="0.25">
      <c r="A18" s="3" t="s">
        <v>118</v>
      </c>
      <c r="B18" s="4" t="s">
        <v>119</v>
      </c>
      <c r="C18" s="3" t="s">
        <v>19</v>
      </c>
      <c r="D18" s="3" t="s">
        <v>19</v>
      </c>
      <c r="E18" s="3" t="s">
        <v>20</v>
      </c>
      <c r="F18" s="3" t="s">
        <v>19</v>
      </c>
      <c r="G18" s="3" t="s">
        <v>158</v>
      </c>
      <c r="H18" s="5">
        <v>1</v>
      </c>
      <c r="I18" s="3" t="s">
        <v>19</v>
      </c>
      <c r="J18" s="6">
        <v>12000</v>
      </c>
      <c r="K18" s="6">
        <v>0</v>
      </c>
      <c r="L18" s="6">
        <v>6250</v>
      </c>
      <c r="M18" s="6">
        <v>0</v>
      </c>
      <c r="N18" s="3" t="s">
        <v>19</v>
      </c>
      <c r="O18" s="6">
        <v>0</v>
      </c>
      <c r="P18" s="6">
        <f>J18-L18</f>
        <v>5750</v>
      </c>
    </row>
    <row r="19" spans="1:16" x14ac:dyDescent="0.25">
      <c r="A19" s="3" t="s">
        <v>118</v>
      </c>
      <c r="B19" s="4" t="s">
        <v>119</v>
      </c>
      <c r="C19" s="3" t="s">
        <v>19</v>
      </c>
      <c r="D19" s="3" t="s">
        <v>19</v>
      </c>
      <c r="E19" s="3" t="s">
        <v>20</v>
      </c>
      <c r="F19" s="3" t="s">
        <v>19</v>
      </c>
      <c r="G19" s="3" t="s">
        <v>129</v>
      </c>
      <c r="H19" s="5">
        <v>1</v>
      </c>
      <c r="I19" s="3" t="s">
        <v>19</v>
      </c>
      <c r="J19" s="6">
        <v>15000</v>
      </c>
      <c r="K19" s="6">
        <v>0</v>
      </c>
      <c r="L19" s="6">
        <v>4527.77</v>
      </c>
      <c r="M19" s="6">
        <v>0</v>
      </c>
      <c r="N19" s="3" t="s">
        <v>19</v>
      </c>
      <c r="O19" s="6">
        <v>0</v>
      </c>
      <c r="P19" s="6">
        <f>J19-L19</f>
        <v>10472.23</v>
      </c>
    </row>
    <row r="20" spans="1:16" x14ac:dyDescent="0.25">
      <c r="A20" s="3" t="s">
        <v>118</v>
      </c>
      <c r="B20" s="4" t="s">
        <v>119</v>
      </c>
      <c r="C20" s="3" t="s">
        <v>19</v>
      </c>
      <c r="D20" s="3" t="s">
        <v>19</v>
      </c>
      <c r="E20" s="3" t="s">
        <v>20</v>
      </c>
      <c r="F20" s="3" t="s">
        <v>19</v>
      </c>
      <c r="G20" s="3" t="s">
        <v>143</v>
      </c>
      <c r="H20" s="5">
        <v>1</v>
      </c>
      <c r="I20" s="3" t="s">
        <v>19</v>
      </c>
      <c r="J20" s="6">
        <v>10000</v>
      </c>
      <c r="K20" s="6">
        <v>0</v>
      </c>
      <c r="L20" s="6">
        <v>2087.18</v>
      </c>
      <c r="M20" s="6">
        <v>0</v>
      </c>
      <c r="N20" s="3" t="s">
        <v>19</v>
      </c>
      <c r="O20" s="6">
        <v>0</v>
      </c>
      <c r="P20" s="6">
        <f>J20-L20</f>
        <v>7912.82</v>
      </c>
    </row>
    <row r="21" spans="1:16" x14ac:dyDescent="0.25">
      <c r="A21" s="3" t="s">
        <v>118</v>
      </c>
      <c r="B21" s="4" t="s">
        <v>119</v>
      </c>
      <c r="C21" s="3" t="s">
        <v>19</v>
      </c>
      <c r="D21" s="3" t="s">
        <v>19</v>
      </c>
      <c r="E21" s="3" t="s">
        <v>20</v>
      </c>
      <c r="F21" s="3" t="s">
        <v>19</v>
      </c>
      <c r="G21" s="3" t="s">
        <v>132</v>
      </c>
      <c r="H21" s="5">
        <v>6</v>
      </c>
      <c r="I21" s="3" t="s">
        <v>19</v>
      </c>
      <c r="J21" s="6">
        <v>72000</v>
      </c>
      <c r="K21" s="6">
        <v>0</v>
      </c>
      <c r="L21" s="6">
        <v>37500</v>
      </c>
      <c r="M21" s="6">
        <v>0</v>
      </c>
      <c r="N21" s="3" t="s">
        <v>19</v>
      </c>
      <c r="O21" s="6">
        <v>0</v>
      </c>
      <c r="P21" s="6">
        <f>J21-L21</f>
        <v>34500</v>
      </c>
    </row>
    <row r="22" spans="1:16" x14ac:dyDescent="0.25">
      <c r="A22" s="3" t="s">
        <v>159</v>
      </c>
      <c r="B22" s="4" t="s">
        <v>160</v>
      </c>
      <c r="C22" s="3" t="s">
        <v>19</v>
      </c>
      <c r="D22" s="3" t="s">
        <v>19</v>
      </c>
      <c r="E22" s="3" t="s">
        <v>25</v>
      </c>
      <c r="F22" s="3" t="s">
        <v>19</v>
      </c>
      <c r="G22" s="3" t="s">
        <v>132</v>
      </c>
      <c r="H22" s="5">
        <v>1</v>
      </c>
      <c r="I22" s="3" t="s">
        <v>19</v>
      </c>
      <c r="J22" s="6">
        <v>12000</v>
      </c>
      <c r="K22" s="6">
        <v>0</v>
      </c>
      <c r="L22" s="6">
        <v>6250</v>
      </c>
      <c r="M22" s="6">
        <v>0</v>
      </c>
      <c r="N22" s="3" t="s">
        <v>19</v>
      </c>
      <c r="O22" s="6">
        <v>0</v>
      </c>
      <c r="P22" s="6">
        <f>J22-L22</f>
        <v>5750</v>
      </c>
    </row>
    <row r="23" spans="1:16" x14ac:dyDescent="0.25">
      <c r="A23" s="3" t="s">
        <v>161</v>
      </c>
      <c r="B23" s="4" t="s">
        <v>162</v>
      </c>
      <c r="C23" s="3" t="s">
        <v>19</v>
      </c>
      <c r="D23" s="3" t="s">
        <v>19</v>
      </c>
      <c r="E23" s="3" t="s">
        <v>25</v>
      </c>
      <c r="F23" s="3" t="s">
        <v>19</v>
      </c>
      <c r="G23" s="3" t="s">
        <v>163</v>
      </c>
      <c r="H23" s="5">
        <v>1</v>
      </c>
      <c r="I23" s="3" t="s">
        <v>19</v>
      </c>
      <c r="J23" s="6">
        <v>20000</v>
      </c>
      <c r="K23" s="6">
        <v>0</v>
      </c>
      <c r="L23" s="6">
        <v>10250</v>
      </c>
      <c r="M23" s="6">
        <v>0</v>
      </c>
      <c r="N23" s="3" t="s">
        <v>19</v>
      </c>
      <c r="O23" s="6">
        <v>0</v>
      </c>
      <c r="P23" s="6">
        <f>J23-L23</f>
        <v>9750</v>
      </c>
    </row>
    <row r="24" spans="1:16" x14ac:dyDescent="0.25">
      <c r="A24" s="3" t="s">
        <v>67</v>
      </c>
      <c r="B24" s="4" t="s">
        <v>68</v>
      </c>
      <c r="C24" s="3" t="s">
        <v>19</v>
      </c>
      <c r="D24" s="3" t="s">
        <v>19</v>
      </c>
      <c r="E24" s="3" t="s">
        <v>25</v>
      </c>
      <c r="F24" s="3" t="s">
        <v>19</v>
      </c>
      <c r="G24" s="3" t="s">
        <v>132</v>
      </c>
      <c r="H24" s="5">
        <v>3</v>
      </c>
      <c r="I24" s="3" t="s">
        <v>19</v>
      </c>
      <c r="J24" s="6">
        <v>36000</v>
      </c>
      <c r="K24" s="6">
        <v>0</v>
      </c>
      <c r="L24" s="6">
        <v>18750</v>
      </c>
      <c r="M24" s="6">
        <v>0</v>
      </c>
      <c r="N24" s="3" t="s">
        <v>19</v>
      </c>
      <c r="O24" s="6">
        <v>0</v>
      </c>
      <c r="P24" s="6">
        <f>J24-L24</f>
        <v>17250</v>
      </c>
    </row>
    <row r="25" spans="1:16" x14ac:dyDescent="0.25">
      <c r="A25" s="3" t="s">
        <v>67</v>
      </c>
      <c r="B25" s="4" t="s">
        <v>68</v>
      </c>
      <c r="C25" s="3" t="s">
        <v>19</v>
      </c>
      <c r="D25" s="3" t="s">
        <v>19</v>
      </c>
      <c r="E25" s="3" t="s">
        <v>25</v>
      </c>
      <c r="F25" s="3" t="s">
        <v>19</v>
      </c>
      <c r="G25" s="3" t="s">
        <v>143</v>
      </c>
      <c r="H25" s="5">
        <v>1</v>
      </c>
      <c r="I25" s="3" t="s">
        <v>19</v>
      </c>
      <c r="J25" s="6">
        <v>10000</v>
      </c>
      <c r="K25" s="6">
        <v>0</v>
      </c>
      <c r="L25" s="6">
        <v>2087.18</v>
      </c>
      <c r="M25" s="6">
        <v>0</v>
      </c>
      <c r="N25" s="3" t="s">
        <v>19</v>
      </c>
      <c r="O25" s="6">
        <v>0</v>
      </c>
      <c r="P25" s="6">
        <f>J25-L25</f>
        <v>7912.82</v>
      </c>
    </row>
    <row r="26" spans="1:16" x14ac:dyDescent="0.25">
      <c r="A26" s="3" t="s">
        <v>164</v>
      </c>
      <c r="B26" s="4" t="s">
        <v>165</v>
      </c>
      <c r="C26" s="3" t="s">
        <v>19</v>
      </c>
      <c r="D26" s="3" t="s">
        <v>19</v>
      </c>
      <c r="E26" s="3" t="s">
        <v>25</v>
      </c>
      <c r="F26" s="3" t="s">
        <v>19</v>
      </c>
      <c r="G26" s="3" t="s">
        <v>143</v>
      </c>
      <c r="H26" s="5">
        <v>1</v>
      </c>
      <c r="I26" s="3" t="s">
        <v>19</v>
      </c>
      <c r="J26" s="6">
        <v>10000</v>
      </c>
      <c r="K26" s="6">
        <v>0</v>
      </c>
      <c r="L26" s="6">
        <v>2087.18</v>
      </c>
      <c r="M26" s="6">
        <v>0</v>
      </c>
      <c r="N26" s="3" t="s">
        <v>19</v>
      </c>
      <c r="O26" s="6">
        <v>0</v>
      </c>
      <c r="P26" s="6">
        <f>J26-L26</f>
        <v>7912.82</v>
      </c>
    </row>
    <row r="27" spans="1:16" x14ac:dyDescent="0.25">
      <c r="A27" s="3" t="s">
        <v>164</v>
      </c>
      <c r="B27" s="4" t="s">
        <v>165</v>
      </c>
      <c r="C27" s="3" t="s">
        <v>19</v>
      </c>
      <c r="D27" s="3" t="s">
        <v>19</v>
      </c>
      <c r="E27" s="3" t="s">
        <v>25</v>
      </c>
      <c r="F27" s="3" t="s">
        <v>19</v>
      </c>
      <c r="G27" s="3" t="s">
        <v>158</v>
      </c>
      <c r="H27" s="5">
        <v>1</v>
      </c>
      <c r="I27" s="3" t="s">
        <v>19</v>
      </c>
      <c r="J27" s="6">
        <v>12000</v>
      </c>
      <c r="K27" s="6">
        <v>0</v>
      </c>
      <c r="L27" s="6">
        <v>6250</v>
      </c>
      <c r="M27" s="6">
        <v>0</v>
      </c>
      <c r="N27" s="3" t="s">
        <v>19</v>
      </c>
      <c r="O27" s="6">
        <v>0</v>
      </c>
      <c r="P27" s="6">
        <f>J27-L27</f>
        <v>5750</v>
      </c>
    </row>
    <row r="28" spans="1:16" x14ac:dyDescent="0.25">
      <c r="A28" s="3" t="s">
        <v>166</v>
      </c>
      <c r="B28" s="4" t="s">
        <v>167</v>
      </c>
      <c r="C28" s="3" t="s">
        <v>19</v>
      </c>
      <c r="D28" s="3" t="s">
        <v>19</v>
      </c>
      <c r="E28" s="3" t="s">
        <v>25</v>
      </c>
      <c r="F28" s="3" t="s">
        <v>19</v>
      </c>
      <c r="G28" s="3" t="s">
        <v>132</v>
      </c>
      <c r="H28" s="5">
        <v>2</v>
      </c>
      <c r="I28" s="3" t="s">
        <v>19</v>
      </c>
      <c r="J28" s="6">
        <v>24000</v>
      </c>
      <c r="K28" s="6">
        <v>0</v>
      </c>
      <c r="L28" s="6">
        <v>12500</v>
      </c>
      <c r="M28" s="6">
        <v>0</v>
      </c>
      <c r="N28" s="3" t="s">
        <v>19</v>
      </c>
      <c r="O28" s="6">
        <v>0</v>
      </c>
      <c r="P28" s="6">
        <f>J28-L28</f>
        <v>11500</v>
      </c>
    </row>
    <row r="29" spans="1:16" x14ac:dyDescent="0.25">
      <c r="A29" s="3" t="s">
        <v>168</v>
      </c>
      <c r="B29" s="4" t="s">
        <v>169</v>
      </c>
      <c r="C29" s="3" t="s">
        <v>19</v>
      </c>
      <c r="D29" s="3" t="s">
        <v>19</v>
      </c>
      <c r="E29" s="3" t="s">
        <v>25</v>
      </c>
      <c r="F29" s="3" t="s">
        <v>19</v>
      </c>
      <c r="G29" s="3" t="s">
        <v>129</v>
      </c>
      <c r="H29" s="5">
        <v>1</v>
      </c>
      <c r="I29" s="3" t="s">
        <v>19</v>
      </c>
      <c r="J29" s="6">
        <v>15000</v>
      </c>
      <c r="K29" s="6">
        <v>0</v>
      </c>
      <c r="L29" s="6">
        <v>4527.77</v>
      </c>
      <c r="M29" s="6">
        <v>0</v>
      </c>
      <c r="N29" s="3" t="s">
        <v>19</v>
      </c>
      <c r="O29" s="6">
        <v>0</v>
      </c>
      <c r="P29" s="6">
        <f>J29-L29</f>
        <v>10472.23</v>
      </c>
    </row>
    <row r="30" spans="1:16" x14ac:dyDescent="0.25">
      <c r="A30" s="3" t="s">
        <v>170</v>
      </c>
      <c r="B30" s="4" t="s">
        <v>171</v>
      </c>
      <c r="C30" s="3" t="s">
        <v>19</v>
      </c>
      <c r="D30" s="3" t="s">
        <v>19</v>
      </c>
      <c r="E30" s="3" t="s">
        <v>25</v>
      </c>
      <c r="F30" s="3" t="s">
        <v>19</v>
      </c>
      <c r="G30" s="3" t="s">
        <v>129</v>
      </c>
      <c r="H30" s="5">
        <v>1</v>
      </c>
      <c r="I30" s="3" t="s">
        <v>19</v>
      </c>
      <c r="J30" s="6">
        <v>15000</v>
      </c>
      <c r="K30" s="6">
        <v>0</v>
      </c>
      <c r="L30" s="6">
        <v>4527.77</v>
      </c>
      <c r="M30" s="6">
        <v>0</v>
      </c>
      <c r="N30" s="3" t="s">
        <v>19</v>
      </c>
      <c r="O30" s="6">
        <v>0</v>
      </c>
      <c r="P30" s="6">
        <f>J30-L30</f>
        <v>10472.23</v>
      </c>
    </row>
    <row r="31" spans="1:16" x14ac:dyDescent="0.25">
      <c r="A31" s="3" t="s">
        <v>170</v>
      </c>
      <c r="B31" s="4" t="s">
        <v>171</v>
      </c>
      <c r="C31" s="3" t="s">
        <v>19</v>
      </c>
      <c r="D31" s="3" t="s">
        <v>19</v>
      </c>
      <c r="E31" s="3" t="s">
        <v>25</v>
      </c>
      <c r="F31" s="3" t="s">
        <v>19</v>
      </c>
      <c r="G31" s="3" t="s">
        <v>158</v>
      </c>
      <c r="H31" s="5">
        <v>1</v>
      </c>
      <c r="I31" s="3" t="s">
        <v>19</v>
      </c>
      <c r="J31" s="6">
        <v>12000</v>
      </c>
      <c r="K31" s="6">
        <v>0</v>
      </c>
      <c r="L31" s="6">
        <v>6250</v>
      </c>
      <c r="M31" s="6">
        <v>0</v>
      </c>
      <c r="N31" s="3" t="s">
        <v>19</v>
      </c>
      <c r="O31" s="6">
        <v>0</v>
      </c>
      <c r="P31" s="6">
        <f>J31-L31</f>
        <v>5750</v>
      </c>
    </row>
    <row r="32" spans="1:16" x14ac:dyDescent="0.25">
      <c r="A32" s="3" t="s">
        <v>172</v>
      </c>
      <c r="B32" s="4" t="s">
        <v>173</v>
      </c>
      <c r="C32" s="3" t="s">
        <v>19</v>
      </c>
      <c r="D32" s="3" t="s">
        <v>19</v>
      </c>
      <c r="E32" s="3" t="s">
        <v>25</v>
      </c>
      <c r="F32" s="3" t="s">
        <v>19</v>
      </c>
      <c r="G32" s="3" t="s">
        <v>129</v>
      </c>
      <c r="H32" s="5">
        <v>1</v>
      </c>
      <c r="I32" s="3" t="s">
        <v>19</v>
      </c>
      <c r="J32" s="6">
        <v>15000</v>
      </c>
      <c r="K32" s="6">
        <v>0</v>
      </c>
      <c r="L32" s="6">
        <v>4527.77</v>
      </c>
      <c r="M32" s="6">
        <v>0</v>
      </c>
      <c r="N32" s="3" t="s">
        <v>19</v>
      </c>
      <c r="O32" s="6">
        <v>0</v>
      </c>
      <c r="P32" s="6">
        <f>J32-L32</f>
        <v>10472.23</v>
      </c>
    </row>
    <row r="33" spans="1:16" x14ac:dyDescent="0.25">
      <c r="A33" s="3" t="s">
        <v>174</v>
      </c>
      <c r="B33" s="4" t="s">
        <v>175</v>
      </c>
      <c r="C33" s="3" t="s">
        <v>19</v>
      </c>
      <c r="D33" s="3" t="s">
        <v>19</v>
      </c>
      <c r="E33" s="3" t="s">
        <v>25</v>
      </c>
      <c r="F33" s="3" t="s">
        <v>19</v>
      </c>
      <c r="G33" s="3" t="s">
        <v>163</v>
      </c>
      <c r="H33" s="5">
        <v>1</v>
      </c>
      <c r="I33" s="3" t="s">
        <v>19</v>
      </c>
      <c r="J33" s="6">
        <v>20000</v>
      </c>
      <c r="K33" s="6">
        <v>0</v>
      </c>
      <c r="L33" s="6">
        <v>10250</v>
      </c>
      <c r="M33" s="6">
        <v>0</v>
      </c>
      <c r="N33" s="3" t="s">
        <v>19</v>
      </c>
      <c r="O33" s="6">
        <v>0</v>
      </c>
      <c r="P33" s="6">
        <f>J33-L33</f>
        <v>9750</v>
      </c>
    </row>
    <row r="34" spans="1:16" x14ac:dyDescent="0.25">
      <c r="A34" s="3" t="s">
        <v>176</v>
      </c>
      <c r="B34" s="4" t="s">
        <v>177</v>
      </c>
      <c r="C34" s="3" t="s">
        <v>19</v>
      </c>
      <c r="D34" s="3" t="s">
        <v>19</v>
      </c>
      <c r="E34" s="3" t="s">
        <v>25</v>
      </c>
      <c r="F34" s="3" t="s">
        <v>19</v>
      </c>
      <c r="G34" s="3" t="s">
        <v>132</v>
      </c>
      <c r="H34" s="5">
        <v>1</v>
      </c>
      <c r="I34" s="3" t="s">
        <v>19</v>
      </c>
      <c r="J34" s="6">
        <v>12000</v>
      </c>
      <c r="K34" s="6">
        <v>0</v>
      </c>
      <c r="L34" s="6">
        <v>6250</v>
      </c>
      <c r="M34" s="6">
        <v>0</v>
      </c>
      <c r="N34" s="3" t="s">
        <v>19</v>
      </c>
      <c r="O34" s="6">
        <v>0</v>
      </c>
      <c r="P34" s="6">
        <f>J34-L34</f>
        <v>5750</v>
      </c>
    </row>
    <row r="35" ht="18" customHeight="1" spans="1:16" x14ac:dyDescent="0.25">
      <c r="A35" s="7" t="s">
        <v>34</v>
      </c>
      <c r="B35" s="7"/>
      <c r="C35" s="7"/>
      <c r="D35" s="7"/>
      <c r="E35" s="7"/>
      <c r="F35" s="7"/>
      <c r="G35" s="7"/>
      <c r="H35" s="8">
        <f>SUM(H3:H34)</f>
        <v>40</v>
      </c>
      <c r="I35" s="7"/>
      <c r="J35" s="9">
        <f>SUM(J3:J34)</f>
        <v>534000</v>
      </c>
      <c r="K35" s="9">
        <f>SUM(K3:K34)</f>
        <v>0</v>
      </c>
      <c r="L35" s="9">
        <f>SUM(L3:L34)</f>
        <v>209630.21999999997</v>
      </c>
      <c r="M35" s="9">
        <f>SUM(M3:M34)</f>
        <v>0</v>
      </c>
      <c r="N35" s="7"/>
      <c r="O35" s="9">
        <f>SUM(O3:O34)</f>
        <v>0</v>
      </c>
      <c r="P35" s="9">
        <f>SUM(P3:P34)</f>
        <v>324369.7799999999</v>
      </c>
    </row>
  </sheetData>
  <mergeCells count="2">
    <mergeCell ref="A1:P1"/>
    <mergeCell ref="A35:G35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43</v>
      </c>
      <c r="B3" s="4" t="s">
        <v>44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178</v>
      </c>
      <c r="H3" s="5">
        <v>1</v>
      </c>
      <c r="I3" s="3" t="s">
        <v>19</v>
      </c>
      <c r="J3" s="6">
        <v>80000</v>
      </c>
      <c r="K3" s="6">
        <v>0</v>
      </c>
      <c r="L3" s="6">
        <v>45000</v>
      </c>
      <c r="M3" s="6">
        <v>0</v>
      </c>
      <c r="N3" s="3" t="s">
        <v>19</v>
      </c>
      <c r="O3" s="6">
        <v>0</v>
      </c>
      <c r="P3" s="6">
        <f>J3-L3</f>
        <v>35000</v>
      </c>
    </row>
    <row r="4" spans="1:16" x14ac:dyDescent="0.25">
      <c r="A4" s="3" t="s">
        <v>179</v>
      </c>
      <c r="B4" s="4" t="s">
        <v>180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181</v>
      </c>
      <c r="H4" s="5">
        <v>1</v>
      </c>
      <c r="I4" s="3" t="s">
        <v>19</v>
      </c>
      <c r="J4" s="6">
        <v>125000</v>
      </c>
      <c r="K4" s="6">
        <v>0</v>
      </c>
      <c r="L4" s="6">
        <v>104285.71</v>
      </c>
      <c r="M4" s="6">
        <v>0</v>
      </c>
      <c r="N4" s="3" t="s">
        <v>19</v>
      </c>
      <c r="O4" s="6">
        <v>0</v>
      </c>
      <c r="P4" s="6">
        <f>J4-L4</f>
        <v>20714.289999999994</v>
      </c>
    </row>
    <row r="5" spans="1:16" x14ac:dyDescent="0.25">
      <c r="A5" s="3" t="s">
        <v>57</v>
      </c>
      <c r="B5" s="4" t="s">
        <v>58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182</v>
      </c>
      <c r="H5" s="5">
        <v>1</v>
      </c>
      <c r="I5" s="3" t="s">
        <v>19</v>
      </c>
      <c r="J5" s="6">
        <v>90000</v>
      </c>
      <c r="K5" s="6">
        <v>0</v>
      </c>
      <c r="L5" s="6">
        <v>58472.73</v>
      </c>
      <c r="M5" s="6">
        <v>0</v>
      </c>
      <c r="N5" s="3" t="s">
        <v>19</v>
      </c>
      <c r="O5" s="6">
        <v>0</v>
      </c>
      <c r="P5" s="6">
        <f>J5-L5</f>
        <v>31527.269999999997</v>
      </c>
    </row>
    <row r="6" spans="1:16" x14ac:dyDescent="0.25">
      <c r="A6" s="3" t="s">
        <v>183</v>
      </c>
      <c r="B6" s="4" t="s">
        <v>184</v>
      </c>
      <c r="C6" s="3" t="s">
        <v>19</v>
      </c>
      <c r="D6" s="3" t="s">
        <v>19</v>
      </c>
      <c r="E6" s="3" t="s">
        <v>20</v>
      </c>
      <c r="F6" s="3" t="s">
        <v>19</v>
      </c>
      <c r="G6" s="3" t="s">
        <v>182</v>
      </c>
      <c r="H6" s="5">
        <v>1</v>
      </c>
      <c r="I6" s="3" t="s">
        <v>19</v>
      </c>
      <c r="J6" s="6">
        <v>90000</v>
      </c>
      <c r="K6" s="6">
        <v>0</v>
      </c>
      <c r="L6" s="6">
        <v>58472.73</v>
      </c>
      <c r="M6" s="6">
        <v>0</v>
      </c>
      <c r="N6" s="3" t="s">
        <v>19</v>
      </c>
      <c r="O6" s="6">
        <v>0</v>
      </c>
      <c r="P6" s="6">
        <f>J6-L6</f>
        <v>31527.269999999997</v>
      </c>
    </row>
    <row r="7" spans="1:16" x14ac:dyDescent="0.25">
      <c r="A7" s="3" t="s">
        <v>185</v>
      </c>
      <c r="B7" s="4" t="s">
        <v>186</v>
      </c>
      <c r="C7" s="3" t="s">
        <v>19</v>
      </c>
      <c r="D7" s="3" t="s">
        <v>19</v>
      </c>
      <c r="E7" s="3" t="s">
        <v>25</v>
      </c>
      <c r="F7" s="3" t="s">
        <v>19</v>
      </c>
      <c r="G7" s="3" t="s">
        <v>182</v>
      </c>
      <c r="H7" s="5">
        <v>1</v>
      </c>
      <c r="I7" s="3" t="s">
        <v>19</v>
      </c>
      <c r="J7" s="6">
        <v>90000</v>
      </c>
      <c r="K7" s="6">
        <v>0</v>
      </c>
      <c r="L7" s="6">
        <v>58472.73</v>
      </c>
      <c r="M7" s="6">
        <v>0</v>
      </c>
      <c r="N7" s="3" t="s">
        <v>19</v>
      </c>
      <c r="O7" s="6">
        <v>0</v>
      </c>
      <c r="P7" s="6">
        <f>J7-L7</f>
        <v>31527.269999999997</v>
      </c>
    </row>
    <row r="8" ht="18" customHeight="1" spans="1:16" x14ac:dyDescent="0.25">
      <c r="A8" s="7" t="s">
        <v>34</v>
      </c>
      <c r="B8" s="7"/>
      <c r="C8" s="7"/>
      <c r="D8" s="7"/>
      <c r="E8" s="7"/>
      <c r="F8" s="7"/>
      <c r="G8" s="7"/>
      <c r="H8" s="8">
        <f>SUM(H3:H7)</f>
        <v>5</v>
      </c>
      <c r="I8" s="7"/>
      <c r="J8" s="9">
        <f>SUM(J3:J7)</f>
        <v>475000</v>
      </c>
      <c r="K8" s="9">
        <f>SUM(K3:K7)</f>
        <v>0</v>
      </c>
      <c r="L8" s="9">
        <f>SUM(L3:L7)</f>
        <v>324703.9</v>
      </c>
      <c r="M8" s="9">
        <f>SUM(M3:M7)</f>
        <v>0</v>
      </c>
      <c r="N8" s="7"/>
      <c r="O8" s="9">
        <f>SUM(O3:O7)</f>
        <v>0</v>
      </c>
      <c r="P8" s="9">
        <f>SUM(P3:P7)</f>
        <v>150296.09999999998</v>
      </c>
    </row>
  </sheetData>
  <mergeCells count="2">
    <mergeCell ref="A1:P1"/>
    <mergeCell ref="A8:G8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187</v>
      </c>
      <c r="B3" s="4" t="s">
        <v>188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189</v>
      </c>
      <c r="H3" s="5">
        <v>1</v>
      </c>
      <c r="I3" s="3" t="s">
        <v>19</v>
      </c>
      <c r="J3" s="6">
        <v>260000</v>
      </c>
      <c r="K3" s="6">
        <v>0</v>
      </c>
      <c r="L3" s="6">
        <v>187503.31</v>
      </c>
      <c r="M3" s="6">
        <v>0</v>
      </c>
      <c r="N3" s="3" t="s">
        <v>19</v>
      </c>
      <c r="O3" s="6">
        <v>0</v>
      </c>
      <c r="P3" s="6">
        <f>J3-L3</f>
        <v>72496.69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260000</v>
      </c>
      <c r="K4" s="9">
        <f>SUM(K3:K3)</f>
        <v>0</v>
      </c>
      <c r="L4" s="9">
        <f>SUM(L3:L3)</f>
        <v>187503.31</v>
      </c>
      <c r="M4" s="9">
        <f>SUM(M3:M3)</f>
        <v>0</v>
      </c>
      <c r="N4" s="7"/>
      <c r="O4" s="9">
        <f>SUM(O3:O3)</f>
        <v>0</v>
      </c>
      <c r="P4" s="9">
        <f>SUM(P3:P3)</f>
        <v>72496.69</v>
      </c>
    </row>
  </sheetData>
  <mergeCells count="2">
    <mergeCell ref="A1:P1"/>
    <mergeCell ref="A4:G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190</v>
      </c>
      <c r="B3" s="4" t="s">
        <v>191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192</v>
      </c>
      <c r="H3" s="5">
        <v>1</v>
      </c>
      <c r="I3" s="3" t="s">
        <v>19</v>
      </c>
      <c r="J3" s="6">
        <v>150000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150000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150000</v>
      </c>
      <c r="K4" s="9">
        <f>SUM(K3:K3)</f>
        <v>0</v>
      </c>
      <c r="L4" s="9">
        <f>SUM(L3:L3)</f>
        <v>0</v>
      </c>
      <c r="M4" s="9">
        <f>SUM(M3:M3)</f>
        <v>0</v>
      </c>
      <c r="N4" s="7"/>
      <c r="O4" s="9">
        <f>SUM(O3:O3)</f>
        <v>0</v>
      </c>
      <c r="P4" s="9">
        <f>SUM(P3:P3)</f>
        <v>150000</v>
      </c>
    </row>
  </sheetData>
  <mergeCells count="2">
    <mergeCell ref="A1:P1"/>
    <mergeCell ref="A4:G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193</v>
      </c>
      <c r="B3" s="4" t="s">
        <v>194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195</v>
      </c>
      <c r="H3" s="5">
        <v>1</v>
      </c>
      <c r="I3" s="3" t="s">
        <v>19</v>
      </c>
      <c r="J3" s="6">
        <v>120000</v>
      </c>
      <c r="K3" s="6">
        <v>0</v>
      </c>
      <c r="L3" s="6">
        <v>78585.42</v>
      </c>
      <c r="M3" s="6">
        <v>0</v>
      </c>
      <c r="N3" s="3" t="s">
        <v>19</v>
      </c>
      <c r="O3" s="6">
        <v>0</v>
      </c>
      <c r="P3" s="6">
        <f>J3-L3</f>
        <v>41414.58</v>
      </c>
    </row>
    <row r="4" ht="18" customHeight="1" spans="1:16" x14ac:dyDescent="0.25">
      <c r="A4" s="7" t="s">
        <v>34</v>
      </c>
      <c r="B4" s="7"/>
      <c r="C4" s="7"/>
      <c r="D4" s="7"/>
      <c r="E4" s="7"/>
      <c r="F4" s="7"/>
      <c r="G4" s="7"/>
      <c r="H4" s="8">
        <f>SUM(H3:H3)</f>
        <v>1</v>
      </c>
      <c r="I4" s="7"/>
      <c r="J4" s="9">
        <f>SUM(J3:J3)</f>
        <v>120000</v>
      </c>
      <c r="K4" s="9">
        <f>SUM(K3:K3)</f>
        <v>0</v>
      </c>
      <c r="L4" s="9">
        <f>SUM(L3:L3)</f>
        <v>78585.42</v>
      </c>
      <c r="M4" s="9">
        <f>SUM(M3:M3)</f>
        <v>0</v>
      </c>
      <c r="N4" s="7"/>
      <c r="O4" s="9">
        <f>SUM(O3:O3)</f>
        <v>0</v>
      </c>
      <c r="P4" s="9">
        <f>SUM(P3:P3)</f>
        <v>41414.58</v>
      </c>
    </row>
  </sheetData>
  <mergeCells count="2">
    <mergeCell ref="A1:P1"/>
    <mergeCell ref="A4:G4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139</v>
      </c>
      <c r="B3" s="4" t="s">
        <v>140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196</v>
      </c>
      <c r="H3" s="5">
        <v>1</v>
      </c>
      <c r="I3" s="3" t="s">
        <v>19</v>
      </c>
      <c r="J3" s="6">
        <v>35000</v>
      </c>
      <c r="K3" s="6">
        <v>0</v>
      </c>
      <c r="L3" s="6">
        <v>25000</v>
      </c>
      <c r="M3" s="6">
        <v>0</v>
      </c>
      <c r="N3" s="3" t="s">
        <v>19</v>
      </c>
      <c r="O3" s="6">
        <v>0</v>
      </c>
      <c r="P3" s="6">
        <f>J3-L3</f>
        <v>10000</v>
      </c>
    </row>
    <row r="4" spans="1:16" x14ac:dyDescent="0.25">
      <c r="A4" s="3" t="s">
        <v>197</v>
      </c>
      <c r="B4" s="4" t="s">
        <v>198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196</v>
      </c>
      <c r="H4" s="5">
        <v>1</v>
      </c>
      <c r="I4" s="3" t="s">
        <v>19</v>
      </c>
      <c r="J4" s="6">
        <v>35000</v>
      </c>
      <c r="K4" s="6">
        <v>0</v>
      </c>
      <c r="L4" s="6">
        <v>25000</v>
      </c>
      <c r="M4" s="6">
        <v>0</v>
      </c>
      <c r="N4" s="3" t="s">
        <v>19</v>
      </c>
      <c r="O4" s="6">
        <v>0</v>
      </c>
      <c r="P4" s="6">
        <f>J4-L4</f>
        <v>10000</v>
      </c>
    </row>
    <row r="5" spans="1:16" x14ac:dyDescent="0.25">
      <c r="A5" s="3" t="s">
        <v>199</v>
      </c>
      <c r="B5" s="4" t="s">
        <v>200</v>
      </c>
      <c r="C5" s="3" t="s">
        <v>19</v>
      </c>
      <c r="D5" s="3" t="s">
        <v>19</v>
      </c>
      <c r="E5" s="3" t="s">
        <v>25</v>
      </c>
      <c r="F5" s="3" t="s">
        <v>19</v>
      </c>
      <c r="G5" s="3" t="s">
        <v>196</v>
      </c>
      <c r="H5" s="5">
        <v>1</v>
      </c>
      <c r="I5" s="3" t="s">
        <v>19</v>
      </c>
      <c r="J5" s="6">
        <v>35000</v>
      </c>
      <c r="K5" s="6">
        <v>0</v>
      </c>
      <c r="L5" s="6">
        <v>25000</v>
      </c>
      <c r="M5" s="6">
        <v>0</v>
      </c>
      <c r="N5" s="3" t="s">
        <v>19</v>
      </c>
      <c r="O5" s="6">
        <v>0</v>
      </c>
      <c r="P5" s="6">
        <f>J5-L5</f>
        <v>10000</v>
      </c>
    </row>
    <row r="6" ht="18" customHeight="1" spans="1:16" x14ac:dyDescent="0.25">
      <c r="A6" s="7" t="s">
        <v>34</v>
      </c>
      <c r="B6" s="7"/>
      <c r="C6" s="7"/>
      <c r="D6" s="7"/>
      <c r="E6" s="7"/>
      <c r="F6" s="7"/>
      <c r="G6" s="7"/>
      <c r="H6" s="8">
        <f>SUM(H3:H5)</f>
        <v>3</v>
      </c>
      <c r="I6" s="7"/>
      <c r="J6" s="9">
        <f>SUM(J3:J5)</f>
        <v>105000</v>
      </c>
      <c r="K6" s="9">
        <f>SUM(K3:K5)</f>
        <v>0</v>
      </c>
      <c r="L6" s="9">
        <f>SUM(L3:L5)</f>
        <v>75000</v>
      </c>
      <c r="M6" s="9">
        <f>SUM(M3:M5)</f>
        <v>0</v>
      </c>
      <c r="N6" s="7"/>
      <c r="O6" s="9">
        <f>SUM(O3:O5)</f>
        <v>0</v>
      </c>
      <c r="P6" s="9">
        <f>SUM(P3:P5)</f>
        <v>30000</v>
      </c>
    </row>
  </sheetData>
  <mergeCells count="2">
    <mergeCell ref="A1:P1"/>
    <mergeCell ref="A6:G6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38</v>
      </c>
      <c r="B3" s="4" t="s">
        <v>39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201</v>
      </c>
      <c r="H3" s="5">
        <v>1</v>
      </c>
      <c r="I3" s="3" t="s">
        <v>19</v>
      </c>
      <c r="J3" s="6">
        <v>50000</v>
      </c>
      <c r="K3" s="6">
        <v>0</v>
      </c>
      <c r="L3" s="6">
        <v>0</v>
      </c>
      <c r="M3" s="6">
        <v>0</v>
      </c>
      <c r="N3" s="3" t="s">
        <v>19</v>
      </c>
      <c r="O3" s="6">
        <v>0</v>
      </c>
      <c r="P3" s="6">
        <f>J3-L3</f>
        <v>50000</v>
      </c>
    </row>
    <row r="4" spans="1:16" x14ac:dyDescent="0.25">
      <c r="A4" s="3" t="s">
        <v>168</v>
      </c>
      <c r="B4" s="4" t="s">
        <v>169</v>
      </c>
      <c r="C4" s="3" t="s">
        <v>19</v>
      </c>
      <c r="D4" s="3" t="s">
        <v>19</v>
      </c>
      <c r="E4" s="3" t="s">
        <v>25</v>
      </c>
      <c r="F4" s="3" t="s">
        <v>19</v>
      </c>
      <c r="G4" s="3" t="s">
        <v>201</v>
      </c>
      <c r="H4" s="5">
        <v>1</v>
      </c>
      <c r="I4" s="3" t="s">
        <v>19</v>
      </c>
      <c r="J4" s="6">
        <v>50000</v>
      </c>
      <c r="K4" s="6">
        <v>0</v>
      </c>
      <c r="L4" s="6">
        <v>0</v>
      </c>
      <c r="M4" s="6">
        <v>0</v>
      </c>
      <c r="N4" s="3" t="s">
        <v>19</v>
      </c>
      <c r="O4" s="6">
        <v>0</v>
      </c>
      <c r="P4" s="6">
        <f>J4-L4</f>
        <v>50000</v>
      </c>
    </row>
    <row r="5" ht="18" customHeight="1" spans="1:16" x14ac:dyDescent="0.25">
      <c r="A5" s="7" t="s">
        <v>34</v>
      </c>
      <c r="B5" s="7"/>
      <c r="C5" s="7"/>
      <c r="D5" s="7"/>
      <c r="E5" s="7"/>
      <c r="F5" s="7"/>
      <c r="G5" s="7"/>
      <c r="H5" s="8">
        <f>SUM(H3:H4)</f>
        <v>2</v>
      </c>
      <c r="I5" s="7"/>
      <c r="J5" s="9">
        <f>SUM(J3:J4)</f>
        <v>100000</v>
      </c>
      <c r="K5" s="9">
        <f>SUM(K3:K4)</f>
        <v>0</v>
      </c>
      <c r="L5" s="9">
        <f>SUM(L3:L4)</f>
        <v>0</v>
      </c>
      <c r="M5" s="9">
        <f>SUM(M3:M4)</f>
        <v>0</v>
      </c>
      <c r="N5" s="7"/>
      <c r="O5" s="9">
        <f>SUM(O3:O4)</f>
        <v>0</v>
      </c>
      <c r="P5" s="9">
        <f>SUM(P3:P4)</f>
        <v>100000</v>
      </c>
    </row>
  </sheetData>
  <mergeCells count="2">
    <mergeCell ref="A1:P1"/>
    <mergeCell ref="A5:G5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workbookViewId="0" zoomScale="90"/>
  </sheetViews>
  <sheetFormatPr defaultRowHeight="15.75" outlineLevelRow="0" outlineLevelCol="0" x14ac:dyDescent="55" customHeight="1"/>
  <cols>
    <col min="1" max="1" width="23" customWidth="1"/>
    <col min="2" max="2" width="20" customWidth="1"/>
    <col min="3" max="3" width="16" customWidth="1"/>
    <col min="4" max="4" width="12" customWidth="1"/>
    <col min="5" max="5" width="20" customWidth="1"/>
    <col min="6" max="6" width="14" customWidth="1"/>
    <col min="7" max="7" width="28" customWidth="1"/>
    <col min="8" max="8" width="8" customWidth="1"/>
    <col min="9" max="9" width="16" customWidth="1"/>
    <col min="10" max="10" width="17" customWidth="1"/>
    <col min="11" max="11" width="14" customWidth="1"/>
    <col min="12" max="13" width="17" customWidth="1"/>
    <col min="14" max="14" width="16" customWidth="1"/>
    <col min="15" max="15" width="14" customWidth="1"/>
    <col min="16" max="16" width="17" customWidth="1"/>
  </cols>
  <sheetData>
    <row r="1" ht="15.7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9.4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 t="s">
        <v>72</v>
      </c>
      <c r="B3" s="4" t="s">
        <v>73</v>
      </c>
      <c r="C3" s="3" t="s">
        <v>19</v>
      </c>
      <c r="D3" s="3" t="s">
        <v>19</v>
      </c>
      <c r="E3" s="3" t="s">
        <v>20</v>
      </c>
      <c r="F3" s="3" t="s">
        <v>19</v>
      </c>
      <c r="G3" s="3" t="s">
        <v>202</v>
      </c>
      <c r="H3" s="5">
        <v>1</v>
      </c>
      <c r="I3" s="3" t="s">
        <v>19</v>
      </c>
      <c r="J3" s="6">
        <v>15000</v>
      </c>
      <c r="K3" s="6">
        <v>0</v>
      </c>
      <c r="L3" s="6">
        <v>7950</v>
      </c>
      <c r="M3" s="6">
        <v>0</v>
      </c>
      <c r="N3" s="3" t="s">
        <v>19</v>
      </c>
      <c r="O3" s="6">
        <v>0</v>
      </c>
      <c r="P3" s="6">
        <f>J3-L3</f>
        <v>7050</v>
      </c>
    </row>
    <row r="4" spans="1:16" x14ac:dyDescent="0.25">
      <c r="A4" s="3" t="s">
        <v>118</v>
      </c>
      <c r="B4" s="4" t="s">
        <v>119</v>
      </c>
      <c r="C4" s="3" t="s">
        <v>19</v>
      </c>
      <c r="D4" s="3" t="s">
        <v>19</v>
      </c>
      <c r="E4" s="3" t="s">
        <v>20</v>
      </c>
      <c r="F4" s="3" t="s">
        <v>19</v>
      </c>
      <c r="G4" s="3" t="s">
        <v>202</v>
      </c>
      <c r="H4" s="5">
        <v>1</v>
      </c>
      <c r="I4" s="3" t="s">
        <v>19</v>
      </c>
      <c r="J4" s="6">
        <v>15000</v>
      </c>
      <c r="K4" s="6">
        <v>0</v>
      </c>
      <c r="L4" s="6">
        <v>7950</v>
      </c>
      <c r="M4" s="6">
        <v>0</v>
      </c>
      <c r="N4" s="3" t="s">
        <v>19</v>
      </c>
      <c r="O4" s="6">
        <v>0</v>
      </c>
      <c r="P4" s="6">
        <f>J4-L4</f>
        <v>7050</v>
      </c>
    </row>
    <row r="5" spans="1:16" x14ac:dyDescent="0.25">
      <c r="A5" s="3" t="s">
        <v>203</v>
      </c>
      <c r="B5" s="4" t="s">
        <v>204</v>
      </c>
      <c r="C5" s="3" t="s">
        <v>19</v>
      </c>
      <c r="D5" s="3" t="s">
        <v>19</v>
      </c>
      <c r="E5" s="3" t="s">
        <v>20</v>
      </c>
      <c r="F5" s="3" t="s">
        <v>19</v>
      </c>
      <c r="G5" s="3" t="s">
        <v>202</v>
      </c>
      <c r="H5" s="5">
        <v>1</v>
      </c>
      <c r="I5" s="3" t="s">
        <v>19</v>
      </c>
      <c r="J5" s="6">
        <v>15000</v>
      </c>
      <c r="K5" s="6">
        <v>0</v>
      </c>
      <c r="L5" s="6">
        <v>7950</v>
      </c>
      <c r="M5" s="6">
        <v>0</v>
      </c>
      <c r="N5" s="3" t="s">
        <v>19</v>
      </c>
      <c r="O5" s="6">
        <v>0</v>
      </c>
      <c r="P5" s="6">
        <f>J5-L5</f>
        <v>7050</v>
      </c>
    </row>
    <row r="6" spans="1:16" x14ac:dyDescent="0.25">
      <c r="A6" s="3" t="s">
        <v>168</v>
      </c>
      <c r="B6" s="4" t="s">
        <v>169</v>
      </c>
      <c r="C6" s="3" t="s">
        <v>19</v>
      </c>
      <c r="D6" s="3" t="s">
        <v>19</v>
      </c>
      <c r="E6" s="3" t="s">
        <v>25</v>
      </c>
      <c r="F6" s="3" t="s">
        <v>19</v>
      </c>
      <c r="G6" s="3" t="s">
        <v>202</v>
      </c>
      <c r="H6" s="5">
        <v>1</v>
      </c>
      <c r="I6" s="3" t="s">
        <v>19</v>
      </c>
      <c r="J6" s="6">
        <v>15000</v>
      </c>
      <c r="K6" s="6">
        <v>0</v>
      </c>
      <c r="L6" s="6">
        <v>7950</v>
      </c>
      <c r="M6" s="6">
        <v>0</v>
      </c>
      <c r="N6" s="3" t="s">
        <v>19</v>
      </c>
      <c r="O6" s="6">
        <v>0</v>
      </c>
      <c r="P6" s="6">
        <f>J6-L6</f>
        <v>7050</v>
      </c>
    </row>
    <row r="7" ht="18" customHeight="1" spans="1:16" x14ac:dyDescent="0.25">
      <c r="A7" s="7" t="s">
        <v>34</v>
      </c>
      <c r="B7" s="7"/>
      <c r="C7" s="7"/>
      <c r="D7" s="7"/>
      <c r="E7" s="7"/>
      <c r="F7" s="7"/>
      <c r="G7" s="7"/>
      <c r="H7" s="8">
        <f>SUM(H3:H6)</f>
        <v>4</v>
      </c>
      <c r="I7" s="7"/>
      <c r="J7" s="9">
        <f>SUM(J3:J6)</f>
        <v>60000</v>
      </c>
      <c r="K7" s="9">
        <f>SUM(K3:K6)</f>
        <v>0</v>
      </c>
      <c r="L7" s="9">
        <f>SUM(L3:L6)</f>
        <v>31800</v>
      </c>
      <c r="M7" s="9">
        <f>SUM(M3:M6)</f>
        <v>0</v>
      </c>
      <c r="N7" s="7"/>
      <c r="O7" s="9">
        <f>SUM(O3:O6)</f>
        <v>0</v>
      </c>
      <c r="P7" s="9">
        <f>SUM(P3:P6)</f>
        <v>28200</v>
      </c>
    </row>
  </sheetData>
  <mergeCells count="2">
    <mergeCell ref="A1:P1"/>
    <mergeCell ref="A7:G7"/>
  </mergeCells>
  <pageMargins left="0.2" right="0.2" top="0.3" bottom="0.3" header="0.1" footer="0.1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LAPANGAN PADEL</vt:lpstr>
      <vt:lpstr>SEWA RAKET</vt:lpstr>
      <vt:lpstr>LABERS</vt:lpstr>
      <vt:lpstr>MINUMAN</vt:lpstr>
      <vt:lpstr>BOLA PADEL</vt:lpstr>
      <vt:lpstr>SKORT WANITA</vt:lpstr>
      <vt:lpstr>LAPANGAN PICKLEBALL</vt:lpstr>
      <vt:lpstr>CELANA PRIA</vt:lpstr>
      <vt:lpstr>GRIP</vt:lpstr>
      <vt:lpstr>SEWA KERANJANG+BOLA</vt:lpstr>
      <vt:lpstr>SNACK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 Olsera</dc:creator>
  <dc:title/>
  <dc:subject/>
  <dc:description/>
  <cp:keywords/>
  <cp:category/>
  <cp:lastModifiedBy>Unknown</cp:lastModifiedBy>
  <dcterms:created xsi:type="dcterms:W3CDTF">2026-07-13T07:42:32Z</dcterms:created>
  <dcterms:modified xsi:type="dcterms:W3CDTF">2026-07-13T07:42:32Z</dcterms:modified>
</cp:coreProperties>
</file>