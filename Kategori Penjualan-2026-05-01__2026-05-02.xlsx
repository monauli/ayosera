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ANGAN PADEL" state="visible" r:id="rId4"/>
    <sheet sheetId="2" name="SEWA RAKET" state="visible" r:id="rId5"/>
    <sheet sheetId="3" name="LABERS" state="visible" r:id="rId6"/>
    <sheet sheetId="4" name="MINUMAN" state="visible" r:id="rId7"/>
    <sheet sheetId="5" name="BOLA PADEL" state="visible" r:id="rId8"/>
    <sheet sheetId="6" name="SKORT WANITA" state="visible" r:id="rId9"/>
    <sheet sheetId="7" name="SEWA KERANJANG+BOLA" state="visible" r:id="rId10"/>
    <sheet sheetId="8" name="LAPANGAN PICKLEBALL" state="visible" r:id="rId11"/>
    <sheet sheetId="9" name="CELANA PRIA" state="visible" r:id="rId12"/>
    <sheet sheetId="10" name="GRIP" state="visible" r:id="rId13"/>
    <sheet sheetId="11" name="SNACK" state="visible" r:id="rId14"/>
    <sheet sheetId="12" name="KAOS KAKI" state="visible" r:id="rId15"/>
  </sheets>
  <definedNames>
    <definedName name="_xlnm.Print_Area" localSheetId="0">'LAPANGAN PADEL'!$A1:$P28</definedName>
    <definedName name="_xlnm.Print_Area" localSheetId="1">'SEWA RAKET'!$A1:$P52</definedName>
    <definedName name="_xlnm.Print_Area" localSheetId="2">'LABERS'!$A1:$P71</definedName>
    <definedName name="_xlnm.Print_Area" localSheetId="3">'MINUMAN'!$A1:$P86</definedName>
    <definedName name="_xlnm.Print_Area" localSheetId="4">'BOLA PADEL'!$A1:$P18</definedName>
    <definedName name="_xlnm.Print_Area" localSheetId="5">'SKORT WANITA'!$A1:$P4</definedName>
    <definedName name="_xlnm.Print_Area" localSheetId="6">'SEWA KERANJANG+BOLA'!$A1:$P13</definedName>
    <definedName name="_xlnm.Print_Area" localSheetId="7">'LAPANGAN PICKLEBALL'!$A1:$P4</definedName>
    <definedName name="_xlnm.Print_Area" localSheetId="8">'CELANA PRIA'!$A1:$P4</definedName>
    <definedName name="_xlnm.Print_Area" localSheetId="9">'GRIP'!$A1:$P6</definedName>
    <definedName name="_xlnm.Print_Area" localSheetId="10">'SNACK'!$A1:$P14</definedName>
    <definedName name="_xlnm.Print_Area" localSheetId="11">'KAOS KAKI'!$A1:$P4</definedName>
  </definedNames>
  <calcPr calcId="171027" fullCalcOnLoad="1"/>
</workbook>
</file>

<file path=xl/sharedStrings.xml><?xml version="1.0" encoding="utf-8"?>
<sst xmlns="http://schemas.openxmlformats.org/spreadsheetml/2006/main" count="2376" uniqueCount="393">
  <si>
    <t>Item Penjualan : May 01, 2026 - May 01, 2026</t>
  </si>
  <si>
    <t>No. Pesanan</t>
  </si>
  <si>
    <t>Tanggal Jual</t>
  </si>
  <si>
    <t>Pelanggan</t>
  </si>
  <si>
    <t>Nomor Meja</t>
  </si>
  <si>
    <t>Penjualan Oleh</t>
  </si>
  <si>
    <t>No. Seri</t>
  </si>
  <si>
    <t>Item</t>
  </si>
  <si>
    <t>Qty</t>
  </si>
  <si>
    <t>Unit Pengukuran</t>
  </si>
  <si>
    <t>Total Pesanan</t>
  </si>
  <si>
    <t>Komisi</t>
  </si>
  <si>
    <t>Modal Produk</t>
  </si>
  <si>
    <t xml:space="preserve">Sudah termasuk
Pajak</t>
  </si>
  <si>
    <t>Nama Diskon</t>
  </si>
  <si>
    <t>Diskon</t>
  </si>
  <si>
    <t>Laba</t>
  </si>
  <si>
    <t>DF0226050100004098</t>
  </si>
  <si>
    <t xml:space="preserve">01-May-2026
13:23:57</t>
  </si>
  <si>
    <t/>
  </si>
  <si>
    <t>AMEL (DINE IN)</t>
  </si>
  <si>
    <t>COURT FEES - 1</t>
  </si>
  <si>
    <t>COURT FEES - 9,</t>
  </si>
  <si>
    <t>DF0226050100004123</t>
  </si>
  <si>
    <t xml:space="preserve">01-May-2026
18:37:59</t>
  </si>
  <si>
    <t>NISA (DINE IN)</t>
  </si>
  <si>
    <t>COURT FEES - 6</t>
  </si>
  <si>
    <t>COURT FEES - 5</t>
  </si>
  <si>
    <t>DF0226050100004128</t>
  </si>
  <si>
    <t xml:space="preserve">01-May-2026
20:07:49</t>
  </si>
  <si>
    <t>COURT FEES - 2</t>
  </si>
  <si>
    <t>DF0226050100004129</t>
  </si>
  <si>
    <t xml:space="preserve">01-May-2026
20:11:26</t>
  </si>
  <si>
    <t>COURT FEES - 7</t>
  </si>
  <si>
    <t>Total - IDR</t>
  </si>
  <si>
    <t>Item Penjualan : May 02, 2026 - May 02, 2026</t>
  </si>
  <si>
    <t>DF0226050200004142</t>
  </si>
  <si>
    <t xml:space="preserve">02-May-2026
08:14:48</t>
  </si>
  <si>
    <t>DF0226050200004165</t>
  </si>
  <si>
    <t xml:space="preserve">02-May-2026
11:53:45</t>
  </si>
  <si>
    <t>DF0226050200004170</t>
  </si>
  <si>
    <t xml:space="preserve">02-May-2026
12:52:02</t>
  </si>
  <si>
    <t>DF0226050200004198</t>
  </si>
  <si>
    <t xml:space="preserve">02-May-2026
17:35:47</t>
  </si>
  <si>
    <t>COURT FEES - 3</t>
  </si>
  <si>
    <t>DF0226050200004216</t>
  </si>
  <si>
    <t xml:space="preserve">02-May-2026
19:50:34</t>
  </si>
  <si>
    <t>COURT FEES - 4</t>
  </si>
  <si>
    <t>DF0226050200004219</t>
  </si>
  <si>
    <t xml:space="preserve">02-May-2026
20:16:51</t>
  </si>
  <si>
    <t>DF0226050200004225</t>
  </si>
  <si>
    <t xml:space="preserve">02-May-2026
21:50:04</t>
  </si>
  <si>
    <t>ASYFA (DINE IN)</t>
  </si>
  <si>
    <t>DF0226050100004062</t>
  </si>
  <si>
    <t xml:space="preserve">01-May-2026
06:57:24</t>
  </si>
  <si>
    <t>SEWA RAKET - RAKET PREMIUM</t>
  </si>
  <si>
    <t>DF0226050100004063</t>
  </si>
  <si>
    <t xml:space="preserve">01-May-2026
07:00:11</t>
  </si>
  <si>
    <t>SEWA RAKET - RAKET STANDAR</t>
  </si>
  <si>
    <t>DF0226050100004064</t>
  </si>
  <si>
    <t xml:space="preserve">01-May-2026
07:04:59</t>
  </si>
  <si>
    <t>DF0226050100004065</t>
  </si>
  <si>
    <t xml:space="preserve">01-May-2026
07:47:37</t>
  </si>
  <si>
    <t>DF0226050100004068</t>
  </si>
  <si>
    <t xml:space="preserve">01-May-2026
08:11:42</t>
  </si>
  <si>
    <t>DF0226050100004069</t>
  </si>
  <si>
    <t xml:space="preserve">01-May-2026
08:20:09</t>
  </si>
  <si>
    <t>DF0226050100004073</t>
  </si>
  <si>
    <t xml:space="preserve">01-May-2026
08:59:09</t>
  </si>
  <si>
    <t>DF0226050100004077</t>
  </si>
  <si>
    <t xml:space="preserve">01-May-2026
09:42:58</t>
  </si>
  <si>
    <t>DF0226050100004080</t>
  </si>
  <si>
    <t xml:space="preserve">01-May-2026
10:01:49</t>
  </si>
  <si>
    <t>DF0226050100004092</t>
  </si>
  <si>
    <t xml:space="preserve">01-May-2026
12:46:05</t>
  </si>
  <si>
    <t>DF0226050100004093</t>
  </si>
  <si>
    <t xml:space="preserve">01-May-2026
12:57:20</t>
  </si>
  <si>
    <t>DF0226050100004103</t>
  </si>
  <si>
    <t xml:space="preserve">01-May-2026
13:52:32</t>
  </si>
  <si>
    <t>DF0226050100004113</t>
  </si>
  <si>
    <t xml:space="preserve">01-May-2026
16:09:00</t>
  </si>
  <si>
    <t>DF0226050100004116</t>
  </si>
  <si>
    <t xml:space="preserve">01-May-2026
16:33:29</t>
  </si>
  <si>
    <t>DF0226050100004117</t>
  </si>
  <si>
    <t xml:space="preserve">01-May-2026
16:46:31</t>
  </si>
  <si>
    <t>DF0226050100004122</t>
  </si>
  <si>
    <t xml:space="preserve">01-May-2026
18:18:39</t>
  </si>
  <si>
    <t>DF0226050200004136</t>
  </si>
  <si>
    <t xml:space="preserve">02-May-2026
06:57:57</t>
  </si>
  <si>
    <t>DF0226050200004138</t>
  </si>
  <si>
    <t xml:space="preserve">02-May-2026
07:16:43</t>
  </si>
  <si>
    <t>DF0226050200004139</t>
  </si>
  <si>
    <t xml:space="preserve">02-May-2026
07:20:14</t>
  </si>
  <si>
    <t>DF0226050200004141</t>
  </si>
  <si>
    <t xml:space="preserve">02-May-2026
07:58:44</t>
  </si>
  <si>
    <t>DF0226050200004143</t>
  </si>
  <si>
    <t xml:space="preserve">02-May-2026
08:45:41</t>
  </si>
  <si>
    <t>DF0226050200004145</t>
  </si>
  <si>
    <t xml:space="preserve">02-May-2026
08:51:44</t>
  </si>
  <si>
    <t>DF0226050200004148</t>
  </si>
  <si>
    <t xml:space="preserve">02-May-2026
09:03:41</t>
  </si>
  <si>
    <t>DF0226050200004163</t>
  </si>
  <si>
    <t xml:space="preserve">02-May-2026
11:08:36</t>
  </si>
  <si>
    <t>DF0226050200004169</t>
  </si>
  <si>
    <t xml:space="preserve">02-May-2026
12:50:35</t>
  </si>
  <si>
    <t>DF0226050200004171</t>
  </si>
  <si>
    <t xml:space="preserve">02-May-2026
13:12:14</t>
  </si>
  <si>
    <t>DF0226050200004172</t>
  </si>
  <si>
    <t xml:space="preserve">02-May-2026
13:20:02</t>
  </si>
  <si>
    <t>DF0226050200004173</t>
  </si>
  <si>
    <t xml:space="preserve">02-May-2026
13:40:46</t>
  </si>
  <si>
    <t>DF0226050200004175</t>
  </si>
  <si>
    <t xml:space="preserve">02-May-2026
13:56:47</t>
  </si>
  <si>
    <t>DF0226050200004178</t>
  </si>
  <si>
    <t xml:space="preserve">02-May-2026
14:51:10</t>
  </si>
  <si>
    <t>DF0226050200004180</t>
  </si>
  <si>
    <t xml:space="preserve">02-May-2026
15:09:22</t>
  </si>
  <si>
    <t>DF0226050200004181</t>
  </si>
  <si>
    <t xml:space="preserve">02-May-2026
15:10:29</t>
  </si>
  <si>
    <t>DF0226050200004185</t>
  </si>
  <si>
    <t xml:space="preserve">02-May-2026
15:29:49</t>
  </si>
  <si>
    <t>DF0226050200004189</t>
  </si>
  <si>
    <t xml:space="preserve">02-May-2026
15:59:46</t>
  </si>
  <si>
    <t>DF0226050200004191</t>
  </si>
  <si>
    <t xml:space="preserve">02-May-2026
16:18:23</t>
  </si>
  <si>
    <t>DF0226050200004192</t>
  </si>
  <si>
    <t xml:space="preserve">02-May-2026
16:23:08</t>
  </si>
  <si>
    <t>DF0226050200004201</t>
  </si>
  <si>
    <t xml:space="preserve">02-May-2026
17:58:58</t>
  </si>
  <si>
    <t>DF0226050200004203</t>
  </si>
  <si>
    <t xml:space="preserve">02-May-2026
18:15:12</t>
  </si>
  <si>
    <t>DF0226050200004204</t>
  </si>
  <si>
    <t xml:space="preserve">02-May-2026
18:31:17</t>
  </si>
  <si>
    <t>DF0226050100004070</t>
  </si>
  <si>
    <t xml:space="preserve">01-May-2026
08:35:32</t>
  </si>
  <si>
    <t>ICED LYCHEE TEA</t>
  </si>
  <si>
    <t>DF0226050100004072</t>
  </si>
  <si>
    <t xml:space="preserve">01-May-2026
08:43:44</t>
  </si>
  <si>
    <t>ICED LEMON TEA</t>
  </si>
  <si>
    <t>DF0226050100004075</t>
  </si>
  <si>
    <t xml:space="preserve">01-May-2026
09:38:23</t>
  </si>
  <si>
    <t>BLACK - Ice</t>
  </si>
  <si>
    <t>ES KOPI SUSU</t>
  </si>
  <si>
    <t>DF0226050100004076</t>
  </si>
  <si>
    <t xml:space="preserve">01-May-2026
09:41:49</t>
  </si>
  <si>
    <t>BLACK - Hot</t>
  </si>
  <si>
    <t>DF0226050100004078</t>
  </si>
  <si>
    <t xml:space="preserve">01-May-2026
09:54:00</t>
  </si>
  <si>
    <t>DF0226050100004079</t>
  </si>
  <si>
    <t xml:space="preserve">01-May-2026
09:57:52</t>
  </si>
  <si>
    <t>DF0226050100004081</t>
  </si>
  <si>
    <t xml:space="preserve">01-May-2026
10:12:04</t>
  </si>
  <si>
    <t>ESPRESSO</t>
  </si>
  <si>
    <t>DF0226050100004083</t>
  </si>
  <si>
    <t xml:space="preserve">01-May-2026
11:01:41</t>
  </si>
  <si>
    <t>WHITE - Ice Latte</t>
  </si>
  <si>
    <t>DF0226050100004086</t>
  </si>
  <si>
    <t xml:space="preserve">01-May-2026
11:16:45</t>
  </si>
  <si>
    <t>DF0226050100004089</t>
  </si>
  <si>
    <t xml:space="preserve">01-May-2026
11:34:32</t>
  </si>
  <si>
    <t>DF0226050100004091</t>
  </si>
  <si>
    <t xml:space="preserve">01-May-2026
12:36:54</t>
  </si>
  <si>
    <t>BROWNIES</t>
  </si>
  <si>
    <t>DF0226050100004094</t>
  </si>
  <si>
    <t xml:space="preserve">01-May-2026
13:02:05</t>
  </si>
  <si>
    <t>DF0226050100004099</t>
  </si>
  <si>
    <t xml:space="preserve">01-May-2026
13:26:06</t>
  </si>
  <si>
    <t>DF0226050100004100</t>
  </si>
  <si>
    <t xml:space="preserve">01-May-2026
13:37:35</t>
  </si>
  <si>
    <t>INDOMIE GORENG FULL PROTEIN</t>
  </si>
  <si>
    <t>DF0226050100004102</t>
  </si>
  <si>
    <t xml:space="preserve">01-May-2026
13:45:44</t>
  </si>
  <si>
    <t>APPLE JUICE ( FRESH APPLE)</t>
  </si>
  <si>
    <t>DF0226050100004107</t>
  </si>
  <si>
    <t xml:space="preserve">01-May-2026
14:13:28</t>
  </si>
  <si>
    <t>MATCHA - Ice</t>
  </si>
  <si>
    <t>DF0226050100004108</t>
  </si>
  <si>
    <t xml:space="preserve">01-May-2026
14:24:05</t>
  </si>
  <si>
    <t>WHITE - Hot Latte</t>
  </si>
  <si>
    <t>DF0226050100004109</t>
  </si>
  <si>
    <t xml:space="preserve">01-May-2026
15:19:56</t>
  </si>
  <si>
    <t>CHOCOLATE - Ice</t>
  </si>
  <si>
    <t>DF0226050100004112</t>
  </si>
  <si>
    <t xml:space="preserve">01-May-2026
16:06:22</t>
  </si>
  <si>
    <t>DF0226050100004118</t>
  </si>
  <si>
    <t xml:space="preserve">01-May-2026
16:48:57</t>
  </si>
  <si>
    <t>INDOMIE GORENG + TELUR</t>
  </si>
  <si>
    <t>DF0226050100004126</t>
  </si>
  <si>
    <t xml:space="preserve">01-May-2026
19:36:20</t>
  </si>
  <si>
    <t>DF0226050100004134</t>
  </si>
  <si>
    <t xml:space="preserve">01-May-2026
21:27:03</t>
  </si>
  <si>
    <t>DF0226050200004144</t>
  </si>
  <si>
    <t xml:space="preserve">02-May-2026
08:48:10</t>
  </si>
  <si>
    <t>DF0226050200004147</t>
  </si>
  <si>
    <t xml:space="preserve">02-May-2026
09:02:06</t>
  </si>
  <si>
    <t>DF0226050200004149</t>
  </si>
  <si>
    <t xml:space="preserve">02-May-2026
09:09:17</t>
  </si>
  <si>
    <t>DF0226050200004150</t>
  </si>
  <si>
    <t xml:space="preserve">02-May-2026
09:21:06</t>
  </si>
  <si>
    <t>DF0226050200004153</t>
  </si>
  <si>
    <t xml:space="preserve">02-May-2026
09:51:52</t>
  </si>
  <si>
    <t>DF0226050200004154</t>
  </si>
  <si>
    <t xml:space="preserve">02-May-2026
09:58:59</t>
  </si>
  <si>
    <t>DF0226050200004155</t>
  </si>
  <si>
    <t xml:space="preserve">02-May-2026
10:01:21</t>
  </si>
  <si>
    <t>DF0226050200004156</t>
  </si>
  <si>
    <t xml:space="preserve">02-May-2026
10:02:21</t>
  </si>
  <si>
    <t>MATCHA - Hot</t>
  </si>
  <si>
    <t>DF0226050200004157</t>
  </si>
  <si>
    <t xml:space="preserve">02-May-2026
10:03:32</t>
  </si>
  <si>
    <t>DF0226050200004158</t>
  </si>
  <si>
    <t xml:space="preserve">02-May-2026
10:15:07</t>
  </si>
  <si>
    <t>DF0226050200004162</t>
  </si>
  <si>
    <t xml:space="preserve">02-May-2026
11:05:25</t>
  </si>
  <si>
    <t>DF0226050200004164</t>
  </si>
  <si>
    <t xml:space="preserve">02-May-2026
11:23:09</t>
  </si>
  <si>
    <t>DF0226050200004176</t>
  </si>
  <si>
    <t xml:space="preserve">02-May-2026
14:37:08</t>
  </si>
  <si>
    <t>DF0226050200004179</t>
  </si>
  <si>
    <t xml:space="preserve">02-May-2026
15:02:09</t>
  </si>
  <si>
    <t>DF0226050200004187</t>
  </si>
  <si>
    <t xml:space="preserve">02-May-2026
15:42:33</t>
  </si>
  <si>
    <t>DF0226050200004194</t>
  </si>
  <si>
    <t xml:space="preserve">02-May-2026
16:55:10</t>
  </si>
  <si>
    <t>DF0226050200004195</t>
  </si>
  <si>
    <t xml:space="preserve">02-May-2026
17:08:47</t>
  </si>
  <si>
    <t>DF0226050200004202</t>
  </si>
  <si>
    <t xml:space="preserve">02-May-2026
18:06:10</t>
  </si>
  <si>
    <t>ORANGE JUICE ( FRESH ORANGE)</t>
  </si>
  <si>
    <t>DF0226050200004205</t>
  </si>
  <si>
    <t xml:space="preserve">02-May-2026
18:45:52</t>
  </si>
  <si>
    <t>DF0226050200004207</t>
  </si>
  <si>
    <t xml:space="preserve">02-May-2026
19:00:27</t>
  </si>
  <si>
    <t>DF0226050200004208</t>
  </si>
  <si>
    <t xml:space="preserve">02-May-2026
19:02:15</t>
  </si>
  <si>
    <t>DF0226050200004210</t>
  </si>
  <si>
    <t xml:space="preserve">02-May-2026
19:16:12</t>
  </si>
  <si>
    <t>DF0226050200004214</t>
  </si>
  <si>
    <t xml:space="preserve">02-May-2026
19:43:07</t>
  </si>
  <si>
    <t>DF0226050200004215</t>
  </si>
  <si>
    <t xml:space="preserve">02-May-2026
19:44:56</t>
  </si>
  <si>
    <t>DF0226050200004217</t>
  </si>
  <si>
    <t xml:space="preserve">02-May-2026
19:52:12</t>
  </si>
  <si>
    <t>INDOMIE REBUS+ TELUR</t>
  </si>
  <si>
    <t>DF0226050200004222</t>
  </si>
  <si>
    <t xml:space="preserve">02-May-2026
20:41:03</t>
  </si>
  <si>
    <t>DF0226050100004066</t>
  </si>
  <si>
    <t xml:space="preserve">01-May-2026
07:53:48</t>
  </si>
  <si>
    <t>NESTLE PURE LIFE 1500ML</t>
  </si>
  <si>
    <t>DF0226050100004071</t>
  </si>
  <si>
    <t xml:space="preserve">01-May-2026
08:42:18</t>
  </si>
  <si>
    <t>POCARI SWEAT PET 500 ML</t>
  </si>
  <si>
    <t>DF0226050100004082</t>
  </si>
  <si>
    <t xml:space="preserve">01-May-2026
10:15:31</t>
  </si>
  <si>
    <t>DF0226050100004084</t>
  </si>
  <si>
    <t xml:space="preserve">01-May-2026
11:07:41</t>
  </si>
  <si>
    <t>DF0226050100004085</t>
  </si>
  <si>
    <t xml:space="preserve">01-May-2026
11:07:50</t>
  </si>
  <si>
    <t>DF0226050100004087</t>
  </si>
  <si>
    <t xml:space="preserve">01-May-2026
11:25:12</t>
  </si>
  <si>
    <t>DF0226050100004090</t>
  </si>
  <si>
    <t xml:space="preserve">01-May-2026
11:50:49</t>
  </si>
  <si>
    <t>NESTLE PURE LIFE 600ML</t>
  </si>
  <si>
    <t>DF0226050100004095</t>
  </si>
  <si>
    <t xml:space="preserve">01-May-2026
13:13:16</t>
  </si>
  <si>
    <t>DF0226050100004096</t>
  </si>
  <si>
    <t xml:space="preserve">01-May-2026
13:14:28</t>
  </si>
  <si>
    <t>DF0226050100004097</t>
  </si>
  <si>
    <t xml:space="preserve">01-May-2026
13:15:24</t>
  </si>
  <si>
    <t>DF0226050100004101</t>
  </si>
  <si>
    <t xml:space="preserve">01-May-2026
13:38:27</t>
  </si>
  <si>
    <t>DF0226050100004104</t>
  </si>
  <si>
    <t xml:space="preserve">01-May-2026
13:55:03</t>
  </si>
  <si>
    <t>DF0226050100004110</t>
  </si>
  <si>
    <t xml:space="preserve">01-May-2026
15:22:06</t>
  </si>
  <si>
    <t>DF0226050100004111</t>
  </si>
  <si>
    <t xml:space="preserve">01-May-2026
15:22:38</t>
  </si>
  <si>
    <t>POCARI ION WATER 500ML</t>
  </si>
  <si>
    <t>DF0226050100004120</t>
  </si>
  <si>
    <t xml:space="preserve">01-May-2026
17:33:44</t>
  </si>
  <si>
    <t>DF0226050100004121</t>
  </si>
  <si>
    <t xml:space="preserve">01-May-2026
18:11:24</t>
  </si>
  <si>
    <t>POCARI SWEAT PET 900ML</t>
  </si>
  <si>
    <t>DF0226050100004124</t>
  </si>
  <si>
    <t xml:space="preserve">01-May-2026
19:12:11</t>
  </si>
  <si>
    <t>DF0226050100004125</t>
  </si>
  <si>
    <t xml:space="preserve">01-May-2026
19:35:27</t>
  </si>
  <si>
    <t>DF0226050100004127</t>
  </si>
  <si>
    <t xml:space="preserve">01-May-2026
20:06:30</t>
  </si>
  <si>
    <t>DF0226050100004130</t>
  </si>
  <si>
    <t xml:space="preserve">01-May-2026
20:24:24</t>
  </si>
  <si>
    <t>DF0226050100004131</t>
  </si>
  <si>
    <t xml:space="preserve">01-May-2026
20:25:00</t>
  </si>
  <si>
    <t>DF0226050100004133</t>
  </si>
  <si>
    <t xml:space="preserve">01-May-2026
20:56:03</t>
  </si>
  <si>
    <t>DF0226050100004135</t>
  </si>
  <si>
    <t xml:space="preserve">01-May-2026
21:31:17</t>
  </si>
  <si>
    <t>DF0226050200004137</t>
  </si>
  <si>
    <t xml:space="preserve">02-May-2026
07:02:00</t>
  </si>
  <si>
    <t>DF0226050200004140</t>
  </si>
  <si>
    <t xml:space="preserve">02-May-2026
07:42:40</t>
  </si>
  <si>
    <t>DF0226050200004146</t>
  </si>
  <si>
    <t xml:space="preserve">02-May-2026
08:56:19</t>
  </si>
  <si>
    <t>DF0226050200004151</t>
  </si>
  <si>
    <t xml:space="preserve">02-May-2026
09:22:30</t>
  </si>
  <si>
    <t>DF0226050200004152</t>
  </si>
  <si>
    <t xml:space="preserve">02-May-2026
09:42:52</t>
  </si>
  <si>
    <t>DF0226050200004159</t>
  </si>
  <si>
    <t xml:space="preserve">02-May-2026
10:25:53</t>
  </si>
  <si>
    <t>DF0226050200004160</t>
  </si>
  <si>
    <t xml:space="preserve">02-May-2026
10:44:43</t>
  </si>
  <si>
    <t>DF0226050200004161</t>
  </si>
  <si>
    <t xml:space="preserve">02-May-2026
10:56:21</t>
  </si>
  <si>
    <t>DF0226050200004166</t>
  </si>
  <si>
    <t xml:space="preserve">02-May-2026
12:30:21</t>
  </si>
  <si>
    <t>DF0226050200004167</t>
  </si>
  <si>
    <t xml:space="preserve">02-May-2026
12:32:29</t>
  </si>
  <si>
    <t>DF0226050200004177</t>
  </si>
  <si>
    <t xml:space="preserve">02-May-2026
14:50:30</t>
  </si>
  <si>
    <t>DF0226050200004182</t>
  </si>
  <si>
    <t xml:space="preserve">02-May-2026
15:13:39</t>
  </si>
  <si>
    <t>DF0226050200004183</t>
  </si>
  <si>
    <t xml:space="preserve">02-May-2026
15:19:19</t>
  </si>
  <si>
    <t>DF0226050200004184</t>
  </si>
  <si>
    <t xml:space="preserve">02-May-2026
15:20:05</t>
  </si>
  <si>
    <t>DF0226050200004186</t>
  </si>
  <si>
    <t xml:space="preserve">02-May-2026
15:34:46</t>
  </si>
  <si>
    <t>DF0226050200004188</t>
  </si>
  <si>
    <t xml:space="preserve">02-May-2026
15:52:21</t>
  </si>
  <si>
    <t>DF0226050200004190</t>
  </si>
  <si>
    <t xml:space="preserve">02-May-2026
16:06:58</t>
  </si>
  <si>
    <t>DF0226050200004193</t>
  </si>
  <si>
    <t xml:space="preserve">02-May-2026
16:26:25</t>
  </si>
  <si>
    <t>DF0226050200004196</t>
  </si>
  <si>
    <t xml:space="preserve">02-May-2026
17:12:54</t>
  </si>
  <si>
    <t>DF0226050200004197</t>
  </si>
  <si>
    <t xml:space="preserve">02-May-2026
17:13:33</t>
  </si>
  <si>
    <t>DF0226050200004199</t>
  </si>
  <si>
    <t xml:space="preserve">02-May-2026
17:42:46</t>
  </si>
  <si>
    <t>DF0226050200004200</t>
  </si>
  <si>
    <t xml:space="preserve">02-May-2026
17:51:43</t>
  </si>
  <si>
    <t>DF0226050200004206</t>
  </si>
  <si>
    <t xml:space="preserve">02-May-2026
18:48:14</t>
  </si>
  <si>
    <t>DF0226050200004209</t>
  </si>
  <si>
    <t xml:space="preserve">02-May-2026
19:03:40</t>
  </si>
  <si>
    <t>DF0226050200004211</t>
  </si>
  <si>
    <t xml:space="preserve">02-May-2026
19:17:35</t>
  </si>
  <si>
    <t>DF0226050200004212</t>
  </si>
  <si>
    <t xml:space="preserve">02-May-2026
19:32:41</t>
  </si>
  <si>
    <t>DF0226050200004213</t>
  </si>
  <si>
    <t xml:space="preserve">02-May-2026
19:32:53</t>
  </si>
  <si>
    <t>DF0226050200004218</t>
  </si>
  <si>
    <t xml:space="preserve">02-May-2026
20:03:44</t>
  </si>
  <si>
    <t>DF0226050200004220</t>
  </si>
  <si>
    <t xml:space="preserve">02-May-2026
20:36:31</t>
  </si>
  <si>
    <t>DF0226050200004221</t>
  </si>
  <si>
    <t xml:space="preserve">02-May-2026
20:39:16</t>
  </si>
  <si>
    <t>DF0226050200004223</t>
  </si>
  <si>
    <t xml:space="preserve">02-May-2026
20:54:44</t>
  </si>
  <si>
    <t>DF0226050200004224</t>
  </si>
  <si>
    <t xml:space="preserve">02-May-2026
21:10:02</t>
  </si>
  <si>
    <t>BOLA AMA PINK ISI 2</t>
  </si>
  <si>
    <t>DF0226050100004067</t>
  </si>
  <si>
    <t xml:space="preserve">01-May-2026
08:07:42</t>
  </si>
  <si>
    <t>BOLA PADEL HEAD PRO S+ ISI 3</t>
  </si>
  <si>
    <t>BOLA PADEL ODEA</t>
  </si>
  <si>
    <t>DF0226050100004114</t>
  </si>
  <si>
    <t xml:space="preserve">01-May-2026
16:10:14</t>
  </si>
  <si>
    <t>DF0226050100004119</t>
  </si>
  <si>
    <t xml:space="preserve">01-May-2026
17:03:38</t>
  </si>
  <si>
    <t>DF0226050200004174</t>
  </si>
  <si>
    <t xml:space="preserve">02-May-2026
13:47:10</t>
  </si>
  <si>
    <t>DF0226050100004074</t>
  </si>
  <si>
    <t xml:space="preserve">01-May-2026
09:07:37</t>
  </si>
  <si>
    <t>YONEX LADIES SKORT #SKL-P061-2846-SOLID-S</t>
  </si>
  <si>
    <t>SEWA KERANJANG+BOLA - 1 Jam,</t>
  </si>
  <si>
    <t>DF0226050100004106</t>
  </si>
  <si>
    <t xml:space="preserve">01-May-2026
14:12:42</t>
  </si>
  <si>
    <t>PICKLEBALL COURT FEE - -</t>
  </si>
  <si>
    <t>DF0226050100004105</t>
  </si>
  <si>
    <t xml:space="preserve">01-May-2026
14:06:08</t>
  </si>
  <si>
    <t>YONEX MENS SHORTS # SM-P061-3085-RW2-S</t>
  </si>
  <si>
    <t>OVERGRIPS WILSON</t>
  </si>
  <si>
    <t>DF0226050100004088</t>
  </si>
  <si>
    <t xml:space="preserve">01-May-2026
11:28:02</t>
  </si>
  <si>
    <t>DF0226050100004132</t>
  </si>
  <si>
    <t xml:space="preserve">01-May-2026
20:25:59</t>
  </si>
  <si>
    <t>SOY JOY MULTI VARIANT</t>
  </si>
  <si>
    <t>DF0226050100004115</t>
  </si>
  <si>
    <t xml:space="preserve">01-May-2026
16:31:02</t>
  </si>
  <si>
    <t>DF0226050200004168</t>
  </si>
  <si>
    <t xml:space="preserve">02-May-2026
12:39:11</t>
  </si>
  <si>
    <t>YONEX MEN SOCKS SSM-1855ID-MP6-SR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</si>
</sst>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IDR&quot; #,##0"/>
  </numFmts>
  <fonts count="3" x14ac:knownFonts="1">
    <font>
      <color theme="1"/>
      <family val="2"/>
      <scheme val="minor"/>
      <sz val="11"/>
      <name val="Calibri"/>
    </font>
    <font>
      <color rgb="FF000000"/>
      <sz val="10"/>
      <name val="Aptos Narrow"/>
    </font>
    <font>
      <b/>
      <color rgb="FF000000"/>
      <sz val="1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center" vertical="center" shrinkToFit="1"/>
    </xf>
    <xf numFmtId="164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8"/>
  <sheetViews>
    <sheetView workbookViewId="0" zoomScale="90"/>
  </sheetViews>
  <sheetFormatPr defaultRowHeight="15.75" outlineLevelRow="0" outlineLevelCol="0" x14ac:dyDescent="55" customHeight="1"/>
  <cols>
    <col min="1" max="1" width="16.75" customWidth="1"/>
    <col min="2" max="2" width="17.375" customWidth="1"/>
    <col min="3" max="4" width="8.43" customWidth="1"/>
    <col min="6" max="6" width="8.43" customWidth="1"/>
    <col min="7" max="7" width="22.75" customWidth="1"/>
    <col min="9" max="9" width="10.625" customWidth="1"/>
    <col min="10" max="10" width="9.625" customWidth="1"/>
    <col min="14" max="14" width="18.125" customWidth="1"/>
    <col min="16" max="16" width="10.5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17</v>
      </c>
      <c r="B3" s="4" t="s">
        <v>18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21</v>
      </c>
      <c r="H3" s="5">
        <v>1</v>
      </c>
      <c r="I3" s="3" t="s">
        <v>19</v>
      </c>
      <c r="J3" s="6">
        <v>300000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300000</v>
      </c>
    </row>
    <row r="4" spans="1:16" x14ac:dyDescent="0.25">
      <c r="A4" s="3" t="s">
        <v>17</v>
      </c>
      <c r="B4" s="4" t="s">
        <v>18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22</v>
      </c>
      <c r="H4" s="5">
        <v>2</v>
      </c>
      <c r="I4" s="3" t="s">
        <v>19</v>
      </c>
      <c r="J4" s="6">
        <v>50000</v>
      </c>
      <c r="K4" s="6">
        <v>0</v>
      </c>
      <c r="L4" s="6">
        <v>0</v>
      </c>
      <c r="M4" s="6">
        <v>0</v>
      </c>
      <c r="N4" s="3" t="s">
        <v>19</v>
      </c>
      <c r="O4" s="6">
        <v>0</v>
      </c>
      <c r="P4" s="6">
        <f>J4-L4</f>
        <v>50000</v>
      </c>
    </row>
    <row r="5" spans="1:16" x14ac:dyDescent="0.25">
      <c r="A5" s="3" t="s">
        <v>23</v>
      </c>
      <c r="B5" s="4" t="s">
        <v>24</v>
      </c>
      <c r="C5" s="3" t="s">
        <v>19</v>
      </c>
      <c r="D5" s="3" t="s">
        <v>19</v>
      </c>
      <c r="E5" s="3" t="s">
        <v>25</v>
      </c>
      <c r="F5" s="3" t="s">
        <v>19</v>
      </c>
      <c r="G5" s="3" t="s">
        <v>26</v>
      </c>
      <c r="H5" s="5">
        <v>1</v>
      </c>
      <c r="I5" s="3" t="s">
        <v>19</v>
      </c>
      <c r="J5" s="6">
        <v>10000</v>
      </c>
      <c r="K5" s="6">
        <v>0</v>
      </c>
      <c r="L5" s="6">
        <v>0</v>
      </c>
      <c r="M5" s="6">
        <v>0</v>
      </c>
      <c r="N5" s="3" t="s">
        <v>19</v>
      </c>
      <c r="O5" s="6">
        <v>0</v>
      </c>
      <c r="P5" s="6">
        <f>J5-L5</f>
        <v>10000</v>
      </c>
    </row>
    <row r="6" spans="1:16" x14ac:dyDescent="0.25">
      <c r="A6" s="3" t="s">
        <v>23</v>
      </c>
      <c r="B6" s="4" t="s">
        <v>24</v>
      </c>
      <c r="C6" s="3" t="s">
        <v>19</v>
      </c>
      <c r="D6" s="3" t="s">
        <v>19</v>
      </c>
      <c r="E6" s="3" t="s">
        <v>25</v>
      </c>
      <c r="F6" s="3" t="s">
        <v>19</v>
      </c>
      <c r="G6" s="3" t="s">
        <v>21</v>
      </c>
      <c r="H6" s="5">
        <v>2</v>
      </c>
      <c r="I6" s="3" t="s">
        <v>19</v>
      </c>
      <c r="J6" s="6">
        <v>600000</v>
      </c>
      <c r="K6" s="6">
        <v>0</v>
      </c>
      <c r="L6" s="6">
        <v>0</v>
      </c>
      <c r="M6" s="6">
        <v>0</v>
      </c>
      <c r="N6" s="3" t="s">
        <v>19</v>
      </c>
      <c r="O6" s="6">
        <v>0</v>
      </c>
      <c r="P6" s="6">
        <f>J6-L6</f>
        <v>600000</v>
      </c>
    </row>
    <row r="7" spans="1:16" x14ac:dyDescent="0.25">
      <c r="A7" s="3" t="s">
        <v>23</v>
      </c>
      <c r="B7" s="4" t="s">
        <v>24</v>
      </c>
      <c r="C7" s="3" t="s">
        <v>19</v>
      </c>
      <c r="D7" s="3" t="s">
        <v>19</v>
      </c>
      <c r="E7" s="3" t="s">
        <v>25</v>
      </c>
      <c r="F7" s="3" t="s">
        <v>19</v>
      </c>
      <c r="G7" s="3" t="s">
        <v>27</v>
      </c>
      <c r="H7" s="5">
        <v>1</v>
      </c>
      <c r="I7" s="3" t="s">
        <v>19</v>
      </c>
      <c r="J7" s="6">
        <v>200000</v>
      </c>
      <c r="K7" s="6">
        <v>0</v>
      </c>
      <c r="L7" s="6">
        <v>0</v>
      </c>
      <c r="M7" s="6">
        <v>0</v>
      </c>
      <c r="N7" s="3" t="s">
        <v>19</v>
      </c>
      <c r="O7" s="6">
        <v>0</v>
      </c>
      <c r="P7" s="6">
        <f>J7-L7</f>
        <v>200000</v>
      </c>
    </row>
    <row r="8" spans="1:16" x14ac:dyDescent="0.25">
      <c r="A8" s="3" t="s">
        <v>28</v>
      </c>
      <c r="B8" s="4" t="s">
        <v>29</v>
      </c>
      <c r="C8" s="3" t="s">
        <v>19</v>
      </c>
      <c r="D8" s="3" t="s">
        <v>19</v>
      </c>
      <c r="E8" s="3" t="s">
        <v>25</v>
      </c>
      <c r="F8" s="3" t="s">
        <v>19</v>
      </c>
      <c r="G8" s="3" t="s">
        <v>27</v>
      </c>
      <c r="H8" s="5">
        <v>1</v>
      </c>
      <c r="I8" s="3" t="s">
        <v>19</v>
      </c>
      <c r="J8" s="6">
        <v>200000</v>
      </c>
      <c r="K8" s="6">
        <v>0</v>
      </c>
      <c r="L8" s="6">
        <v>0</v>
      </c>
      <c r="M8" s="6">
        <v>0</v>
      </c>
      <c r="N8" s="3" t="s">
        <v>19</v>
      </c>
      <c r="O8" s="6">
        <v>0</v>
      </c>
      <c r="P8" s="6">
        <f>J8-L8</f>
        <v>200000</v>
      </c>
    </row>
    <row r="9" spans="1:16" x14ac:dyDescent="0.25">
      <c r="A9" s="3" t="s">
        <v>28</v>
      </c>
      <c r="B9" s="4" t="s">
        <v>29</v>
      </c>
      <c r="C9" s="3" t="s">
        <v>19</v>
      </c>
      <c r="D9" s="3" t="s">
        <v>19</v>
      </c>
      <c r="E9" s="3" t="s">
        <v>25</v>
      </c>
      <c r="F9" s="3" t="s">
        <v>19</v>
      </c>
      <c r="G9" s="3" t="s">
        <v>26</v>
      </c>
      <c r="H9" s="5">
        <v>2</v>
      </c>
      <c r="I9" s="3" t="s">
        <v>19</v>
      </c>
      <c r="J9" s="6">
        <v>20000</v>
      </c>
      <c r="K9" s="6">
        <v>0</v>
      </c>
      <c r="L9" s="6">
        <v>0</v>
      </c>
      <c r="M9" s="6">
        <v>0</v>
      </c>
      <c r="N9" s="3" t="s">
        <v>19</v>
      </c>
      <c r="O9" s="6">
        <v>0</v>
      </c>
      <c r="P9" s="6">
        <f>J9-L9</f>
        <v>20000</v>
      </c>
    </row>
    <row r="10" spans="1:16" x14ac:dyDescent="0.25">
      <c r="A10" s="3" t="s">
        <v>28</v>
      </c>
      <c r="B10" s="4" t="s">
        <v>29</v>
      </c>
      <c r="C10" s="3" t="s">
        <v>19</v>
      </c>
      <c r="D10" s="3" t="s">
        <v>19</v>
      </c>
      <c r="E10" s="3" t="s">
        <v>25</v>
      </c>
      <c r="F10" s="3" t="s">
        <v>19</v>
      </c>
      <c r="G10" s="3" t="s">
        <v>30</v>
      </c>
      <c r="H10" s="5">
        <v>1</v>
      </c>
      <c r="I10" s="3" t="s">
        <v>19</v>
      </c>
      <c r="J10" s="6">
        <v>320000</v>
      </c>
      <c r="K10" s="6">
        <v>0</v>
      </c>
      <c r="L10" s="6">
        <v>0</v>
      </c>
      <c r="M10" s="6">
        <v>0</v>
      </c>
      <c r="N10" s="3" t="s">
        <v>19</v>
      </c>
      <c r="O10" s="6">
        <v>0</v>
      </c>
      <c r="P10" s="6">
        <f>J10-L10</f>
        <v>320000</v>
      </c>
    </row>
    <row r="11" spans="1:16" x14ac:dyDescent="0.25">
      <c r="A11" s="3" t="s">
        <v>31</v>
      </c>
      <c r="B11" s="4" t="s">
        <v>32</v>
      </c>
      <c r="C11" s="3" t="s">
        <v>19</v>
      </c>
      <c r="D11" s="3" t="s">
        <v>19</v>
      </c>
      <c r="E11" s="3" t="s">
        <v>25</v>
      </c>
      <c r="F11" s="3" t="s">
        <v>19</v>
      </c>
      <c r="G11" s="3" t="s">
        <v>33</v>
      </c>
      <c r="H11" s="5">
        <v>4</v>
      </c>
      <c r="I11" s="3" t="s">
        <v>19</v>
      </c>
      <c r="J11" s="6">
        <v>600000</v>
      </c>
      <c r="K11" s="6">
        <v>0</v>
      </c>
      <c r="L11" s="6">
        <v>0</v>
      </c>
      <c r="M11" s="6">
        <v>0</v>
      </c>
      <c r="N11" s="3" t="s">
        <v>19</v>
      </c>
      <c r="O11" s="6">
        <v>0</v>
      </c>
      <c r="P11" s="6">
        <f>J11-L11</f>
        <v>600000</v>
      </c>
    </row>
    <row r="12" ht="18" customHeight="1" spans="1:16" x14ac:dyDescent="0.25">
      <c r="A12" s="7" t="s">
        <v>34</v>
      </c>
      <c r="B12" s="7"/>
      <c r="C12" s="7"/>
      <c r="D12" s="7"/>
      <c r="E12" s="7"/>
      <c r="F12" s="7"/>
      <c r="G12" s="7"/>
      <c r="H12" s="8">
        <f>SUM(H3:H11)</f>
        <v>15</v>
      </c>
      <c r="I12" s="7"/>
      <c r="J12" s="9">
        <f>SUM(J3:J11)</f>
        <v>2300000</v>
      </c>
      <c r="K12" s="9">
        <f>SUM(K3:K11)</f>
        <v>0</v>
      </c>
      <c r="L12" s="9">
        <f>SUM(L3:L11)</f>
        <v>0</v>
      </c>
      <c r="M12" s="9">
        <f>SUM(M3:M11)</f>
        <v>0</v>
      </c>
      <c r="N12" s="7"/>
      <c r="O12" s="9">
        <f>SUM(O3:O11)</f>
        <v>0</v>
      </c>
      <c r="P12" s="9">
        <f>SUM(P3:P11)</f>
        <v>2300000</v>
      </c>
    </row>
    <row r="16" ht="15.75" customHeight="1" spans="1:16" x14ac:dyDescent="0.25">
      <c r="A16" s="1" t="s">
        <v>35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ht="39.4" customHeight="1" spans="1:16" x14ac:dyDescent="0.25">
      <c r="A17" s="2" t="s">
        <v>1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N17" s="2" t="s">
        <v>14</v>
      </c>
      <c r="O17" s="2" t="s">
        <v>15</v>
      </c>
      <c r="P17" s="2" t="s">
        <v>16</v>
      </c>
    </row>
    <row r="18" spans="1:16" x14ac:dyDescent="0.25">
      <c r="A18" s="3" t="s">
        <v>36</v>
      </c>
      <c r="B18" s="4" t="s">
        <v>37</v>
      </c>
      <c r="C18" s="3" t="s">
        <v>19</v>
      </c>
      <c r="D18" s="3" t="s">
        <v>19</v>
      </c>
      <c r="E18" s="3" t="s">
        <v>20</v>
      </c>
      <c r="F18" s="3" t="s">
        <v>19</v>
      </c>
      <c r="G18" s="3" t="s">
        <v>33</v>
      </c>
      <c r="H18" s="5">
        <v>1</v>
      </c>
      <c r="I18" s="3" t="s">
        <v>19</v>
      </c>
      <c r="J18" s="6">
        <v>150000</v>
      </c>
      <c r="K18" s="6">
        <v>0</v>
      </c>
      <c r="L18" s="6">
        <v>0</v>
      </c>
      <c r="M18" s="6">
        <v>0</v>
      </c>
      <c r="N18" s="3" t="s">
        <v>19</v>
      </c>
      <c r="O18" s="6">
        <v>0</v>
      </c>
      <c r="P18" s="6">
        <f>J18-L18</f>
        <v>150000</v>
      </c>
    </row>
    <row r="19" spans="1:16" x14ac:dyDescent="0.25">
      <c r="A19" s="3" t="s">
        <v>36</v>
      </c>
      <c r="B19" s="4" t="s">
        <v>37</v>
      </c>
      <c r="C19" s="3" t="s">
        <v>19</v>
      </c>
      <c r="D19" s="3" t="s">
        <v>19</v>
      </c>
      <c r="E19" s="3" t="s">
        <v>20</v>
      </c>
      <c r="F19" s="3" t="s">
        <v>19</v>
      </c>
      <c r="G19" s="3" t="s">
        <v>27</v>
      </c>
      <c r="H19" s="5">
        <v>1</v>
      </c>
      <c r="I19" s="3" t="s">
        <v>19</v>
      </c>
      <c r="J19" s="6">
        <v>200000</v>
      </c>
      <c r="K19" s="6">
        <v>0</v>
      </c>
      <c r="L19" s="6">
        <v>0</v>
      </c>
      <c r="M19" s="6">
        <v>0</v>
      </c>
      <c r="N19" s="3" t="s">
        <v>19</v>
      </c>
      <c r="O19" s="6">
        <v>0</v>
      </c>
      <c r="P19" s="6">
        <f>J19-L19</f>
        <v>200000</v>
      </c>
    </row>
    <row r="20" spans="1:16" x14ac:dyDescent="0.25">
      <c r="A20" s="3" t="s">
        <v>38</v>
      </c>
      <c r="B20" s="4" t="s">
        <v>39</v>
      </c>
      <c r="C20" s="3" t="s">
        <v>19</v>
      </c>
      <c r="D20" s="3" t="s">
        <v>19</v>
      </c>
      <c r="E20" s="3" t="s">
        <v>20</v>
      </c>
      <c r="F20" s="3" t="s">
        <v>19</v>
      </c>
      <c r="G20" s="3" t="s">
        <v>33</v>
      </c>
      <c r="H20" s="5">
        <v>1</v>
      </c>
      <c r="I20" s="3" t="s">
        <v>19</v>
      </c>
      <c r="J20" s="6">
        <v>150000</v>
      </c>
      <c r="K20" s="6">
        <v>0</v>
      </c>
      <c r="L20" s="6">
        <v>0</v>
      </c>
      <c r="M20" s="6">
        <v>0</v>
      </c>
      <c r="N20" s="3" t="s">
        <v>19</v>
      </c>
      <c r="O20" s="6">
        <v>0</v>
      </c>
      <c r="P20" s="6">
        <f>J20-L20</f>
        <v>150000</v>
      </c>
    </row>
    <row r="21" spans="1:16" x14ac:dyDescent="0.25">
      <c r="A21" s="3" t="s">
        <v>40</v>
      </c>
      <c r="B21" s="4" t="s">
        <v>41</v>
      </c>
      <c r="C21" s="3" t="s">
        <v>19</v>
      </c>
      <c r="D21" s="3" t="s">
        <v>19</v>
      </c>
      <c r="E21" s="3" t="s">
        <v>20</v>
      </c>
      <c r="F21" s="3" t="s">
        <v>19</v>
      </c>
      <c r="G21" s="3" t="s">
        <v>33</v>
      </c>
      <c r="H21" s="5">
        <v>1</v>
      </c>
      <c r="I21" s="3" t="s">
        <v>19</v>
      </c>
      <c r="J21" s="6">
        <v>150000</v>
      </c>
      <c r="K21" s="6">
        <v>0</v>
      </c>
      <c r="L21" s="6">
        <v>0</v>
      </c>
      <c r="M21" s="6">
        <v>0</v>
      </c>
      <c r="N21" s="3" t="s">
        <v>19</v>
      </c>
      <c r="O21" s="6">
        <v>0</v>
      </c>
      <c r="P21" s="6">
        <f>J21-L21</f>
        <v>150000</v>
      </c>
    </row>
    <row r="22" spans="1:16" x14ac:dyDescent="0.25">
      <c r="A22" s="3" t="s">
        <v>42</v>
      </c>
      <c r="B22" s="4" t="s">
        <v>43</v>
      </c>
      <c r="C22" s="3" t="s">
        <v>19</v>
      </c>
      <c r="D22" s="3" t="s">
        <v>19</v>
      </c>
      <c r="E22" s="3" t="s">
        <v>25</v>
      </c>
      <c r="F22" s="3" t="s">
        <v>19</v>
      </c>
      <c r="G22" s="3" t="s">
        <v>27</v>
      </c>
      <c r="H22" s="5">
        <v>1</v>
      </c>
      <c r="I22" s="3" t="s">
        <v>19</v>
      </c>
      <c r="J22" s="6">
        <v>200000</v>
      </c>
      <c r="K22" s="6">
        <v>0</v>
      </c>
      <c r="L22" s="6">
        <v>0</v>
      </c>
      <c r="M22" s="6">
        <v>0</v>
      </c>
      <c r="N22" s="3" t="s">
        <v>19</v>
      </c>
      <c r="O22" s="6">
        <v>0</v>
      </c>
      <c r="P22" s="6">
        <f>J22-L22</f>
        <v>200000</v>
      </c>
    </row>
    <row r="23" spans="1:16" x14ac:dyDescent="0.25">
      <c r="A23" s="3" t="s">
        <v>42</v>
      </c>
      <c r="B23" s="4" t="s">
        <v>43</v>
      </c>
      <c r="C23" s="3" t="s">
        <v>19</v>
      </c>
      <c r="D23" s="3" t="s">
        <v>19</v>
      </c>
      <c r="E23" s="3" t="s">
        <v>25</v>
      </c>
      <c r="F23" s="3" t="s">
        <v>19</v>
      </c>
      <c r="G23" s="3" t="s">
        <v>44</v>
      </c>
      <c r="H23" s="5">
        <v>1</v>
      </c>
      <c r="I23" s="3" t="s">
        <v>19</v>
      </c>
      <c r="J23" s="6">
        <v>350000</v>
      </c>
      <c r="K23" s="6">
        <v>0</v>
      </c>
      <c r="L23" s="6">
        <v>0</v>
      </c>
      <c r="M23" s="6">
        <v>0</v>
      </c>
      <c r="N23" s="3" t="s">
        <v>19</v>
      </c>
      <c r="O23" s="6">
        <v>0</v>
      </c>
      <c r="P23" s="6">
        <f>J23-L23</f>
        <v>350000</v>
      </c>
    </row>
    <row r="24" spans="1:16" x14ac:dyDescent="0.25">
      <c r="A24" s="3" t="s">
        <v>45</v>
      </c>
      <c r="B24" s="4" t="s">
        <v>46</v>
      </c>
      <c r="C24" s="3" t="s">
        <v>19</v>
      </c>
      <c r="D24" s="3" t="s">
        <v>19</v>
      </c>
      <c r="E24" s="3" t="s">
        <v>25</v>
      </c>
      <c r="F24" s="3" t="s">
        <v>19</v>
      </c>
      <c r="G24" s="3" t="s">
        <v>47</v>
      </c>
      <c r="H24" s="5">
        <v>1</v>
      </c>
      <c r="I24" s="3" t="s">
        <v>19</v>
      </c>
      <c r="J24" s="6">
        <v>250000</v>
      </c>
      <c r="K24" s="6">
        <v>0</v>
      </c>
      <c r="L24" s="6">
        <v>0</v>
      </c>
      <c r="M24" s="6">
        <v>0</v>
      </c>
      <c r="N24" s="3" t="s">
        <v>19</v>
      </c>
      <c r="O24" s="6">
        <v>0</v>
      </c>
      <c r="P24" s="6">
        <f>J24-L24</f>
        <v>250000</v>
      </c>
    </row>
    <row r="25" spans="1:16" x14ac:dyDescent="0.25">
      <c r="A25" s="3" t="s">
        <v>45</v>
      </c>
      <c r="B25" s="4" t="s">
        <v>46</v>
      </c>
      <c r="C25" s="3" t="s">
        <v>19</v>
      </c>
      <c r="D25" s="3" t="s">
        <v>19</v>
      </c>
      <c r="E25" s="3" t="s">
        <v>25</v>
      </c>
      <c r="F25" s="3" t="s">
        <v>19</v>
      </c>
      <c r="G25" s="3" t="s">
        <v>22</v>
      </c>
      <c r="H25" s="5">
        <v>1</v>
      </c>
      <c r="I25" s="3" t="s">
        <v>19</v>
      </c>
      <c r="J25" s="6">
        <v>25000</v>
      </c>
      <c r="K25" s="6">
        <v>0</v>
      </c>
      <c r="L25" s="6">
        <v>0</v>
      </c>
      <c r="M25" s="6">
        <v>0</v>
      </c>
      <c r="N25" s="3" t="s">
        <v>19</v>
      </c>
      <c r="O25" s="6">
        <v>0</v>
      </c>
      <c r="P25" s="6">
        <f>J25-L25</f>
        <v>25000</v>
      </c>
    </row>
    <row r="26" spans="1:16" x14ac:dyDescent="0.25">
      <c r="A26" s="3" t="s">
        <v>48</v>
      </c>
      <c r="B26" s="4" t="s">
        <v>49</v>
      </c>
      <c r="C26" s="3" t="s">
        <v>19</v>
      </c>
      <c r="D26" s="3" t="s">
        <v>19</v>
      </c>
      <c r="E26" s="3" t="s">
        <v>25</v>
      </c>
      <c r="F26" s="3" t="s">
        <v>19</v>
      </c>
      <c r="G26" s="3" t="s">
        <v>33</v>
      </c>
      <c r="H26" s="5">
        <v>1</v>
      </c>
      <c r="I26" s="3" t="s">
        <v>19</v>
      </c>
      <c r="J26" s="6">
        <v>150000</v>
      </c>
      <c r="K26" s="6">
        <v>0</v>
      </c>
      <c r="L26" s="6">
        <v>0</v>
      </c>
      <c r="M26" s="6">
        <v>0</v>
      </c>
      <c r="N26" s="3" t="s">
        <v>19</v>
      </c>
      <c r="O26" s="6">
        <v>0</v>
      </c>
      <c r="P26" s="6">
        <f>J26-L26</f>
        <v>150000</v>
      </c>
    </row>
    <row r="27" spans="1:16" x14ac:dyDescent="0.25">
      <c r="A27" s="3" t="s">
        <v>50</v>
      </c>
      <c r="B27" s="4" t="s">
        <v>51</v>
      </c>
      <c r="C27" s="3" t="s">
        <v>19</v>
      </c>
      <c r="D27" s="3" t="s">
        <v>19</v>
      </c>
      <c r="E27" s="3" t="s">
        <v>52</v>
      </c>
      <c r="F27" s="3" t="s">
        <v>19</v>
      </c>
      <c r="G27" s="3" t="s">
        <v>33</v>
      </c>
      <c r="H27" s="5">
        <v>2</v>
      </c>
      <c r="I27" s="3" t="s">
        <v>19</v>
      </c>
      <c r="J27" s="6">
        <v>300000</v>
      </c>
      <c r="K27" s="6">
        <v>0</v>
      </c>
      <c r="L27" s="6">
        <v>0</v>
      </c>
      <c r="M27" s="6">
        <v>0</v>
      </c>
      <c r="N27" s="3" t="s">
        <v>19</v>
      </c>
      <c r="O27" s="6">
        <v>0</v>
      </c>
      <c r="P27" s="6">
        <f>J27-L27</f>
        <v>300000</v>
      </c>
    </row>
    <row r="28" ht="18" customHeight="1" spans="1:16" x14ac:dyDescent="0.25">
      <c r="A28" s="7" t="s">
        <v>34</v>
      </c>
      <c r="B28" s="7"/>
      <c r="C28" s="7"/>
      <c r="D28" s="7"/>
      <c r="E28" s="7"/>
      <c r="F28" s="7"/>
      <c r="G28" s="7"/>
      <c r="H28" s="8">
        <f>SUM(H18:H27)</f>
        <v>11</v>
      </c>
      <c r="I28" s="7"/>
      <c r="J28" s="9">
        <f>SUM(J18:J27)</f>
        <v>1925000</v>
      </c>
      <c r="K28" s="9">
        <f>SUM(K18:K27)</f>
        <v>0</v>
      </c>
      <c r="L28" s="9">
        <f>SUM(L18:L27)</f>
        <v>0</v>
      </c>
      <c r="M28" s="9">
        <f>SUM(M18:M27)</f>
        <v>0</v>
      </c>
      <c r="N28" s="7"/>
      <c r="O28" s="9">
        <f>SUM(O18:O27)</f>
        <v>0</v>
      </c>
      <c r="P28" s="9">
        <f>SUM(P18:P27)</f>
        <v>1925000</v>
      </c>
    </row>
  </sheetData>
  <mergeCells count="4">
    <mergeCell ref="A1:P1"/>
    <mergeCell ref="A12:G12"/>
    <mergeCell ref="A16:P16"/>
    <mergeCell ref="A28:G28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2"/>
  <sheetViews>
    <sheetView workbookViewId="0" zoomScale="90"/>
  </sheetViews>
  <sheetFormatPr defaultRowHeight="15.75" outlineLevelRow="0" outlineLevelCol="0" x14ac:dyDescent="55" customHeight="1"/>
  <cols>
    <col min="1" max="1" width="16.75" customWidth="1"/>
    <col min="2" max="2" width="17.375" customWidth="1"/>
    <col min="3" max="4" width="8.43" customWidth="1"/>
    <col min="6" max="6" width="8.43" customWidth="1"/>
    <col min="7" max="7" width="22.75" customWidth="1"/>
    <col min="9" max="9" width="10.625" customWidth="1"/>
    <col min="10" max="10" width="9.625" customWidth="1"/>
    <col min="14" max="14" width="18.125" customWidth="1"/>
    <col min="16" max="16" width="10.5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53</v>
      </c>
      <c r="B3" s="4" t="s">
        <v>54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55</v>
      </c>
      <c r="H3" s="5">
        <v>1</v>
      </c>
      <c r="I3" s="3" t="s">
        <v>19</v>
      </c>
      <c r="J3" s="6">
        <v>50000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50000</v>
      </c>
    </row>
    <row r="4" spans="1:16" x14ac:dyDescent="0.25">
      <c r="A4" s="3" t="s">
        <v>56</v>
      </c>
      <c r="B4" s="4" t="s">
        <v>57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58</v>
      </c>
      <c r="H4" s="5">
        <v>1</v>
      </c>
      <c r="I4" s="3" t="s">
        <v>19</v>
      </c>
      <c r="J4" s="6">
        <v>30000</v>
      </c>
      <c r="K4" s="6">
        <v>0</v>
      </c>
      <c r="L4" s="6">
        <v>0</v>
      </c>
      <c r="M4" s="6">
        <v>0</v>
      </c>
      <c r="N4" s="3" t="s">
        <v>19</v>
      </c>
      <c r="O4" s="6">
        <v>0</v>
      </c>
      <c r="P4" s="6">
        <f>J4-L4</f>
        <v>30000</v>
      </c>
    </row>
    <row r="5" spans="1:16" x14ac:dyDescent="0.25">
      <c r="A5" s="3" t="s">
        <v>59</v>
      </c>
      <c r="B5" s="4" t="s">
        <v>60</v>
      </c>
      <c r="C5" s="3" t="s">
        <v>19</v>
      </c>
      <c r="D5" s="3" t="s">
        <v>19</v>
      </c>
      <c r="E5" s="3" t="s">
        <v>20</v>
      </c>
      <c r="F5" s="3" t="s">
        <v>19</v>
      </c>
      <c r="G5" s="3" t="s">
        <v>55</v>
      </c>
      <c r="H5" s="5">
        <v>2</v>
      </c>
      <c r="I5" s="3" t="s">
        <v>19</v>
      </c>
      <c r="J5" s="6">
        <v>100000</v>
      </c>
      <c r="K5" s="6">
        <v>0</v>
      </c>
      <c r="L5" s="6">
        <v>0</v>
      </c>
      <c r="M5" s="6">
        <v>0</v>
      </c>
      <c r="N5" s="3" t="s">
        <v>19</v>
      </c>
      <c r="O5" s="6">
        <v>0</v>
      </c>
      <c r="P5" s="6">
        <f>J5-L5</f>
        <v>100000</v>
      </c>
    </row>
    <row r="6" spans="1:16" x14ac:dyDescent="0.25">
      <c r="A6" s="3" t="s">
        <v>61</v>
      </c>
      <c r="B6" s="4" t="s">
        <v>62</v>
      </c>
      <c r="C6" s="3" t="s">
        <v>19</v>
      </c>
      <c r="D6" s="3" t="s">
        <v>19</v>
      </c>
      <c r="E6" s="3" t="s">
        <v>20</v>
      </c>
      <c r="F6" s="3" t="s">
        <v>19</v>
      </c>
      <c r="G6" s="3" t="s">
        <v>58</v>
      </c>
      <c r="H6" s="5">
        <v>4</v>
      </c>
      <c r="I6" s="3" t="s">
        <v>19</v>
      </c>
      <c r="J6" s="6">
        <v>120000</v>
      </c>
      <c r="K6" s="6">
        <v>0</v>
      </c>
      <c r="L6" s="6">
        <v>0</v>
      </c>
      <c r="M6" s="6">
        <v>0</v>
      </c>
      <c r="N6" s="3" t="s">
        <v>19</v>
      </c>
      <c r="O6" s="6">
        <v>0</v>
      </c>
      <c r="P6" s="6">
        <f>J6-L6</f>
        <v>120000</v>
      </c>
    </row>
    <row r="7" spans="1:16" x14ac:dyDescent="0.25">
      <c r="A7" s="3" t="s">
        <v>63</v>
      </c>
      <c r="B7" s="4" t="s">
        <v>64</v>
      </c>
      <c r="C7" s="3" t="s">
        <v>19</v>
      </c>
      <c r="D7" s="3" t="s">
        <v>19</v>
      </c>
      <c r="E7" s="3" t="s">
        <v>20</v>
      </c>
      <c r="F7" s="3" t="s">
        <v>19</v>
      </c>
      <c r="G7" s="3" t="s">
        <v>55</v>
      </c>
      <c r="H7" s="5">
        <v>4</v>
      </c>
      <c r="I7" s="3" t="s">
        <v>19</v>
      </c>
      <c r="J7" s="6">
        <v>200000</v>
      </c>
      <c r="K7" s="6">
        <v>0</v>
      </c>
      <c r="L7" s="6">
        <v>0</v>
      </c>
      <c r="M7" s="6">
        <v>0</v>
      </c>
      <c r="N7" s="3" t="s">
        <v>19</v>
      </c>
      <c r="O7" s="6">
        <v>0</v>
      </c>
      <c r="P7" s="6">
        <f>J7-L7</f>
        <v>200000</v>
      </c>
    </row>
    <row r="8" spans="1:16" x14ac:dyDescent="0.25">
      <c r="A8" s="3" t="s">
        <v>65</v>
      </c>
      <c r="B8" s="4" t="s">
        <v>66</v>
      </c>
      <c r="C8" s="3" t="s">
        <v>19</v>
      </c>
      <c r="D8" s="3" t="s">
        <v>19</v>
      </c>
      <c r="E8" s="3" t="s">
        <v>20</v>
      </c>
      <c r="F8" s="3" t="s">
        <v>19</v>
      </c>
      <c r="G8" s="3" t="s">
        <v>55</v>
      </c>
      <c r="H8" s="5">
        <v>3</v>
      </c>
      <c r="I8" s="3" t="s">
        <v>19</v>
      </c>
      <c r="J8" s="6">
        <v>150000</v>
      </c>
      <c r="K8" s="6">
        <v>0</v>
      </c>
      <c r="L8" s="6">
        <v>0</v>
      </c>
      <c r="M8" s="6">
        <v>0</v>
      </c>
      <c r="N8" s="3" t="s">
        <v>19</v>
      </c>
      <c r="O8" s="6">
        <v>0</v>
      </c>
      <c r="P8" s="6">
        <f>J8-L8</f>
        <v>150000</v>
      </c>
    </row>
    <row r="9" spans="1:16" x14ac:dyDescent="0.25">
      <c r="A9" s="3" t="s">
        <v>67</v>
      </c>
      <c r="B9" s="4" t="s">
        <v>68</v>
      </c>
      <c r="C9" s="3" t="s">
        <v>19</v>
      </c>
      <c r="D9" s="3" t="s">
        <v>19</v>
      </c>
      <c r="E9" s="3" t="s">
        <v>20</v>
      </c>
      <c r="F9" s="3" t="s">
        <v>19</v>
      </c>
      <c r="G9" s="3" t="s">
        <v>55</v>
      </c>
      <c r="H9" s="5">
        <v>2</v>
      </c>
      <c r="I9" s="3" t="s">
        <v>19</v>
      </c>
      <c r="J9" s="6">
        <v>100000</v>
      </c>
      <c r="K9" s="6">
        <v>0</v>
      </c>
      <c r="L9" s="6">
        <v>0</v>
      </c>
      <c r="M9" s="6">
        <v>0</v>
      </c>
      <c r="N9" s="3" t="s">
        <v>19</v>
      </c>
      <c r="O9" s="6">
        <v>0</v>
      </c>
      <c r="P9" s="6">
        <f>J9-L9</f>
        <v>100000</v>
      </c>
    </row>
    <row r="10" spans="1:16" x14ac:dyDescent="0.25">
      <c r="A10" s="3" t="s">
        <v>69</v>
      </c>
      <c r="B10" s="4" t="s">
        <v>70</v>
      </c>
      <c r="C10" s="3" t="s">
        <v>19</v>
      </c>
      <c r="D10" s="3" t="s">
        <v>19</v>
      </c>
      <c r="E10" s="3" t="s">
        <v>20</v>
      </c>
      <c r="F10" s="3" t="s">
        <v>19</v>
      </c>
      <c r="G10" s="3" t="s">
        <v>55</v>
      </c>
      <c r="H10" s="5">
        <v>1</v>
      </c>
      <c r="I10" s="3" t="s">
        <v>19</v>
      </c>
      <c r="J10" s="6">
        <v>50000</v>
      </c>
      <c r="K10" s="6">
        <v>0</v>
      </c>
      <c r="L10" s="6">
        <v>0</v>
      </c>
      <c r="M10" s="6">
        <v>0</v>
      </c>
      <c r="N10" s="3" t="s">
        <v>19</v>
      </c>
      <c r="O10" s="6">
        <v>0</v>
      </c>
      <c r="P10" s="6">
        <f>J10-L10</f>
        <v>50000</v>
      </c>
    </row>
    <row r="11" spans="1:16" x14ac:dyDescent="0.25">
      <c r="A11" s="3" t="s">
        <v>71</v>
      </c>
      <c r="B11" s="4" t="s">
        <v>72</v>
      </c>
      <c r="C11" s="3" t="s">
        <v>19</v>
      </c>
      <c r="D11" s="3" t="s">
        <v>19</v>
      </c>
      <c r="E11" s="3" t="s">
        <v>20</v>
      </c>
      <c r="F11" s="3" t="s">
        <v>19</v>
      </c>
      <c r="G11" s="3" t="s">
        <v>58</v>
      </c>
      <c r="H11" s="5">
        <v>2</v>
      </c>
      <c r="I11" s="3" t="s">
        <v>19</v>
      </c>
      <c r="J11" s="6">
        <v>60000</v>
      </c>
      <c r="K11" s="6">
        <v>0</v>
      </c>
      <c r="L11" s="6">
        <v>0</v>
      </c>
      <c r="M11" s="6">
        <v>0</v>
      </c>
      <c r="N11" s="3" t="s">
        <v>19</v>
      </c>
      <c r="O11" s="6">
        <v>0</v>
      </c>
      <c r="P11" s="6">
        <f>J11-L11</f>
        <v>60000</v>
      </c>
    </row>
    <row r="12" spans="1:16" x14ac:dyDescent="0.25">
      <c r="A12" s="3" t="s">
        <v>73</v>
      </c>
      <c r="B12" s="4" t="s">
        <v>74</v>
      </c>
      <c r="C12" s="3" t="s">
        <v>19</v>
      </c>
      <c r="D12" s="3" t="s">
        <v>19</v>
      </c>
      <c r="E12" s="3" t="s">
        <v>20</v>
      </c>
      <c r="F12" s="3" t="s">
        <v>19</v>
      </c>
      <c r="G12" s="3" t="s">
        <v>55</v>
      </c>
      <c r="H12" s="5">
        <v>1</v>
      </c>
      <c r="I12" s="3" t="s">
        <v>19</v>
      </c>
      <c r="J12" s="6">
        <v>50000</v>
      </c>
      <c r="K12" s="6">
        <v>0</v>
      </c>
      <c r="L12" s="6">
        <v>0</v>
      </c>
      <c r="M12" s="6">
        <v>0</v>
      </c>
      <c r="N12" s="3" t="s">
        <v>19</v>
      </c>
      <c r="O12" s="6">
        <v>0</v>
      </c>
      <c r="P12" s="6">
        <f>J12-L12</f>
        <v>50000</v>
      </c>
    </row>
    <row r="13" spans="1:16" x14ac:dyDescent="0.25">
      <c r="A13" s="3" t="s">
        <v>75</v>
      </c>
      <c r="B13" s="4" t="s">
        <v>76</v>
      </c>
      <c r="C13" s="3" t="s">
        <v>19</v>
      </c>
      <c r="D13" s="3" t="s">
        <v>19</v>
      </c>
      <c r="E13" s="3" t="s">
        <v>20</v>
      </c>
      <c r="F13" s="3" t="s">
        <v>19</v>
      </c>
      <c r="G13" s="3" t="s">
        <v>55</v>
      </c>
      <c r="H13" s="5">
        <v>1</v>
      </c>
      <c r="I13" s="3" t="s">
        <v>19</v>
      </c>
      <c r="J13" s="6">
        <v>50000</v>
      </c>
      <c r="K13" s="6">
        <v>0</v>
      </c>
      <c r="L13" s="6">
        <v>0</v>
      </c>
      <c r="M13" s="6">
        <v>0</v>
      </c>
      <c r="N13" s="3" t="s">
        <v>19</v>
      </c>
      <c r="O13" s="6">
        <v>0</v>
      </c>
      <c r="P13" s="6">
        <f>J13-L13</f>
        <v>50000</v>
      </c>
    </row>
    <row r="14" spans="1:16" x14ac:dyDescent="0.25">
      <c r="A14" s="3" t="s">
        <v>77</v>
      </c>
      <c r="B14" s="4" t="s">
        <v>78</v>
      </c>
      <c r="C14" s="3" t="s">
        <v>19</v>
      </c>
      <c r="D14" s="3" t="s">
        <v>19</v>
      </c>
      <c r="E14" s="3" t="s">
        <v>20</v>
      </c>
      <c r="F14" s="3" t="s">
        <v>19</v>
      </c>
      <c r="G14" s="3" t="s">
        <v>55</v>
      </c>
      <c r="H14" s="5">
        <v>8</v>
      </c>
      <c r="I14" s="3" t="s">
        <v>19</v>
      </c>
      <c r="J14" s="6">
        <v>400000</v>
      </c>
      <c r="K14" s="6">
        <v>0</v>
      </c>
      <c r="L14" s="6">
        <v>0</v>
      </c>
      <c r="M14" s="6">
        <v>0</v>
      </c>
      <c r="N14" s="3" t="s">
        <v>19</v>
      </c>
      <c r="O14" s="6">
        <v>0</v>
      </c>
      <c r="P14" s="6">
        <f>J14-L14</f>
        <v>400000</v>
      </c>
    </row>
    <row r="15" spans="1:16" x14ac:dyDescent="0.25">
      <c r="A15" s="3" t="s">
        <v>79</v>
      </c>
      <c r="B15" s="4" t="s">
        <v>80</v>
      </c>
      <c r="C15" s="3" t="s">
        <v>19</v>
      </c>
      <c r="D15" s="3" t="s">
        <v>19</v>
      </c>
      <c r="E15" s="3" t="s">
        <v>20</v>
      </c>
      <c r="F15" s="3" t="s">
        <v>19</v>
      </c>
      <c r="G15" s="3" t="s">
        <v>55</v>
      </c>
      <c r="H15" s="5">
        <v>2</v>
      </c>
      <c r="I15" s="3" t="s">
        <v>19</v>
      </c>
      <c r="J15" s="6">
        <v>100000</v>
      </c>
      <c r="K15" s="6">
        <v>0</v>
      </c>
      <c r="L15" s="6">
        <v>0</v>
      </c>
      <c r="M15" s="6">
        <v>0</v>
      </c>
      <c r="N15" s="3" t="s">
        <v>19</v>
      </c>
      <c r="O15" s="6">
        <v>0</v>
      </c>
      <c r="P15" s="6">
        <f>J15-L15</f>
        <v>100000</v>
      </c>
    </row>
    <row r="16" spans="1:16" x14ac:dyDescent="0.25">
      <c r="A16" s="3" t="s">
        <v>81</v>
      </c>
      <c r="B16" s="4" t="s">
        <v>82</v>
      </c>
      <c r="C16" s="3" t="s">
        <v>19</v>
      </c>
      <c r="D16" s="3" t="s">
        <v>19</v>
      </c>
      <c r="E16" s="3" t="s">
        <v>25</v>
      </c>
      <c r="F16" s="3" t="s">
        <v>19</v>
      </c>
      <c r="G16" s="3" t="s">
        <v>55</v>
      </c>
      <c r="H16" s="5">
        <v>1</v>
      </c>
      <c r="I16" s="3" t="s">
        <v>19</v>
      </c>
      <c r="J16" s="6">
        <v>50000</v>
      </c>
      <c r="K16" s="6">
        <v>0</v>
      </c>
      <c r="L16" s="6">
        <v>0</v>
      </c>
      <c r="M16" s="6">
        <v>0</v>
      </c>
      <c r="N16" s="3" t="s">
        <v>19</v>
      </c>
      <c r="O16" s="6">
        <v>0</v>
      </c>
      <c r="P16" s="6">
        <f>J16-L16</f>
        <v>50000</v>
      </c>
    </row>
    <row r="17" spans="1:16" x14ac:dyDescent="0.25">
      <c r="A17" s="3" t="s">
        <v>83</v>
      </c>
      <c r="B17" s="4" t="s">
        <v>84</v>
      </c>
      <c r="C17" s="3" t="s">
        <v>19</v>
      </c>
      <c r="D17" s="3" t="s">
        <v>19</v>
      </c>
      <c r="E17" s="3" t="s">
        <v>25</v>
      </c>
      <c r="F17" s="3" t="s">
        <v>19</v>
      </c>
      <c r="G17" s="3" t="s">
        <v>55</v>
      </c>
      <c r="H17" s="5">
        <v>2</v>
      </c>
      <c r="I17" s="3" t="s">
        <v>19</v>
      </c>
      <c r="J17" s="6">
        <v>100000</v>
      </c>
      <c r="K17" s="6">
        <v>0</v>
      </c>
      <c r="L17" s="6">
        <v>0</v>
      </c>
      <c r="M17" s="6">
        <v>0</v>
      </c>
      <c r="N17" s="3" t="s">
        <v>19</v>
      </c>
      <c r="O17" s="6">
        <v>0</v>
      </c>
      <c r="P17" s="6">
        <f>J17-L17</f>
        <v>100000</v>
      </c>
    </row>
    <row r="18" spans="1:16" x14ac:dyDescent="0.25">
      <c r="A18" s="3" t="s">
        <v>83</v>
      </c>
      <c r="B18" s="4" t="s">
        <v>84</v>
      </c>
      <c r="C18" s="3" t="s">
        <v>19</v>
      </c>
      <c r="D18" s="3" t="s">
        <v>19</v>
      </c>
      <c r="E18" s="3" t="s">
        <v>25</v>
      </c>
      <c r="F18" s="3" t="s">
        <v>19</v>
      </c>
      <c r="G18" s="3" t="s">
        <v>58</v>
      </c>
      <c r="H18" s="5">
        <v>2</v>
      </c>
      <c r="I18" s="3" t="s">
        <v>19</v>
      </c>
      <c r="J18" s="6">
        <v>60000</v>
      </c>
      <c r="K18" s="6">
        <v>0</v>
      </c>
      <c r="L18" s="6">
        <v>0</v>
      </c>
      <c r="M18" s="6">
        <v>0</v>
      </c>
      <c r="N18" s="3" t="s">
        <v>19</v>
      </c>
      <c r="O18" s="6">
        <v>0</v>
      </c>
      <c r="P18" s="6">
        <f>J18-L18</f>
        <v>60000</v>
      </c>
    </row>
    <row r="19" spans="1:16" x14ac:dyDescent="0.25">
      <c r="A19" s="3" t="s">
        <v>85</v>
      </c>
      <c r="B19" s="4" t="s">
        <v>86</v>
      </c>
      <c r="C19" s="3" t="s">
        <v>19</v>
      </c>
      <c r="D19" s="3" t="s">
        <v>19</v>
      </c>
      <c r="E19" s="3" t="s">
        <v>25</v>
      </c>
      <c r="F19" s="3" t="s">
        <v>19</v>
      </c>
      <c r="G19" s="3" t="s">
        <v>55</v>
      </c>
      <c r="H19" s="5">
        <v>1</v>
      </c>
      <c r="I19" s="3" t="s">
        <v>19</v>
      </c>
      <c r="J19" s="6">
        <v>50000</v>
      </c>
      <c r="K19" s="6">
        <v>0</v>
      </c>
      <c r="L19" s="6">
        <v>0</v>
      </c>
      <c r="M19" s="6">
        <v>0</v>
      </c>
      <c r="N19" s="3" t="s">
        <v>19</v>
      </c>
      <c r="O19" s="6">
        <v>0</v>
      </c>
      <c r="P19" s="6">
        <f>J19-L19</f>
        <v>50000</v>
      </c>
    </row>
    <row r="20" spans="1:16" x14ac:dyDescent="0.25">
      <c r="A20" s="3" t="s">
        <v>85</v>
      </c>
      <c r="B20" s="4" t="s">
        <v>86</v>
      </c>
      <c r="C20" s="3" t="s">
        <v>19</v>
      </c>
      <c r="D20" s="3" t="s">
        <v>19</v>
      </c>
      <c r="E20" s="3" t="s">
        <v>25</v>
      </c>
      <c r="F20" s="3" t="s">
        <v>19</v>
      </c>
      <c r="G20" s="3" t="s">
        <v>58</v>
      </c>
      <c r="H20" s="5">
        <v>1</v>
      </c>
      <c r="I20" s="3" t="s">
        <v>19</v>
      </c>
      <c r="J20" s="6">
        <v>30000</v>
      </c>
      <c r="K20" s="6">
        <v>0</v>
      </c>
      <c r="L20" s="6">
        <v>0</v>
      </c>
      <c r="M20" s="6">
        <v>0</v>
      </c>
      <c r="N20" s="3" t="s">
        <v>19</v>
      </c>
      <c r="O20" s="6">
        <v>0</v>
      </c>
      <c r="P20" s="6">
        <f>J20-L20</f>
        <v>30000</v>
      </c>
    </row>
    <row r="21" ht="18" customHeight="1" spans="1:16" x14ac:dyDescent="0.25">
      <c r="A21" s="7" t="s">
        <v>34</v>
      </c>
      <c r="B21" s="7"/>
      <c r="C21" s="7"/>
      <c r="D21" s="7"/>
      <c r="E21" s="7"/>
      <c r="F21" s="7"/>
      <c r="G21" s="7"/>
      <c r="H21" s="8">
        <f>SUM(H3:H20)</f>
        <v>39</v>
      </c>
      <c r="I21" s="7"/>
      <c r="J21" s="9">
        <f>SUM(J3:J20)</f>
        <v>1750000</v>
      </c>
      <c r="K21" s="9">
        <f>SUM(K3:K20)</f>
        <v>0</v>
      </c>
      <c r="L21" s="9">
        <f>SUM(L3:L20)</f>
        <v>0</v>
      </c>
      <c r="M21" s="9">
        <f>SUM(M3:M20)</f>
        <v>0</v>
      </c>
      <c r="N21" s="7"/>
      <c r="O21" s="9">
        <f>SUM(O3:O20)</f>
        <v>0</v>
      </c>
      <c r="P21" s="9">
        <f>SUM(P3:P20)</f>
        <v>1750000</v>
      </c>
    </row>
    <row r="25" ht="15.75" customHeight="1" spans="1:16" x14ac:dyDescent="0.25">
      <c r="A25" s="1" t="s">
        <v>35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ht="39.4" customHeight="1" spans="1:16" x14ac:dyDescent="0.25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  <c r="G26" s="2" t="s">
        <v>7</v>
      </c>
      <c r="H26" s="2" t="s">
        <v>8</v>
      </c>
      <c r="I26" s="2" t="s">
        <v>9</v>
      </c>
      <c r="J26" s="2" t="s">
        <v>10</v>
      </c>
      <c r="K26" s="2" t="s">
        <v>11</v>
      </c>
      <c r="L26" s="2" t="s">
        <v>12</v>
      </c>
      <c r="M26" s="2" t="s">
        <v>13</v>
      </c>
      <c r="N26" s="2" t="s">
        <v>14</v>
      </c>
      <c r="O26" s="2" t="s">
        <v>15</v>
      </c>
      <c r="P26" s="2" t="s">
        <v>16</v>
      </c>
    </row>
    <row r="27" spans="1:16" x14ac:dyDescent="0.25">
      <c r="A27" s="3" t="s">
        <v>87</v>
      </c>
      <c r="B27" s="4" t="s">
        <v>88</v>
      </c>
      <c r="C27" s="3" t="s">
        <v>19</v>
      </c>
      <c r="D27" s="3" t="s">
        <v>19</v>
      </c>
      <c r="E27" s="3" t="s">
        <v>20</v>
      </c>
      <c r="F27" s="3" t="s">
        <v>19</v>
      </c>
      <c r="G27" s="3" t="s">
        <v>55</v>
      </c>
      <c r="H27" s="5">
        <v>4</v>
      </c>
      <c r="I27" s="3" t="s">
        <v>19</v>
      </c>
      <c r="J27" s="6">
        <v>200000</v>
      </c>
      <c r="K27" s="6">
        <v>0</v>
      </c>
      <c r="L27" s="6">
        <v>0</v>
      </c>
      <c r="M27" s="6">
        <v>0</v>
      </c>
      <c r="N27" s="3" t="s">
        <v>19</v>
      </c>
      <c r="O27" s="6">
        <v>0</v>
      </c>
      <c r="P27" s="6">
        <f>J27-L27</f>
        <v>200000</v>
      </c>
    </row>
    <row r="28" spans="1:16" x14ac:dyDescent="0.25">
      <c r="A28" s="3" t="s">
        <v>89</v>
      </c>
      <c r="B28" s="4" t="s">
        <v>90</v>
      </c>
      <c r="C28" s="3" t="s">
        <v>19</v>
      </c>
      <c r="D28" s="3" t="s">
        <v>19</v>
      </c>
      <c r="E28" s="3" t="s">
        <v>20</v>
      </c>
      <c r="F28" s="3" t="s">
        <v>19</v>
      </c>
      <c r="G28" s="3" t="s">
        <v>58</v>
      </c>
      <c r="H28" s="5">
        <v>1</v>
      </c>
      <c r="I28" s="3" t="s">
        <v>19</v>
      </c>
      <c r="J28" s="6">
        <v>30000</v>
      </c>
      <c r="K28" s="6">
        <v>0</v>
      </c>
      <c r="L28" s="6">
        <v>0</v>
      </c>
      <c r="M28" s="6">
        <v>0</v>
      </c>
      <c r="N28" s="3" t="s">
        <v>19</v>
      </c>
      <c r="O28" s="6">
        <v>0</v>
      </c>
      <c r="P28" s="6">
        <f>J28-L28</f>
        <v>30000</v>
      </c>
    </row>
    <row r="29" spans="1:16" x14ac:dyDescent="0.25">
      <c r="A29" s="3" t="s">
        <v>91</v>
      </c>
      <c r="B29" s="4" t="s">
        <v>92</v>
      </c>
      <c r="C29" s="3" t="s">
        <v>19</v>
      </c>
      <c r="D29" s="3" t="s">
        <v>19</v>
      </c>
      <c r="E29" s="3" t="s">
        <v>20</v>
      </c>
      <c r="F29" s="3" t="s">
        <v>19</v>
      </c>
      <c r="G29" s="3" t="s">
        <v>55</v>
      </c>
      <c r="H29" s="5">
        <v>1</v>
      </c>
      <c r="I29" s="3" t="s">
        <v>19</v>
      </c>
      <c r="J29" s="6">
        <v>50000</v>
      </c>
      <c r="K29" s="6">
        <v>0</v>
      </c>
      <c r="L29" s="6">
        <v>0</v>
      </c>
      <c r="M29" s="6">
        <v>0</v>
      </c>
      <c r="N29" s="3" t="s">
        <v>19</v>
      </c>
      <c r="O29" s="6">
        <v>0</v>
      </c>
      <c r="P29" s="6">
        <f>J29-L29</f>
        <v>50000</v>
      </c>
    </row>
    <row r="30" spans="1:16" x14ac:dyDescent="0.25">
      <c r="A30" s="3" t="s">
        <v>93</v>
      </c>
      <c r="B30" s="4" t="s">
        <v>94</v>
      </c>
      <c r="C30" s="3" t="s">
        <v>19</v>
      </c>
      <c r="D30" s="3" t="s">
        <v>19</v>
      </c>
      <c r="E30" s="3" t="s">
        <v>20</v>
      </c>
      <c r="F30" s="3" t="s">
        <v>19</v>
      </c>
      <c r="G30" s="3" t="s">
        <v>58</v>
      </c>
      <c r="H30" s="5">
        <v>2</v>
      </c>
      <c r="I30" s="3" t="s">
        <v>19</v>
      </c>
      <c r="J30" s="6">
        <v>60000</v>
      </c>
      <c r="K30" s="6">
        <v>0</v>
      </c>
      <c r="L30" s="6">
        <v>0</v>
      </c>
      <c r="M30" s="6">
        <v>0</v>
      </c>
      <c r="N30" s="3" t="s">
        <v>19</v>
      </c>
      <c r="O30" s="6">
        <v>0</v>
      </c>
      <c r="P30" s="6">
        <f>J30-L30</f>
        <v>60000</v>
      </c>
    </row>
    <row r="31" spans="1:16" x14ac:dyDescent="0.25">
      <c r="A31" s="3" t="s">
        <v>95</v>
      </c>
      <c r="B31" s="4" t="s">
        <v>96</v>
      </c>
      <c r="C31" s="3" t="s">
        <v>19</v>
      </c>
      <c r="D31" s="3" t="s">
        <v>19</v>
      </c>
      <c r="E31" s="3" t="s">
        <v>20</v>
      </c>
      <c r="F31" s="3" t="s">
        <v>19</v>
      </c>
      <c r="G31" s="3" t="s">
        <v>58</v>
      </c>
      <c r="H31" s="5">
        <v>1</v>
      </c>
      <c r="I31" s="3" t="s">
        <v>19</v>
      </c>
      <c r="J31" s="6">
        <v>30000</v>
      </c>
      <c r="K31" s="6">
        <v>0</v>
      </c>
      <c r="L31" s="6">
        <v>0</v>
      </c>
      <c r="M31" s="6">
        <v>0</v>
      </c>
      <c r="N31" s="3" t="s">
        <v>19</v>
      </c>
      <c r="O31" s="6">
        <v>0</v>
      </c>
      <c r="P31" s="6">
        <f>J31-L31</f>
        <v>30000</v>
      </c>
    </row>
    <row r="32" spans="1:16" x14ac:dyDescent="0.25">
      <c r="A32" s="3" t="s">
        <v>97</v>
      </c>
      <c r="B32" s="4" t="s">
        <v>98</v>
      </c>
      <c r="C32" s="3" t="s">
        <v>19</v>
      </c>
      <c r="D32" s="3" t="s">
        <v>19</v>
      </c>
      <c r="E32" s="3" t="s">
        <v>20</v>
      </c>
      <c r="F32" s="3" t="s">
        <v>19</v>
      </c>
      <c r="G32" s="3" t="s">
        <v>55</v>
      </c>
      <c r="H32" s="5">
        <v>1</v>
      </c>
      <c r="I32" s="3" t="s">
        <v>19</v>
      </c>
      <c r="J32" s="6">
        <v>50000</v>
      </c>
      <c r="K32" s="6">
        <v>0</v>
      </c>
      <c r="L32" s="6">
        <v>0</v>
      </c>
      <c r="M32" s="6">
        <v>0</v>
      </c>
      <c r="N32" s="3" t="s">
        <v>19</v>
      </c>
      <c r="O32" s="6">
        <v>0</v>
      </c>
      <c r="P32" s="6">
        <f>J32-L32</f>
        <v>50000</v>
      </c>
    </row>
    <row r="33" spans="1:16" x14ac:dyDescent="0.25">
      <c r="A33" s="3" t="s">
        <v>99</v>
      </c>
      <c r="B33" s="4" t="s">
        <v>100</v>
      </c>
      <c r="C33" s="3" t="s">
        <v>19</v>
      </c>
      <c r="D33" s="3" t="s">
        <v>19</v>
      </c>
      <c r="E33" s="3" t="s">
        <v>20</v>
      </c>
      <c r="F33" s="3" t="s">
        <v>19</v>
      </c>
      <c r="G33" s="3" t="s">
        <v>55</v>
      </c>
      <c r="H33" s="5">
        <v>1</v>
      </c>
      <c r="I33" s="3" t="s">
        <v>19</v>
      </c>
      <c r="J33" s="6">
        <v>50000</v>
      </c>
      <c r="K33" s="6">
        <v>0</v>
      </c>
      <c r="L33" s="6">
        <v>0</v>
      </c>
      <c r="M33" s="6">
        <v>0</v>
      </c>
      <c r="N33" s="3" t="s">
        <v>19</v>
      </c>
      <c r="O33" s="6">
        <v>0</v>
      </c>
      <c r="P33" s="6">
        <f>J33-L33</f>
        <v>50000</v>
      </c>
    </row>
    <row r="34" spans="1:16" x14ac:dyDescent="0.25">
      <c r="A34" s="3" t="s">
        <v>101</v>
      </c>
      <c r="B34" s="4" t="s">
        <v>102</v>
      </c>
      <c r="C34" s="3" t="s">
        <v>19</v>
      </c>
      <c r="D34" s="3" t="s">
        <v>19</v>
      </c>
      <c r="E34" s="3" t="s">
        <v>20</v>
      </c>
      <c r="F34" s="3" t="s">
        <v>19</v>
      </c>
      <c r="G34" s="3" t="s">
        <v>58</v>
      </c>
      <c r="H34" s="5">
        <v>1</v>
      </c>
      <c r="I34" s="3" t="s">
        <v>19</v>
      </c>
      <c r="J34" s="6">
        <v>30000</v>
      </c>
      <c r="K34" s="6">
        <v>0</v>
      </c>
      <c r="L34" s="6">
        <v>0</v>
      </c>
      <c r="M34" s="6">
        <v>0</v>
      </c>
      <c r="N34" s="3" t="s">
        <v>19</v>
      </c>
      <c r="O34" s="6">
        <v>0</v>
      </c>
      <c r="P34" s="6">
        <f>J34-L34</f>
        <v>30000</v>
      </c>
    </row>
    <row r="35" spans="1:16" x14ac:dyDescent="0.25">
      <c r="A35" s="3" t="s">
        <v>103</v>
      </c>
      <c r="B35" s="4" t="s">
        <v>104</v>
      </c>
      <c r="C35" s="3" t="s">
        <v>19</v>
      </c>
      <c r="D35" s="3" t="s">
        <v>19</v>
      </c>
      <c r="E35" s="3" t="s">
        <v>20</v>
      </c>
      <c r="F35" s="3" t="s">
        <v>19</v>
      </c>
      <c r="G35" s="3" t="s">
        <v>55</v>
      </c>
      <c r="H35" s="5">
        <v>1</v>
      </c>
      <c r="I35" s="3" t="s">
        <v>19</v>
      </c>
      <c r="J35" s="6">
        <v>50000</v>
      </c>
      <c r="K35" s="6">
        <v>0</v>
      </c>
      <c r="L35" s="6">
        <v>0</v>
      </c>
      <c r="M35" s="6">
        <v>0</v>
      </c>
      <c r="N35" s="3" t="s">
        <v>19</v>
      </c>
      <c r="O35" s="6">
        <v>0</v>
      </c>
      <c r="P35" s="6">
        <f>J35-L35</f>
        <v>50000</v>
      </c>
    </row>
    <row r="36" spans="1:16" x14ac:dyDescent="0.25">
      <c r="A36" s="3" t="s">
        <v>105</v>
      </c>
      <c r="B36" s="4" t="s">
        <v>106</v>
      </c>
      <c r="C36" s="3" t="s">
        <v>19</v>
      </c>
      <c r="D36" s="3" t="s">
        <v>19</v>
      </c>
      <c r="E36" s="3" t="s">
        <v>20</v>
      </c>
      <c r="F36" s="3" t="s">
        <v>19</v>
      </c>
      <c r="G36" s="3" t="s">
        <v>58</v>
      </c>
      <c r="H36" s="5">
        <v>4</v>
      </c>
      <c r="I36" s="3" t="s">
        <v>19</v>
      </c>
      <c r="J36" s="6">
        <v>120000</v>
      </c>
      <c r="K36" s="6">
        <v>0</v>
      </c>
      <c r="L36" s="6">
        <v>0</v>
      </c>
      <c r="M36" s="6">
        <v>0</v>
      </c>
      <c r="N36" s="3" t="s">
        <v>19</v>
      </c>
      <c r="O36" s="6">
        <v>0</v>
      </c>
      <c r="P36" s="6">
        <f>J36-L36</f>
        <v>120000</v>
      </c>
    </row>
    <row r="37" spans="1:16" x14ac:dyDescent="0.25">
      <c r="A37" s="3" t="s">
        <v>107</v>
      </c>
      <c r="B37" s="4" t="s">
        <v>108</v>
      </c>
      <c r="C37" s="3" t="s">
        <v>19</v>
      </c>
      <c r="D37" s="3" t="s">
        <v>19</v>
      </c>
      <c r="E37" s="3" t="s">
        <v>20</v>
      </c>
      <c r="F37" s="3" t="s">
        <v>19</v>
      </c>
      <c r="G37" s="3" t="s">
        <v>55</v>
      </c>
      <c r="H37" s="5">
        <v>2</v>
      </c>
      <c r="I37" s="3" t="s">
        <v>19</v>
      </c>
      <c r="J37" s="6">
        <v>100000</v>
      </c>
      <c r="K37" s="6">
        <v>0</v>
      </c>
      <c r="L37" s="6">
        <v>0</v>
      </c>
      <c r="M37" s="6">
        <v>0</v>
      </c>
      <c r="N37" s="3" t="s">
        <v>19</v>
      </c>
      <c r="O37" s="6">
        <v>0</v>
      </c>
      <c r="P37" s="6">
        <f>J37-L37</f>
        <v>100000</v>
      </c>
    </row>
    <row r="38" spans="1:16" x14ac:dyDescent="0.25">
      <c r="A38" s="3" t="s">
        <v>109</v>
      </c>
      <c r="B38" s="4" t="s">
        <v>110</v>
      </c>
      <c r="C38" s="3" t="s">
        <v>19</v>
      </c>
      <c r="D38" s="3" t="s">
        <v>19</v>
      </c>
      <c r="E38" s="3" t="s">
        <v>20</v>
      </c>
      <c r="F38" s="3" t="s">
        <v>19</v>
      </c>
      <c r="G38" s="3" t="s">
        <v>55</v>
      </c>
      <c r="H38" s="5">
        <v>1</v>
      </c>
      <c r="I38" s="3" t="s">
        <v>19</v>
      </c>
      <c r="J38" s="6">
        <v>50000</v>
      </c>
      <c r="K38" s="6">
        <v>0</v>
      </c>
      <c r="L38" s="6">
        <v>0</v>
      </c>
      <c r="M38" s="6">
        <v>0</v>
      </c>
      <c r="N38" s="3" t="s">
        <v>19</v>
      </c>
      <c r="O38" s="6">
        <v>0</v>
      </c>
      <c r="P38" s="6">
        <f>J38-L38</f>
        <v>50000</v>
      </c>
    </row>
    <row r="39" spans="1:16" x14ac:dyDescent="0.25">
      <c r="A39" s="3" t="s">
        <v>111</v>
      </c>
      <c r="B39" s="4" t="s">
        <v>112</v>
      </c>
      <c r="C39" s="3" t="s">
        <v>19</v>
      </c>
      <c r="D39" s="3" t="s">
        <v>19</v>
      </c>
      <c r="E39" s="3" t="s">
        <v>20</v>
      </c>
      <c r="F39" s="3" t="s">
        <v>19</v>
      </c>
      <c r="G39" s="3" t="s">
        <v>55</v>
      </c>
      <c r="H39" s="5">
        <v>3</v>
      </c>
      <c r="I39" s="3" t="s">
        <v>19</v>
      </c>
      <c r="J39" s="6">
        <v>150000</v>
      </c>
      <c r="K39" s="6">
        <v>0</v>
      </c>
      <c r="L39" s="6">
        <v>0</v>
      </c>
      <c r="M39" s="6">
        <v>0</v>
      </c>
      <c r="N39" s="3" t="s">
        <v>19</v>
      </c>
      <c r="O39" s="6">
        <v>0</v>
      </c>
      <c r="P39" s="6">
        <f>J39-L39</f>
        <v>150000</v>
      </c>
    </row>
    <row r="40" spans="1:16" x14ac:dyDescent="0.25">
      <c r="A40" s="3" t="s">
        <v>113</v>
      </c>
      <c r="B40" s="4" t="s">
        <v>114</v>
      </c>
      <c r="C40" s="3" t="s">
        <v>19</v>
      </c>
      <c r="D40" s="3" t="s">
        <v>19</v>
      </c>
      <c r="E40" s="3" t="s">
        <v>20</v>
      </c>
      <c r="F40" s="3" t="s">
        <v>19</v>
      </c>
      <c r="G40" s="3" t="s">
        <v>55</v>
      </c>
      <c r="H40" s="5">
        <v>1</v>
      </c>
      <c r="I40" s="3" t="s">
        <v>19</v>
      </c>
      <c r="J40" s="6">
        <v>50000</v>
      </c>
      <c r="K40" s="6">
        <v>0</v>
      </c>
      <c r="L40" s="6">
        <v>0</v>
      </c>
      <c r="M40" s="6">
        <v>0</v>
      </c>
      <c r="N40" s="3" t="s">
        <v>19</v>
      </c>
      <c r="O40" s="6">
        <v>0</v>
      </c>
      <c r="P40" s="6">
        <f>J40-L40</f>
        <v>50000</v>
      </c>
    </row>
    <row r="41" spans="1:16" x14ac:dyDescent="0.25">
      <c r="A41" s="3" t="s">
        <v>115</v>
      </c>
      <c r="B41" s="4" t="s">
        <v>116</v>
      </c>
      <c r="C41" s="3" t="s">
        <v>19</v>
      </c>
      <c r="D41" s="3" t="s">
        <v>19</v>
      </c>
      <c r="E41" s="3" t="s">
        <v>20</v>
      </c>
      <c r="F41" s="3" t="s">
        <v>19</v>
      </c>
      <c r="G41" s="3" t="s">
        <v>58</v>
      </c>
      <c r="H41" s="5">
        <v>1</v>
      </c>
      <c r="I41" s="3" t="s">
        <v>19</v>
      </c>
      <c r="J41" s="6">
        <v>30000</v>
      </c>
      <c r="K41" s="6">
        <v>0</v>
      </c>
      <c r="L41" s="6">
        <v>0</v>
      </c>
      <c r="M41" s="6">
        <v>0</v>
      </c>
      <c r="N41" s="3" t="s">
        <v>19</v>
      </c>
      <c r="O41" s="6">
        <v>0</v>
      </c>
      <c r="P41" s="6">
        <f>J41-L41</f>
        <v>30000</v>
      </c>
    </row>
    <row r="42" spans="1:16" x14ac:dyDescent="0.25">
      <c r="A42" s="3" t="s">
        <v>117</v>
      </c>
      <c r="B42" s="4" t="s">
        <v>118</v>
      </c>
      <c r="C42" s="3" t="s">
        <v>19</v>
      </c>
      <c r="D42" s="3" t="s">
        <v>19</v>
      </c>
      <c r="E42" s="3" t="s">
        <v>20</v>
      </c>
      <c r="F42" s="3" t="s">
        <v>19</v>
      </c>
      <c r="G42" s="3" t="s">
        <v>55</v>
      </c>
      <c r="H42" s="5">
        <v>2</v>
      </c>
      <c r="I42" s="3" t="s">
        <v>19</v>
      </c>
      <c r="J42" s="6">
        <v>100000</v>
      </c>
      <c r="K42" s="6">
        <v>0</v>
      </c>
      <c r="L42" s="6">
        <v>0</v>
      </c>
      <c r="M42" s="6">
        <v>0</v>
      </c>
      <c r="N42" s="3" t="s">
        <v>19</v>
      </c>
      <c r="O42" s="6">
        <v>0</v>
      </c>
      <c r="P42" s="6">
        <f>J42-L42</f>
        <v>100000</v>
      </c>
    </row>
    <row r="43" spans="1:16" x14ac:dyDescent="0.25">
      <c r="A43" s="3" t="s">
        <v>119</v>
      </c>
      <c r="B43" s="4" t="s">
        <v>120</v>
      </c>
      <c r="C43" s="3" t="s">
        <v>19</v>
      </c>
      <c r="D43" s="3" t="s">
        <v>19</v>
      </c>
      <c r="E43" s="3" t="s">
        <v>20</v>
      </c>
      <c r="F43" s="3" t="s">
        <v>19</v>
      </c>
      <c r="G43" s="3" t="s">
        <v>55</v>
      </c>
      <c r="H43" s="5">
        <v>1</v>
      </c>
      <c r="I43" s="3" t="s">
        <v>19</v>
      </c>
      <c r="J43" s="6">
        <v>50000</v>
      </c>
      <c r="K43" s="6">
        <v>0</v>
      </c>
      <c r="L43" s="6">
        <v>0</v>
      </c>
      <c r="M43" s="6">
        <v>0</v>
      </c>
      <c r="N43" s="3" t="s">
        <v>19</v>
      </c>
      <c r="O43" s="6">
        <v>0</v>
      </c>
      <c r="P43" s="6">
        <f>J43-L43</f>
        <v>50000</v>
      </c>
    </row>
    <row r="44" spans="1:16" x14ac:dyDescent="0.25">
      <c r="A44" s="3" t="s">
        <v>121</v>
      </c>
      <c r="B44" s="4" t="s">
        <v>122</v>
      </c>
      <c r="C44" s="3" t="s">
        <v>19</v>
      </c>
      <c r="D44" s="3" t="s">
        <v>19</v>
      </c>
      <c r="E44" s="3" t="s">
        <v>20</v>
      </c>
      <c r="F44" s="3" t="s">
        <v>19</v>
      </c>
      <c r="G44" s="3" t="s">
        <v>58</v>
      </c>
      <c r="H44" s="5">
        <v>2</v>
      </c>
      <c r="I44" s="3" t="s">
        <v>19</v>
      </c>
      <c r="J44" s="6">
        <v>60000</v>
      </c>
      <c r="K44" s="6">
        <v>0</v>
      </c>
      <c r="L44" s="6">
        <v>0</v>
      </c>
      <c r="M44" s="6">
        <v>0</v>
      </c>
      <c r="N44" s="3" t="s">
        <v>19</v>
      </c>
      <c r="O44" s="6">
        <v>0</v>
      </c>
      <c r="P44" s="6">
        <f>J44-L44</f>
        <v>60000</v>
      </c>
    </row>
    <row r="45" spans="1:16" x14ac:dyDescent="0.25">
      <c r="A45" s="3" t="s">
        <v>123</v>
      </c>
      <c r="B45" s="4" t="s">
        <v>124</v>
      </c>
      <c r="C45" s="3" t="s">
        <v>19</v>
      </c>
      <c r="D45" s="3" t="s">
        <v>19</v>
      </c>
      <c r="E45" s="3" t="s">
        <v>20</v>
      </c>
      <c r="F45" s="3" t="s">
        <v>19</v>
      </c>
      <c r="G45" s="3" t="s">
        <v>55</v>
      </c>
      <c r="H45" s="5">
        <v>1</v>
      </c>
      <c r="I45" s="3" t="s">
        <v>19</v>
      </c>
      <c r="J45" s="6">
        <v>50000</v>
      </c>
      <c r="K45" s="6">
        <v>0</v>
      </c>
      <c r="L45" s="6">
        <v>0</v>
      </c>
      <c r="M45" s="6">
        <v>0</v>
      </c>
      <c r="N45" s="3" t="s">
        <v>19</v>
      </c>
      <c r="O45" s="6">
        <v>0</v>
      </c>
      <c r="P45" s="6">
        <f>J45-L45</f>
        <v>50000</v>
      </c>
    </row>
    <row r="46" spans="1:16" x14ac:dyDescent="0.25">
      <c r="A46" s="3" t="s">
        <v>125</v>
      </c>
      <c r="B46" s="4" t="s">
        <v>126</v>
      </c>
      <c r="C46" s="3" t="s">
        <v>19</v>
      </c>
      <c r="D46" s="3" t="s">
        <v>19</v>
      </c>
      <c r="E46" s="3" t="s">
        <v>20</v>
      </c>
      <c r="F46" s="3" t="s">
        <v>19</v>
      </c>
      <c r="G46" s="3" t="s">
        <v>58</v>
      </c>
      <c r="H46" s="5">
        <v>4</v>
      </c>
      <c r="I46" s="3" t="s">
        <v>19</v>
      </c>
      <c r="J46" s="6">
        <v>120000</v>
      </c>
      <c r="K46" s="6">
        <v>0</v>
      </c>
      <c r="L46" s="6">
        <v>0</v>
      </c>
      <c r="M46" s="6">
        <v>0</v>
      </c>
      <c r="N46" s="3" t="s">
        <v>19</v>
      </c>
      <c r="O46" s="6">
        <v>0</v>
      </c>
      <c r="P46" s="6">
        <f>J46-L46</f>
        <v>120000</v>
      </c>
    </row>
    <row r="47" spans="1:16" x14ac:dyDescent="0.25">
      <c r="A47" s="3" t="s">
        <v>127</v>
      </c>
      <c r="B47" s="4" t="s">
        <v>128</v>
      </c>
      <c r="C47" s="3" t="s">
        <v>19</v>
      </c>
      <c r="D47" s="3" t="s">
        <v>19</v>
      </c>
      <c r="E47" s="3" t="s">
        <v>25</v>
      </c>
      <c r="F47" s="3" t="s">
        <v>19</v>
      </c>
      <c r="G47" s="3" t="s">
        <v>55</v>
      </c>
      <c r="H47" s="5">
        <v>1</v>
      </c>
      <c r="I47" s="3" t="s">
        <v>19</v>
      </c>
      <c r="J47" s="6">
        <v>50000</v>
      </c>
      <c r="K47" s="6">
        <v>0</v>
      </c>
      <c r="L47" s="6">
        <v>0</v>
      </c>
      <c r="M47" s="6">
        <v>0</v>
      </c>
      <c r="N47" s="3" t="s">
        <v>19</v>
      </c>
      <c r="O47" s="6">
        <v>0</v>
      </c>
      <c r="P47" s="6">
        <f>J47-L47</f>
        <v>50000</v>
      </c>
    </row>
    <row r="48" spans="1:16" x14ac:dyDescent="0.25">
      <c r="A48" s="3" t="s">
        <v>129</v>
      </c>
      <c r="B48" s="4" t="s">
        <v>130</v>
      </c>
      <c r="C48" s="3" t="s">
        <v>19</v>
      </c>
      <c r="D48" s="3" t="s">
        <v>19</v>
      </c>
      <c r="E48" s="3" t="s">
        <v>25</v>
      </c>
      <c r="F48" s="3" t="s">
        <v>19</v>
      </c>
      <c r="G48" s="3" t="s">
        <v>58</v>
      </c>
      <c r="H48" s="5">
        <v>2</v>
      </c>
      <c r="I48" s="3" t="s">
        <v>19</v>
      </c>
      <c r="J48" s="6">
        <v>60000</v>
      </c>
      <c r="K48" s="6">
        <v>0</v>
      </c>
      <c r="L48" s="6">
        <v>0</v>
      </c>
      <c r="M48" s="6">
        <v>0</v>
      </c>
      <c r="N48" s="3" t="s">
        <v>19</v>
      </c>
      <c r="O48" s="6">
        <v>0</v>
      </c>
      <c r="P48" s="6">
        <f>J48-L48</f>
        <v>60000</v>
      </c>
    </row>
    <row r="49" spans="1:16" x14ac:dyDescent="0.25">
      <c r="A49" s="3" t="s">
        <v>129</v>
      </c>
      <c r="B49" s="4" t="s">
        <v>130</v>
      </c>
      <c r="C49" s="3" t="s">
        <v>19</v>
      </c>
      <c r="D49" s="3" t="s">
        <v>19</v>
      </c>
      <c r="E49" s="3" t="s">
        <v>25</v>
      </c>
      <c r="F49" s="3" t="s">
        <v>19</v>
      </c>
      <c r="G49" s="3" t="s">
        <v>55</v>
      </c>
      <c r="H49" s="5">
        <v>2</v>
      </c>
      <c r="I49" s="3" t="s">
        <v>19</v>
      </c>
      <c r="J49" s="6">
        <v>100000</v>
      </c>
      <c r="K49" s="6">
        <v>0</v>
      </c>
      <c r="L49" s="6">
        <v>0</v>
      </c>
      <c r="M49" s="6">
        <v>0</v>
      </c>
      <c r="N49" s="3" t="s">
        <v>19</v>
      </c>
      <c r="O49" s="6">
        <v>0</v>
      </c>
      <c r="P49" s="6">
        <f>J49-L49</f>
        <v>100000</v>
      </c>
    </row>
    <row r="50" spans="1:16" x14ac:dyDescent="0.25">
      <c r="A50" s="3" t="s">
        <v>131</v>
      </c>
      <c r="B50" s="4" t="s">
        <v>132</v>
      </c>
      <c r="C50" s="3" t="s">
        <v>19</v>
      </c>
      <c r="D50" s="3" t="s">
        <v>19</v>
      </c>
      <c r="E50" s="3" t="s">
        <v>25</v>
      </c>
      <c r="F50" s="3" t="s">
        <v>19</v>
      </c>
      <c r="G50" s="3" t="s">
        <v>55</v>
      </c>
      <c r="H50" s="5">
        <v>3</v>
      </c>
      <c r="I50" s="3" t="s">
        <v>19</v>
      </c>
      <c r="J50" s="6">
        <v>150000</v>
      </c>
      <c r="K50" s="6">
        <v>0</v>
      </c>
      <c r="L50" s="6">
        <v>0</v>
      </c>
      <c r="M50" s="6">
        <v>0</v>
      </c>
      <c r="N50" s="3" t="s">
        <v>19</v>
      </c>
      <c r="O50" s="6">
        <v>0</v>
      </c>
      <c r="P50" s="6">
        <f>J50-L50</f>
        <v>150000</v>
      </c>
    </row>
    <row r="51" spans="1:16" x14ac:dyDescent="0.25">
      <c r="A51" s="3" t="s">
        <v>131</v>
      </c>
      <c r="B51" s="4" t="s">
        <v>132</v>
      </c>
      <c r="C51" s="3" t="s">
        <v>19</v>
      </c>
      <c r="D51" s="3" t="s">
        <v>19</v>
      </c>
      <c r="E51" s="3" t="s">
        <v>25</v>
      </c>
      <c r="F51" s="3" t="s">
        <v>19</v>
      </c>
      <c r="G51" s="3" t="s">
        <v>58</v>
      </c>
      <c r="H51" s="5">
        <v>1</v>
      </c>
      <c r="I51" s="3" t="s">
        <v>19</v>
      </c>
      <c r="J51" s="6">
        <v>30000</v>
      </c>
      <c r="K51" s="6">
        <v>0</v>
      </c>
      <c r="L51" s="6">
        <v>0</v>
      </c>
      <c r="M51" s="6">
        <v>0</v>
      </c>
      <c r="N51" s="3" t="s">
        <v>19</v>
      </c>
      <c r="O51" s="6">
        <v>0</v>
      </c>
      <c r="P51" s="6">
        <f>J51-L51</f>
        <v>30000</v>
      </c>
    </row>
    <row r="52" ht="18" customHeight="1" spans="1:16" x14ac:dyDescent="0.25">
      <c r="A52" s="7" t="s">
        <v>34</v>
      </c>
      <c r="B52" s="7"/>
      <c r="C52" s="7"/>
      <c r="D52" s="7"/>
      <c r="E52" s="7"/>
      <c r="F52" s="7"/>
      <c r="G52" s="7"/>
      <c r="H52" s="8">
        <f>SUM(H27:H51)</f>
        <v>44</v>
      </c>
      <c r="I52" s="7"/>
      <c r="J52" s="9">
        <f>SUM(J27:J51)</f>
        <v>1820000</v>
      </c>
      <c r="K52" s="9">
        <f>SUM(K27:K51)</f>
        <v>0</v>
      </c>
      <c r="L52" s="9">
        <f>SUM(L27:L51)</f>
        <v>0</v>
      </c>
      <c r="M52" s="9">
        <f>SUM(M27:M51)</f>
        <v>0</v>
      </c>
      <c r="N52" s="7"/>
      <c r="O52" s="9">
        <f>SUM(O27:O51)</f>
        <v>0</v>
      </c>
      <c r="P52" s="9">
        <f>SUM(P27:P51)</f>
        <v>1820000</v>
      </c>
    </row>
  </sheetData>
  <mergeCells count="4">
    <mergeCell ref="A1:P1"/>
    <mergeCell ref="A21:G21"/>
    <mergeCell ref="A25:P25"/>
    <mergeCell ref="A52:G52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workbookViewId="0" zoomScale="90"/>
  </sheetViews>
  <sheetFormatPr defaultRowHeight="15.75" outlineLevelRow="0" outlineLevelCol="0" x14ac:dyDescent="55" customHeight="1"/>
  <cols>
    <col min="1" max="1" width="16.75" customWidth="1"/>
    <col min="2" max="2" width="17.375" customWidth="1"/>
    <col min="3" max="4" width="8.43" customWidth="1"/>
    <col min="6" max="6" width="8.43" customWidth="1"/>
    <col min="7" max="7" width="22.75" customWidth="1"/>
    <col min="9" max="9" width="10.625" customWidth="1"/>
    <col min="10" max="10" width="9.625" customWidth="1"/>
    <col min="14" max="14" width="18.125" customWidth="1"/>
    <col min="16" max="16" width="10.5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133</v>
      </c>
      <c r="B3" s="4" t="s">
        <v>134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135</v>
      </c>
      <c r="H3" s="5">
        <v>1</v>
      </c>
      <c r="I3" s="3" t="s">
        <v>19</v>
      </c>
      <c r="J3" s="6">
        <v>25000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25000</v>
      </c>
    </row>
    <row r="4" spans="1:16" x14ac:dyDescent="0.25">
      <c r="A4" s="3" t="s">
        <v>136</v>
      </c>
      <c r="B4" s="4" t="s">
        <v>137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138</v>
      </c>
      <c r="H4" s="5">
        <v>1</v>
      </c>
      <c r="I4" s="3" t="s">
        <v>19</v>
      </c>
      <c r="J4" s="6">
        <v>25000</v>
      </c>
      <c r="K4" s="6">
        <v>0</v>
      </c>
      <c r="L4" s="6">
        <v>0</v>
      </c>
      <c r="M4" s="6">
        <v>0</v>
      </c>
      <c r="N4" s="3" t="s">
        <v>19</v>
      </c>
      <c r="O4" s="6">
        <v>0</v>
      </c>
      <c r="P4" s="6">
        <f>J4-L4</f>
        <v>25000</v>
      </c>
    </row>
    <row r="5" spans="1:16" x14ac:dyDescent="0.25">
      <c r="A5" s="3" t="s">
        <v>139</v>
      </c>
      <c r="B5" s="4" t="s">
        <v>140</v>
      </c>
      <c r="C5" s="3" t="s">
        <v>19</v>
      </c>
      <c r="D5" s="3" t="s">
        <v>19</v>
      </c>
      <c r="E5" s="3" t="s">
        <v>20</v>
      </c>
      <c r="F5" s="3" t="s">
        <v>19</v>
      </c>
      <c r="G5" s="3" t="s">
        <v>141</v>
      </c>
      <c r="H5" s="5">
        <v>1</v>
      </c>
      <c r="I5" s="3" t="s">
        <v>19</v>
      </c>
      <c r="J5" s="6">
        <v>30000</v>
      </c>
      <c r="K5" s="6">
        <v>0</v>
      </c>
      <c r="L5" s="6">
        <v>0</v>
      </c>
      <c r="M5" s="6">
        <v>0</v>
      </c>
      <c r="N5" s="3" t="s">
        <v>19</v>
      </c>
      <c r="O5" s="6">
        <v>0</v>
      </c>
      <c r="P5" s="6">
        <f>J5-L5</f>
        <v>30000</v>
      </c>
    </row>
    <row r="6" spans="1:16" x14ac:dyDescent="0.25">
      <c r="A6" s="3" t="s">
        <v>139</v>
      </c>
      <c r="B6" s="4" t="s">
        <v>140</v>
      </c>
      <c r="C6" s="3" t="s">
        <v>19</v>
      </c>
      <c r="D6" s="3" t="s">
        <v>19</v>
      </c>
      <c r="E6" s="3" t="s">
        <v>20</v>
      </c>
      <c r="F6" s="3" t="s">
        <v>19</v>
      </c>
      <c r="G6" s="3" t="s">
        <v>142</v>
      </c>
      <c r="H6" s="5">
        <v>1</v>
      </c>
      <c r="I6" s="3" t="s">
        <v>19</v>
      </c>
      <c r="J6" s="6">
        <v>28000</v>
      </c>
      <c r="K6" s="6">
        <v>0</v>
      </c>
      <c r="L6" s="6">
        <v>0</v>
      </c>
      <c r="M6" s="6">
        <v>0</v>
      </c>
      <c r="N6" s="3" t="s">
        <v>19</v>
      </c>
      <c r="O6" s="6">
        <v>0</v>
      </c>
      <c r="P6" s="6">
        <f>J6-L6</f>
        <v>28000</v>
      </c>
    </row>
    <row r="7" spans="1:16" x14ac:dyDescent="0.25">
      <c r="A7" s="3" t="s">
        <v>143</v>
      </c>
      <c r="B7" s="4" t="s">
        <v>144</v>
      </c>
      <c r="C7" s="3" t="s">
        <v>19</v>
      </c>
      <c r="D7" s="3" t="s">
        <v>19</v>
      </c>
      <c r="E7" s="3" t="s">
        <v>20</v>
      </c>
      <c r="F7" s="3" t="s">
        <v>19</v>
      </c>
      <c r="G7" s="3" t="s">
        <v>141</v>
      </c>
      <c r="H7" s="5">
        <v>1</v>
      </c>
      <c r="I7" s="3" t="s">
        <v>19</v>
      </c>
      <c r="J7" s="6">
        <v>30000</v>
      </c>
      <c r="K7" s="6">
        <v>0</v>
      </c>
      <c r="L7" s="6">
        <v>0</v>
      </c>
      <c r="M7" s="6">
        <v>0</v>
      </c>
      <c r="N7" s="3" t="s">
        <v>19</v>
      </c>
      <c r="O7" s="6">
        <v>0</v>
      </c>
      <c r="P7" s="6">
        <f>J7-L7</f>
        <v>30000</v>
      </c>
    </row>
    <row r="8" spans="1:16" x14ac:dyDescent="0.25">
      <c r="A8" s="3" t="s">
        <v>143</v>
      </c>
      <c r="B8" s="4" t="s">
        <v>144</v>
      </c>
      <c r="C8" s="3" t="s">
        <v>19</v>
      </c>
      <c r="D8" s="3" t="s">
        <v>19</v>
      </c>
      <c r="E8" s="3" t="s">
        <v>20</v>
      </c>
      <c r="F8" s="3" t="s">
        <v>19</v>
      </c>
      <c r="G8" s="3" t="s">
        <v>145</v>
      </c>
      <c r="H8" s="5">
        <v>1</v>
      </c>
      <c r="I8" s="3" t="s">
        <v>19</v>
      </c>
      <c r="J8" s="6">
        <v>30000</v>
      </c>
      <c r="K8" s="6">
        <v>0</v>
      </c>
      <c r="L8" s="6">
        <v>0</v>
      </c>
      <c r="M8" s="6">
        <v>0</v>
      </c>
      <c r="N8" s="3" t="s">
        <v>19</v>
      </c>
      <c r="O8" s="6">
        <v>0</v>
      </c>
      <c r="P8" s="6">
        <f>J8-L8</f>
        <v>30000</v>
      </c>
    </row>
    <row r="9" spans="1:16" x14ac:dyDescent="0.25">
      <c r="A9" s="3" t="s">
        <v>146</v>
      </c>
      <c r="B9" s="4" t="s">
        <v>147</v>
      </c>
      <c r="C9" s="3" t="s">
        <v>19</v>
      </c>
      <c r="D9" s="3" t="s">
        <v>19</v>
      </c>
      <c r="E9" s="3" t="s">
        <v>20</v>
      </c>
      <c r="F9" s="3" t="s">
        <v>19</v>
      </c>
      <c r="G9" s="3" t="s">
        <v>142</v>
      </c>
      <c r="H9" s="5">
        <v>1</v>
      </c>
      <c r="I9" s="3" t="s">
        <v>19</v>
      </c>
      <c r="J9" s="6">
        <v>28000</v>
      </c>
      <c r="K9" s="6">
        <v>0</v>
      </c>
      <c r="L9" s="6">
        <v>0</v>
      </c>
      <c r="M9" s="6">
        <v>0</v>
      </c>
      <c r="N9" s="3" t="s">
        <v>19</v>
      </c>
      <c r="O9" s="6">
        <v>0</v>
      </c>
      <c r="P9" s="6">
        <f>J9-L9</f>
        <v>28000</v>
      </c>
    </row>
    <row r="10" spans="1:16" x14ac:dyDescent="0.25">
      <c r="A10" s="3" t="s">
        <v>148</v>
      </c>
      <c r="B10" s="4" t="s">
        <v>149</v>
      </c>
      <c r="C10" s="3" t="s">
        <v>19</v>
      </c>
      <c r="D10" s="3" t="s">
        <v>19</v>
      </c>
      <c r="E10" s="3" t="s">
        <v>20</v>
      </c>
      <c r="F10" s="3" t="s">
        <v>19</v>
      </c>
      <c r="G10" s="3" t="s">
        <v>141</v>
      </c>
      <c r="H10" s="5">
        <v>1</v>
      </c>
      <c r="I10" s="3" t="s">
        <v>19</v>
      </c>
      <c r="J10" s="6">
        <v>30000</v>
      </c>
      <c r="K10" s="6">
        <v>0</v>
      </c>
      <c r="L10" s="6">
        <v>0</v>
      </c>
      <c r="M10" s="6">
        <v>0</v>
      </c>
      <c r="N10" s="3" t="s">
        <v>19</v>
      </c>
      <c r="O10" s="6">
        <v>0</v>
      </c>
      <c r="P10" s="6">
        <f>J10-L10</f>
        <v>30000</v>
      </c>
    </row>
    <row r="11" spans="1:16" x14ac:dyDescent="0.25">
      <c r="A11" s="3" t="s">
        <v>150</v>
      </c>
      <c r="B11" s="4" t="s">
        <v>151</v>
      </c>
      <c r="C11" s="3" t="s">
        <v>19</v>
      </c>
      <c r="D11" s="3" t="s">
        <v>19</v>
      </c>
      <c r="E11" s="3" t="s">
        <v>20</v>
      </c>
      <c r="F11" s="3" t="s">
        <v>19</v>
      </c>
      <c r="G11" s="3" t="s">
        <v>152</v>
      </c>
      <c r="H11" s="5">
        <v>1</v>
      </c>
      <c r="I11" s="3" t="s">
        <v>19</v>
      </c>
      <c r="J11" s="6">
        <v>25000</v>
      </c>
      <c r="K11" s="6">
        <v>0</v>
      </c>
      <c r="L11" s="6">
        <v>0</v>
      </c>
      <c r="M11" s="6">
        <v>0</v>
      </c>
      <c r="N11" s="3" t="s">
        <v>19</v>
      </c>
      <c r="O11" s="6">
        <v>0</v>
      </c>
      <c r="P11" s="6">
        <f>J11-L11</f>
        <v>25000</v>
      </c>
    </row>
    <row r="12" spans="1:16" x14ac:dyDescent="0.25">
      <c r="A12" s="3" t="s">
        <v>153</v>
      </c>
      <c r="B12" s="4" t="s">
        <v>154</v>
      </c>
      <c r="C12" s="3" t="s">
        <v>19</v>
      </c>
      <c r="D12" s="3" t="s">
        <v>19</v>
      </c>
      <c r="E12" s="3" t="s">
        <v>20</v>
      </c>
      <c r="F12" s="3" t="s">
        <v>19</v>
      </c>
      <c r="G12" s="3" t="s">
        <v>155</v>
      </c>
      <c r="H12" s="5">
        <v>1</v>
      </c>
      <c r="I12" s="3" t="s">
        <v>19</v>
      </c>
      <c r="J12" s="6">
        <v>35000</v>
      </c>
      <c r="K12" s="6">
        <v>0</v>
      </c>
      <c r="L12" s="6">
        <v>0</v>
      </c>
      <c r="M12" s="6">
        <v>0</v>
      </c>
      <c r="N12" s="3" t="s">
        <v>19</v>
      </c>
      <c r="O12" s="6">
        <v>0</v>
      </c>
      <c r="P12" s="6">
        <f>J12-L12</f>
        <v>35000</v>
      </c>
    </row>
    <row r="13" spans="1:16" x14ac:dyDescent="0.25">
      <c r="A13" s="3" t="s">
        <v>156</v>
      </c>
      <c r="B13" s="4" t="s">
        <v>157</v>
      </c>
      <c r="C13" s="3" t="s">
        <v>19</v>
      </c>
      <c r="D13" s="3" t="s">
        <v>19</v>
      </c>
      <c r="E13" s="3" t="s">
        <v>20</v>
      </c>
      <c r="F13" s="3" t="s">
        <v>19</v>
      </c>
      <c r="G13" s="3" t="s">
        <v>142</v>
      </c>
      <c r="H13" s="5">
        <v>1</v>
      </c>
      <c r="I13" s="3" t="s">
        <v>19</v>
      </c>
      <c r="J13" s="6">
        <v>28000</v>
      </c>
      <c r="K13" s="6">
        <v>0</v>
      </c>
      <c r="L13" s="6">
        <v>0</v>
      </c>
      <c r="M13" s="6">
        <v>0</v>
      </c>
      <c r="N13" s="3" t="s">
        <v>19</v>
      </c>
      <c r="O13" s="6">
        <v>0</v>
      </c>
      <c r="P13" s="6">
        <f>J13-L13</f>
        <v>28000</v>
      </c>
    </row>
    <row r="14" spans="1:16" x14ac:dyDescent="0.25">
      <c r="A14" s="3" t="s">
        <v>158</v>
      </c>
      <c r="B14" s="4" t="s">
        <v>159</v>
      </c>
      <c r="C14" s="3" t="s">
        <v>19</v>
      </c>
      <c r="D14" s="3" t="s">
        <v>19</v>
      </c>
      <c r="E14" s="3" t="s">
        <v>20</v>
      </c>
      <c r="F14" s="3" t="s">
        <v>19</v>
      </c>
      <c r="G14" s="3" t="s">
        <v>155</v>
      </c>
      <c r="H14" s="5">
        <v>1</v>
      </c>
      <c r="I14" s="3" t="s">
        <v>19</v>
      </c>
      <c r="J14" s="6">
        <v>35000</v>
      </c>
      <c r="K14" s="6">
        <v>0</v>
      </c>
      <c r="L14" s="6">
        <v>0</v>
      </c>
      <c r="M14" s="6">
        <v>0</v>
      </c>
      <c r="N14" s="3" t="s">
        <v>19</v>
      </c>
      <c r="O14" s="6">
        <v>0</v>
      </c>
      <c r="P14" s="6">
        <f>J14-L14</f>
        <v>35000</v>
      </c>
    </row>
    <row r="15" spans="1:16" x14ac:dyDescent="0.25">
      <c r="A15" s="3" t="s">
        <v>160</v>
      </c>
      <c r="B15" s="4" t="s">
        <v>161</v>
      </c>
      <c r="C15" s="3" t="s">
        <v>19</v>
      </c>
      <c r="D15" s="3" t="s">
        <v>19</v>
      </c>
      <c r="E15" s="3" t="s">
        <v>20</v>
      </c>
      <c r="F15" s="3" t="s">
        <v>19</v>
      </c>
      <c r="G15" s="3" t="s">
        <v>162</v>
      </c>
      <c r="H15" s="5">
        <v>1</v>
      </c>
      <c r="I15" s="3" t="s">
        <v>19</v>
      </c>
      <c r="J15" s="6">
        <v>17000</v>
      </c>
      <c r="K15" s="6">
        <v>0</v>
      </c>
      <c r="L15" s="6">
        <v>0</v>
      </c>
      <c r="M15" s="6">
        <v>0</v>
      </c>
      <c r="N15" s="3" t="s">
        <v>19</v>
      </c>
      <c r="O15" s="6">
        <v>0</v>
      </c>
      <c r="P15" s="6">
        <f>J15-L15</f>
        <v>17000</v>
      </c>
    </row>
    <row r="16" spans="1:16" x14ac:dyDescent="0.25">
      <c r="A16" s="3" t="s">
        <v>160</v>
      </c>
      <c r="B16" s="4" t="s">
        <v>161</v>
      </c>
      <c r="C16" s="3" t="s">
        <v>19</v>
      </c>
      <c r="D16" s="3" t="s">
        <v>19</v>
      </c>
      <c r="E16" s="3" t="s">
        <v>20</v>
      </c>
      <c r="F16" s="3" t="s">
        <v>19</v>
      </c>
      <c r="G16" s="3" t="s">
        <v>142</v>
      </c>
      <c r="H16" s="5">
        <v>1</v>
      </c>
      <c r="I16" s="3" t="s">
        <v>19</v>
      </c>
      <c r="J16" s="6">
        <v>28000</v>
      </c>
      <c r="K16" s="6">
        <v>0</v>
      </c>
      <c r="L16" s="6">
        <v>0</v>
      </c>
      <c r="M16" s="6">
        <v>0</v>
      </c>
      <c r="N16" s="3" t="s">
        <v>19</v>
      </c>
      <c r="O16" s="6">
        <v>0</v>
      </c>
      <c r="P16" s="6">
        <f>J16-L16</f>
        <v>28000</v>
      </c>
    </row>
    <row r="17" spans="1:16" x14ac:dyDescent="0.25">
      <c r="A17" s="3" t="s">
        <v>163</v>
      </c>
      <c r="B17" s="4" t="s">
        <v>164</v>
      </c>
      <c r="C17" s="3" t="s">
        <v>19</v>
      </c>
      <c r="D17" s="3" t="s">
        <v>19</v>
      </c>
      <c r="E17" s="3" t="s">
        <v>20</v>
      </c>
      <c r="F17" s="3" t="s">
        <v>19</v>
      </c>
      <c r="G17" s="3" t="s">
        <v>142</v>
      </c>
      <c r="H17" s="5">
        <v>1</v>
      </c>
      <c r="I17" s="3" t="s">
        <v>19</v>
      </c>
      <c r="J17" s="6">
        <v>28000</v>
      </c>
      <c r="K17" s="6">
        <v>0</v>
      </c>
      <c r="L17" s="6">
        <v>0</v>
      </c>
      <c r="M17" s="6">
        <v>0</v>
      </c>
      <c r="N17" s="3" t="s">
        <v>19</v>
      </c>
      <c r="O17" s="6">
        <v>0</v>
      </c>
      <c r="P17" s="6">
        <f>J17-L17</f>
        <v>28000</v>
      </c>
    </row>
    <row r="18" spans="1:16" x14ac:dyDescent="0.25">
      <c r="A18" s="3" t="s">
        <v>165</v>
      </c>
      <c r="B18" s="4" t="s">
        <v>166</v>
      </c>
      <c r="C18" s="3" t="s">
        <v>19</v>
      </c>
      <c r="D18" s="3" t="s">
        <v>19</v>
      </c>
      <c r="E18" s="3" t="s">
        <v>20</v>
      </c>
      <c r="F18" s="3" t="s">
        <v>19</v>
      </c>
      <c r="G18" s="3" t="s">
        <v>155</v>
      </c>
      <c r="H18" s="5">
        <v>2</v>
      </c>
      <c r="I18" s="3" t="s">
        <v>19</v>
      </c>
      <c r="J18" s="6">
        <v>70000</v>
      </c>
      <c r="K18" s="6">
        <v>0</v>
      </c>
      <c r="L18" s="6">
        <v>0</v>
      </c>
      <c r="M18" s="6">
        <v>0</v>
      </c>
      <c r="N18" s="3" t="s">
        <v>19</v>
      </c>
      <c r="O18" s="6">
        <v>0</v>
      </c>
      <c r="P18" s="6">
        <f>J18-L18</f>
        <v>70000</v>
      </c>
    </row>
    <row r="19" spans="1:16" x14ac:dyDescent="0.25">
      <c r="A19" s="3" t="s">
        <v>165</v>
      </c>
      <c r="B19" s="4" t="s">
        <v>166</v>
      </c>
      <c r="C19" s="3" t="s">
        <v>19</v>
      </c>
      <c r="D19" s="3" t="s">
        <v>19</v>
      </c>
      <c r="E19" s="3" t="s">
        <v>20</v>
      </c>
      <c r="F19" s="3" t="s">
        <v>19</v>
      </c>
      <c r="G19" s="3" t="s">
        <v>162</v>
      </c>
      <c r="H19" s="5">
        <v>1</v>
      </c>
      <c r="I19" s="3" t="s">
        <v>19</v>
      </c>
      <c r="J19" s="6">
        <v>17000</v>
      </c>
      <c r="K19" s="6">
        <v>0</v>
      </c>
      <c r="L19" s="6">
        <v>0</v>
      </c>
      <c r="M19" s="6">
        <v>0</v>
      </c>
      <c r="N19" s="3" t="s">
        <v>19</v>
      </c>
      <c r="O19" s="6">
        <v>0</v>
      </c>
      <c r="P19" s="6">
        <f>J19-L19</f>
        <v>17000</v>
      </c>
    </row>
    <row r="20" spans="1:16" x14ac:dyDescent="0.25">
      <c r="A20" s="3" t="s">
        <v>167</v>
      </c>
      <c r="B20" s="4" t="s">
        <v>168</v>
      </c>
      <c r="C20" s="3" t="s">
        <v>19</v>
      </c>
      <c r="D20" s="3" t="s">
        <v>19</v>
      </c>
      <c r="E20" s="3" t="s">
        <v>20</v>
      </c>
      <c r="F20" s="3" t="s">
        <v>19</v>
      </c>
      <c r="G20" s="3" t="s">
        <v>169</v>
      </c>
      <c r="H20" s="5">
        <v>1</v>
      </c>
      <c r="I20" s="3" t="s">
        <v>19</v>
      </c>
      <c r="J20" s="6">
        <v>45000</v>
      </c>
      <c r="K20" s="6">
        <v>0</v>
      </c>
      <c r="L20" s="6">
        <v>0</v>
      </c>
      <c r="M20" s="6">
        <v>0</v>
      </c>
      <c r="N20" s="3" t="s">
        <v>19</v>
      </c>
      <c r="O20" s="6">
        <v>0</v>
      </c>
      <c r="P20" s="6">
        <f>J20-L20</f>
        <v>45000</v>
      </c>
    </row>
    <row r="21" spans="1:16" x14ac:dyDescent="0.25">
      <c r="A21" s="3" t="s">
        <v>170</v>
      </c>
      <c r="B21" s="4" t="s">
        <v>171</v>
      </c>
      <c r="C21" s="3" t="s">
        <v>19</v>
      </c>
      <c r="D21" s="3" t="s">
        <v>19</v>
      </c>
      <c r="E21" s="3" t="s">
        <v>20</v>
      </c>
      <c r="F21" s="3" t="s">
        <v>19</v>
      </c>
      <c r="G21" s="3" t="s">
        <v>172</v>
      </c>
      <c r="H21" s="5">
        <v>1</v>
      </c>
      <c r="I21" s="3" t="s">
        <v>19</v>
      </c>
      <c r="J21" s="6">
        <v>40000</v>
      </c>
      <c r="K21" s="6">
        <v>0</v>
      </c>
      <c r="L21" s="6">
        <v>0</v>
      </c>
      <c r="M21" s="6">
        <v>0</v>
      </c>
      <c r="N21" s="3" t="s">
        <v>19</v>
      </c>
      <c r="O21" s="6">
        <v>0</v>
      </c>
      <c r="P21" s="6">
        <f>J21-L21</f>
        <v>40000</v>
      </c>
    </row>
    <row r="22" spans="1:16" x14ac:dyDescent="0.25">
      <c r="A22" s="3" t="s">
        <v>173</v>
      </c>
      <c r="B22" s="4" t="s">
        <v>174</v>
      </c>
      <c r="C22" s="3" t="s">
        <v>19</v>
      </c>
      <c r="D22" s="3" t="s">
        <v>19</v>
      </c>
      <c r="E22" s="3" t="s">
        <v>20</v>
      </c>
      <c r="F22" s="3" t="s">
        <v>19</v>
      </c>
      <c r="G22" s="3" t="s">
        <v>175</v>
      </c>
      <c r="H22" s="5">
        <v>1</v>
      </c>
      <c r="I22" s="3" t="s">
        <v>19</v>
      </c>
      <c r="J22" s="6">
        <v>40000</v>
      </c>
      <c r="K22" s="6">
        <v>0</v>
      </c>
      <c r="L22" s="6">
        <v>0</v>
      </c>
      <c r="M22" s="6">
        <v>0</v>
      </c>
      <c r="N22" s="3" t="s">
        <v>19</v>
      </c>
      <c r="O22" s="6">
        <v>0</v>
      </c>
      <c r="P22" s="6">
        <f>J22-L22</f>
        <v>40000</v>
      </c>
    </row>
    <row r="23" spans="1:16" x14ac:dyDescent="0.25">
      <c r="A23" s="3" t="s">
        <v>176</v>
      </c>
      <c r="B23" s="4" t="s">
        <v>177</v>
      </c>
      <c r="C23" s="3" t="s">
        <v>19</v>
      </c>
      <c r="D23" s="3" t="s">
        <v>19</v>
      </c>
      <c r="E23" s="3" t="s">
        <v>20</v>
      </c>
      <c r="F23" s="3" t="s">
        <v>19</v>
      </c>
      <c r="G23" s="3" t="s">
        <v>178</v>
      </c>
      <c r="H23" s="5">
        <v>1</v>
      </c>
      <c r="I23" s="3" t="s">
        <v>19</v>
      </c>
      <c r="J23" s="6">
        <v>35000</v>
      </c>
      <c r="K23" s="6">
        <v>0</v>
      </c>
      <c r="L23" s="6">
        <v>0</v>
      </c>
      <c r="M23" s="6">
        <v>0</v>
      </c>
      <c r="N23" s="3" t="s">
        <v>19</v>
      </c>
      <c r="O23" s="6">
        <v>0</v>
      </c>
      <c r="P23" s="6">
        <f>J23-L23</f>
        <v>35000</v>
      </c>
    </row>
    <row r="24" spans="1:16" x14ac:dyDescent="0.25">
      <c r="A24" s="3" t="s">
        <v>179</v>
      </c>
      <c r="B24" s="4" t="s">
        <v>180</v>
      </c>
      <c r="C24" s="3" t="s">
        <v>19</v>
      </c>
      <c r="D24" s="3" t="s">
        <v>19</v>
      </c>
      <c r="E24" s="3" t="s">
        <v>20</v>
      </c>
      <c r="F24" s="3" t="s">
        <v>19</v>
      </c>
      <c r="G24" s="3" t="s">
        <v>181</v>
      </c>
      <c r="H24" s="5">
        <v>1</v>
      </c>
      <c r="I24" s="3" t="s">
        <v>19</v>
      </c>
      <c r="J24" s="6">
        <v>40000</v>
      </c>
      <c r="K24" s="6">
        <v>0</v>
      </c>
      <c r="L24" s="6">
        <v>0</v>
      </c>
      <c r="M24" s="6">
        <v>0</v>
      </c>
      <c r="N24" s="3" t="s">
        <v>19</v>
      </c>
      <c r="O24" s="6">
        <v>0</v>
      </c>
      <c r="P24" s="6">
        <f>J24-L24</f>
        <v>40000</v>
      </c>
    </row>
    <row r="25" spans="1:16" x14ac:dyDescent="0.25">
      <c r="A25" s="3" t="s">
        <v>179</v>
      </c>
      <c r="B25" s="4" t="s">
        <v>180</v>
      </c>
      <c r="C25" s="3" t="s">
        <v>19</v>
      </c>
      <c r="D25" s="3" t="s">
        <v>19</v>
      </c>
      <c r="E25" s="3" t="s">
        <v>20</v>
      </c>
      <c r="F25" s="3" t="s">
        <v>19</v>
      </c>
      <c r="G25" s="3" t="s">
        <v>172</v>
      </c>
      <c r="H25" s="5">
        <v>1</v>
      </c>
      <c r="I25" s="3" t="s">
        <v>19</v>
      </c>
      <c r="J25" s="6">
        <v>40000</v>
      </c>
      <c r="K25" s="6">
        <v>0</v>
      </c>
      <c r="L25" s="6">
        <v>0</v>
      </c>
      <c r="M25" s="6">
        <v>0</v>
      </c>
      <c r="N25" s="3" t="s">
        <v>19</v>
      </c>
      <c r="O25" s="6">
        <v>0</v>
      </c>
      <c r="P25" s="6">
        <f>J25-L25</f>
        <v>40000</v>
      </c>
    </row>
    <row r="26" spans="1:16" x14ac:dyDescent="0.25">
      <c r="A26" s="3" t="s">
        <v>182</v>
      </c>
      <c r="B26" s="4" t="s">
        <v>183</v>
      </c>
      <c r="C26" s="3" t="s">
        <v>19</v>
      </c>
      <c r="D26" s="3" t="s">
        <v>19</v>
      </c>
      <c r="E26" s="3" t="s">
        <v>20</v>
      </c>
      <c r="F26" s="3" t="s">
        <v>19</v>
      </c>
      <c r="G26" s="3" t="s">
        <v>142</v>
      </c>
      <c r="H26" s="5">
        <v>1</v>
      </c>
      <c r="I26" s="3" t="s">
        <v>19</v>
      </c>
      <c r="J26" s="6">
        <v>28000</v>
      </c>
      <c r="K26" s="6">
        <v>0</v>
      </c>
      <c r="L26" s="6">
        <v>0</v>
      </c>
      <c r="M26" s="6">
        <v>0</v>
      </c>
      <c r="N26" s="3" t="s">
        <v>19</v>
      </c>
      <c r="O26" s="6">
        <v>0</v>
      </c>
      <c r="P26" s="6">
        <f>J26-L26</f>
        <v>28000</v>
      </c>
    </row>
    <row r="27" spans="1:16" x14ac:dyDescent="0.25">
      <c r="A27" s="3" t="s">
        <v>184</v>
      </c>
      <c r="B27" s="4" t="s">
        <v>185</v>
      </c>
      <c r="C27" s="3" t="s">
        <v>19</v>
      </c>
      <c r="D27" s="3" t="s">
        <v>19</v>
      </c>
      <c r="E27" s="3" t="s">
        <v>25</v>
      </c>
      <c r="F27" s="3" t="s">
        <v>19</v>
      </c>
      <c r="G27" s="3" t="s">
        <v>142</v>
      </c>
      <c r="H27" s="5">
        <v>1</v>
      </c>
      <c r="I27" s="3" t="s">
        <v>19</v>
      </c>
      <c r="J27" s="6">
        <v>28000</v>
      </c>
      <c r="K27" s="6">
        <v>0</v>
      </c>
      <c r="L27" s="6">
        <v>0</v>
      </c>
      <c r="M27" s="6">
        <v>0</v>
      </c>
      <c r="N27" s="3" t="s">
        <v>19</v>
      </c>
      <c r="O27" s="6">
        <v>0</v>
      </c>
      <c r="P27" s="6">
        <f>J27-L27</f>
        <v>28000</v>
      </c>
    </row>
    <row r="28" spans="1:16" x14ac:dyDescent="0.25">
      <c r="A28" s="3" t="s">
        <v>85</v>
      </c>
      <c r="B28" s="4" t="s">
        <v>86</v>
      </c>
      <c r="C28" s="3" t="s">
        <v>19</v>
      </c>
      <c r="D28" s="3" t="s">
        <v>19</v>
      </c>
      <c r="E28" s="3" t="s">
        <v>25</v>
      </c>
      <c r="F28" s="3" t="s">
        <v>19</v>
      </c>
      <c r="G28" s="3" t="s">
        <v>186</v>
      </c>
      <c r="H28" s="5">
        <v>1</v>
      </c>
      <c r="I28" s="3" t="s">
        <v>19</v>
      </c>
      <c r="J28" s="6">
        <v>25000</v>
      </c>
      <c r="K28" s="6">
        <v>0</v>
      </c>
      <c r="L28" s="6">
        <v>0</v>
      </c>
      <c r="M28" s="6">
        <v>0</v>
      </c>
      <c r="N28" s="3" t="s">
        <v>19</v>
      </c>
      <c r="O28" s="6">
        <v>0</v>
      </c>
      <c r="P28" s="6">
        <f>J28-L28</f>
        <v>25000</v>
      </c>
    </row>
    <row r="29" spans="1:16" x14ac:dyDescent="0.25">
      <c r="A29" s="3" t="s">
        <v>187</v>
      </c>
      <c r="B29" s="4" t="s">
        <v>188</v>
      </c>
      <c r="C29" s="3" t="s">
        <v>19</v>
      </c>
      <c r="D29" s="3" t="s">
        <v>19</v>
      </c>
      <c r="E29" s="3" t="s">
        <v>25</v>
      </c>
      <c r="F29" s="3" t="s">
        <v>19</v>
      </c>
      <c r="G29" s="3" t="s">
        <v>138</v>
      </c>
      <c r="H29" s="5">
        <v>1</v>
      </c>
      <c r="I29" s="3" t="s">
        <v>19</v>
      </c>
      <c r="J29" s="6">
        <v>25000</v>
      </c>
      <c r="K29" s="6">
        <v>0</v>
      </c>
      <c r="L29" s="6">
        <v>0</v>
      </c>
      <c r="M29" s="6">
        <v>0</v>
      </c>
      <c r="N29" s="3" t="s">
        <v>19</v>
      </c>
      <c r="O29" s="6">
        <v>0</v>
      </c>
      <c r="P29" s="6">
        <f>J29-L29</f>
        <v>25000</v>
      </c>
    </row>
    <row r="30" spans="1:16" x14ac:dyDescent="0.25">
      <c r="A30" s="3" t="s">
        <v>189</v>
      </c>
      <c r="B30" s="4" t="s">
        <v>190</v>
      </c>
      <c r="C30" s="3" t="s">
        <v>19</v>
      </c>
      <c r="D30" s="3" t="s">
        <v>19</v>
      </c>
      <c r="E30" s="3" t="s">
        <v>25</v>
      </c>
      <c r="F30" s="3" t="s">
        <v>19</v>
      </c>
      <c r="G30" s="3" t="s">
        <v>135</v>
      </c>
      <c r="H30" s="5">
        <v>1</v>
      </c>
      <c r="I30" s="3" t="s">
        <v>19</v>
      </c>
      <c r="J30" s="6">
        <v>25000</v>
      </c>
      <c r="K30" s="6">
        <v>0</v>
      </c>
      <c r="L30" s="6">
        <v>0</v>
      </c>
      <c r="M30" s="6">
        <v>0</v>
      </c>
      <c r="N30" s="3" t="s">
        <v>19</v>
      </c>
      <c r="O30" s="6">
        <v>0</v>
      </c>
      <c r="P30" s="6">
        <f>J30-L30</f>
        <v>25000</v>
      </c>
    </row>
    <row r="31" ht="18" customHeight="1" spans="1:16" x14ac:dyDescent="0.25">
      <c r="A31" s="7" t="s">
        <v>34</v>
      </c>
      <c r="B31" s="7"/>
      <c r="C31" s="7"/>
      <c r="D31" s="7"/>
      <c r="E31" s="7"/>
      <c r="F31" s="7"/>
      <c r="G31" s="7"/>
      <c r="H31" s="8">
        <f>SUM(H3:H30)</f>
        <v>29</v>
      </c>
      <c r="I31" s="7"/>
      <c r="J31" s="9">
        <f>SUM(J3:J30)</f>
        <v>880000</v>
      </c>
      <c r="K31" s="9">
        <f>SUM(K3:K30)</f>
        <v>0</v>
      </c>
      <c r="L31" s="9">
        <f>SUM(L3:L30)</f>
        <v>0</v>
      </c>
      <c r="M31" s="9">
        <f>SUM(M3:M30)</f>
        <v>0</v>
      </c>
      <c r="N31" s="7"/>
      <c r="O31" s="9">
        <f>SUM(O3:O30)</f>
        <v>0</v>
      </c>
      <c r="P31" s="9">
        <f>SUM(P3:P30)</f>
        <v>880000</v>
      </c>
    </row>
    <row r="35" ht="15.75" customHeight="1" spans="1:16" x14ac:dyDescent="0.25">
      <c r="A35" s="1" t="s">
        <v>35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ht="39.4" customHeight="1" spans="1:16" x14ac:dyDescent="0.25">
      <c r="A36" s="2" t="s">
        <v>1</v>
      </c>
      <c r="B36" s="2" t="s">
        <v>2</v>
      </c>
      <c r="C36" s="2" t="s">
        <v>3</v>
      </c>
      <c r="D36" s="2" t="s">
        <v>4</v>
      </c>
      <c r="E36" s="2" t="s">
        <v>5</v>
      </c>
      <c r="F36" s="2" t="s">
        <v>6</v>
      </c>
      <c r="G36" s="2" t="s">
        <v>7</v>
      </c>
      <c r="H36" s="2" t="s">
        <v>8</v>
      </c>
      <c r="I36" s="2" t="s">
        <v>9</v>
      </c>
      <c r="J36" s="2" t="s">
        <v>10</v>
      </c>
      <c r="K36" s="2" t="s">
        <v>11</v>
      </c>
      <c r="L36" s="2" t="s">
        <v>12</v>
      </c>
      <c r="M36" s="2" t="s">
        <v>13</v>
      </c>
      <c r="N36" s="2" t="s">
        <v>14</v>
      </c>
      <c r="O36" s="2" t="s">
        <v>15</v>
      </c>
      <c r="P36" s="2" t="s">
        <v>16</v>
      </c>
    </row>
    <row r="37" spans="1:16" x14ac:dyDescent="0.25">
      <c r="A37" s="3" t="s">
        <v>191</v>
      </c>
      <c r="B37" s="4" t="s">
        <v>192</v>
      </c>
      <c r="C37" s="3" t="s">
        <v>19</v>
      </c>
      <c r="D37" s="3" t="s">
        <v>19</v>
      </c>
      <c r="E37" s="3" t="s">
        <v>20</v>
      </c>
      <c r="F37" s="3" t="s">
        <v>19</v>
      </c>
      <c r="G37" s="3" t="s">
        <v>135</v>
      </c>
      <c r="H37" s="5">
        <v>2</v>
      </c>
      <c r="I37" s="3" t="s">
        <v>19</v>
      </c>
      <c r="J37" s="6">
        <v>50000</v>
      </c>
      <c r="K37" s="6">
        <v>0</v>
      </c>
      <c r="L37" s="6">
        <v>0</v>
      </c>
      <c r="M37" s="6">
        <v>0</v>
      </c>
      <c r="N37" s="3" t="s">
        <v>19</v>
      </c>
      <c r="O37" s="6">
        <v>0</v>
      </c>
      <c r="P37" s="6">
        <f>J37-L37</f>
        <v>50000</v>
      </c>
    </row>
    <row r="38" spans="1:16" x14ac:dyDescent="0.25">
      <c r="A38" s="3" t="s">
        <v>97</v>
      </c>
      <c r="B38" s="4" t="s">
        <v>98</v>
      </c>
      <c r="C38" s="3" t="s">
        <v>19</v>
      </c>
      <c r="D38" s="3" t="s">
        <v>19</v>
      </c>
      <c r="E38" s="3" t="s">
        <v>20</v>
      </c>
      <c r="F38" s="3" t="s">
        <v>19</v>
      </c>
      <c r="G38" s="3" t="s">
        <v>142</v>
      </c>
      <c r="H38" s="5">
        <v>1</v>
      </c>
      <c r="I38" s="3" t="s">
        <v>19</v>
      </c>
      <c r="J38" s="6">
        <v>28000</v>
      </c>
      <c r="K38" s="6">
        <v>0</v>
      </c>
      <c r="L38" s="6">
        <v>0</v>
      </c>
      <c r="M38" s="6">
        <v>0</v>
      </c>
      <c r="N38" s="3" t="s">
        <v>19</v>
      </c>
      <c r="O38" s="6">
        <v>0</v>
      </c>
      <c r="P38" s="6">
        <f>J38-L38</f>
        <v>28000</v>
      </c>
    </row>
    <row r="39" spans="1:16" x14ac:dyDescent="0.25">
      <c r="A39" s="3" t="s">
        <v>193</v>
      </c>
      <c r="B39" s="4" t="s">
        <v>194</v>
      </c>
      <c r="C39" s="3" t="s">
        <v>19</v>
      </c>
      <c r="D39" s="3" t="s">
        <v>19</v>
      </c>
      <c r="E39" s="3" t="s">
        <v>20</v>
      </c>
      <c r="F39" s="3" t="s">
        <v>19</v>
      </c>
      <c r="G39" s="3" t="s">
        <v>142</v>
      </c>
      <c r="H39" s="5">
        <v>1</v>
      </c>
      <c r="I39" s="3" t="s">
        <v>19</v>
      </c>
      <c r="J39" s="6">
        <v>28000</v>
      </c>
      <c r="K39" s="6">
        <v>0</v>
      </c>
      <c r="L39" s="6">
        <v>0</v>
      </c>
      <c r="M39" s="6">
        <v>0</v>
      </c>
      <c r="N39" s="3" t="s">
        <v>19</v>
      </c>
      <c r="O39" s="6">
        <v>0</v>
      </c>
      <c r="P39" s="6">
        <f>J39-L39</f>
        <v>28000</v>
      </c>
    </row>
    <row r="40" spans="1:16" x14ac:dyDescent="0.25">
      <c r="A40" s="3" t="s">
        <v>195</v>
      </c>
      <c r="B40" s="4" t="s">
        <v>196</v>
      </c>
      <c r="C40" s="3" t="s">
        <v>19</v>
      </c>
      <c r="D40" s="3" t="s">
        <v>19</v>
      </c>
      <c r="E40" s="3" t="s">
        <v>20</v>
      </c>
      <c r="F40" s="3" t="s">
        <v>19</v>
      </c>
      <c r="G40" s="3" t="s">
        <v>142</v>
      </c>
      <c r="H40" s="5">
        <v>1</v>
      </c>
      <c r="I40" s="3" t="s">
        <v>19</v>
      </c>
      <c r="J40" s="6">
        <v>28000</v>
      </c>
      <c r="K40" s="6">
        <v>0</v>
      </c>
      <c r="L40" s="6">
        <v>0</v>
      </c>
      <c r="M40" s="6">
        <v>0</v>
      </c>
      <c r="N40" s="3" t="s">
        <v>19</v>
      </c>
      <c r="O40" s="6">
        <v>0</v>
      </c>
      <c r="P40" s="6">
        <f>J40-L40</f>
        <v>28000</v>
      </c>
    </row>
    <row r="41" spans="1:16" x14ac:dyDescent="0.25">
      <c r="A41" s="3" t="s">
        <v>197</v>
      </c>
      <c r="B41" s="4" t="s">
        <v>198</v>
      </c>
      <c r="C41" s="3" t="s">
        <v>19</v>
      </c>
      <c r="D41" s="3" t="s">
        <v>19</v>
      </c>
      <c r="E41" s="3" t="s">
        <v>20</v>
      </c>
      <c r="F41" s="3" t="s">
        <v>19</v>
      </c>
      <c r="G41" s="3" t="s">
        <v>142</v>
      </c>
      <c r="H41" s="5">
        <v>1</v>
      </c>
      <c r="I41" s="3" t="s">
        <v>19</v>
      </c>
      <c r="J41" s="6">
        <v>28000</v>
      </c>
      <c r="K41" s="6">
        <v>0</v>
      </c>
      <c r="L41" s="6">
        <v>0</v>
      </c>
      <c r="M41" s="6">
        <v>0</v>
      </c>
      <c r="N41" s="3" t="s">
        <v>19</v>
      </c>
      <c r="O41" s="6">
        <v>0</v>
      </c>
      <c r="P41" s="6">
        <f>J41-L41</f>
        <v>28000</v>
      </c>
    </row>
    <row r="42" spans="1:16" x14ac:dyDescent="0.25">
      <c r="A42" s="3" t="s">
        <v>199</v>
      </c>
      <c r="B42" s="4" t="s">
        <v>200</v>
      </c>
      <c r="C42" s="3" t="s">
        <v>19</v>
      </c>
      <c r="D42" s="3" t="s">
        <v>19</v>
      </c>
      <c r="E42" s="3" t="s">
        <v>20</v>
      </c>
      <c r="F42" s="3" t="s">
        <v>19</v>
      </c>
      <c r="G42" s="3" t="s">
        <v>155</v>
      </c>
      <c r="H42" s="5">
        <v>2</v>
      </c>
      <c r="I42" s="3" t="s">
        <v>19</v>
      </c>
      <c r="J42" s="6">
        <v>70000</v>
      </c>
      <c r="K42" s="6">
        <v>0</v>
      </c>
      <c r="L42" s="6">
        <v>0</v>
      </c>
      <c r="M42" s="6">
        <v>0</v>
      </c>
      <c r="N42" s="3" t="s">
        <v>19</v>
      </c>
      <c r="O42" s="6">
        <v>0</v>
      </c>
      <c r="P42" s="6">
        <f>J42-L42</f>
        <v>70000</v>
      </c>
    </row>
    <row r="43" spans="1:16" x14ac:dyDescent="0.25">
      <c r="A43" s="3" t="s">
        <v>199</v>
      </c>
      <c r="B43" s="4" t="s">
        <v>200</v>
      </c>
      <c r="C43" s="3" t="s">
        <v>19</v>
      </c>
      <c r="D43" s="3" t="s">
        <v>19</v>
      </c>
      <c r="E43" s="3" t="s">
        <v>20</v>
      </c>
      <c r="F43" s="3" t="s">
        <v>19</v>
      </c>
      <c r="G43" s="3" t="s">
        <v>141</v>
      </c>
      <c r="H43" s="5">
        <v>1</v>
      </c>
      <c r="I43" s="3" t="s">
        <v>19</v>
      </c>
      <c r="J43" s="6">
        <v>30000</v>
      </c>
      <c r="K43" s="6">
        <v>0</v>
      </c>
      <c r="L43" s="6">
        <v>0</v>
      </c>
      <c r="M43" s="6">
        <v>0</v>
      </c>
      <c r="N43" s="3" t="s">
        <v>19</v>
      </c>
      <c r="O43" s="6">
        <v>0</v>
      </c>
      <c r="P43" s="6">
        <f>J43-L43</f>
        <v>30000</v>
      </c>
    </row>
    <row r="44" spans="1:16" x14ac:dyDescent="0.25">
      <c r="A44" s="3" t="s">
        <v>199</v>
      </c>
      <c r="B44" s="4" t="s">
        <v>200</v>
      </c>
      <c r="C44" s="3" t="s">
        <v>19</v>
      </c>
      <c r="D44" s="3" t="s">
        <v>19</v>
      </c>
      <c r="E44" s="3" t="s">
        <v>20</v>
      </c>
      <c r="F44" s="3" t="s">
        <v>19</v>
      </c>
      <c r="G44" s="3" t="s">
        <v>142</v>
      </c>
      <c r="H44" s="5">
        <v>1</v>
      </c>
      <c r="I44" s="3" t="s">
        <v>19</v>
      </c>
      <c r="J44" s="6">
        <v>28000</v>
      </c>
      <c r="K44" s="6">
        <v>0</v>
      </c>
      <c r="L44" s="6">
        <v>0</v>
      </c>
      <c r="M44" s="6">
        <v>0</v>
      </c>
      <c r="N44" s="3" t="s">
        <v>19</v>
      </c>
      <c r="O44" s="6">
        <v>0</v>
      </c>
      <c r="P44" s="6">
        <f>J44-L44</f>
        <v>28000</v>
      </c>
    </row>
    <row r="45" spans="1:16" x14ac:dyDescent="0.25">
      <c r="A45" s="3" t="s">
        <v>201</v>
      </c>
      <c r="B45" s="4" t="s">
        <v>202</v>
      </c>
      <c r="C45" s="3" t="s">
        <v>19</v>
      </c>
      <c r="D45" s="3" t="s">
        <v>19</v>
      </c>
      <c r="E45" s="3" t="s">
        <v>20</v>
      </c>
      <c r="F45" s="3" t="s">
        <v>19</v>
      </c>
      <c r="G45" s="3" t="s">
        <v>181</v>
      </c>
      <c r="H45" s="5">
        <v>1</v>
      </c>
      <c r="I45" s="3" t="s">
        <v>19</v>
      </c>
      <c r="J45" s="6">
        <v>40000</v>
      </c>
      <c r="K45" s="6">
        <v>0</v>
      </c>
      <c r="L45" s="6">
        <v>0</v>
      </c>
      <c r="M45" s="6">
        <v>0</v>
      </c>
      <c r="N45" s="3" t="s">
        <v>19</v>
      </c>
      <c r="O45" s="6">
        <v>0</v>
      </c>
      <c r="P45" s="6">
        <f>J45-L45</f>
        <v>40000</v>
      </c>
    </row>
    <row r="46" spans="1:16" x14ac:dyDescent="0.25">
      <c r="A46" s="3" t="s">
        <v>203</v>
      </c>
      <c r="B46" s="4" t="s">
        <v>204</v>
      </c>
      <c r="C46" s="3" t="s">
        <v>19</v>
      </c>
      <c r="D46" s="3" t="s">
        <v>19</v>
      </c>
      <c r="E46" s="3" t="s">
        <v>20</v>
      </c>
      <c r="F46" s="3" t="s">
        <v>19</v>
      </c>
      <c r="G46" s="3" t="s">
        <v>155</v>
      </c>
      <c r="H46" s="5">
        <v>1</v>
      </c>
      <c r="I46" s="3" t="s">
        <v>19</v>
      </c>
      <c r="J46" s="6">
        <v>35000</v>
      </c>
      <c r="K46" s="6">
        <v>0</v>
      </c>
      <c r="L46" s="6">
        <v>0</v>
      </c>
      <c r="M46" s="6">
        <v>0</v>
      </c>
      <c r="N46" s="3" t="s">
        <v>19</v>
      </c>
      <c r="O46" s="6">
        <v>0</v>
      </c>
      <c r="P46" s="6">
        <f>J46-L46</f>
        <v>35000</v>
      </c>
    </row>
    <row r="47" spans="1:16" x14ac:dyDescent="0.25">
      <c r="A47" s="3" t="s">
        <v>205</v>
      </c>
      <c r="B47" s="4" t="s">
        <v>206</v>
      </c>
      <c r="C47" s="3" t="s">
        <v>19</v>
      </c>
      <c r="D47" s="3" t="s">
        <v>19</v>
      </c>
      <c r="E47" s="3" t="s">
        <v>20</v>
      </c>
      <c r="F47" s="3" t="s">
        <v>19</v>
      </c>
      <c r="G47" s="3" t="s">
        <v>207</v>
      </c>
      <c r="H47" s="5">
        <v>1</v>
      </c>
      <c r="I47" s="3" t="s">
        <v>19</v>
      </c>
      <c r="J47" s="6">
        <v>40000</v>
      </c>
      <c r="K47" s="6">
        <v>0</v>
      </c>
      <c r="L47" s="6">
        <v>0</v>
      </c>
      <c r="M47" s="6">
        <v>0</v>
      </c>
      <c r="N47" s="3" t="s">
        <v>19</v>
      </c>
      <c r="O47" s="6">
        <v>0</v>
      </c>
      <c r="P47" s="6">
        <f>J47-L47</f>
        <v>40000</v>
      </c>
    </row>
    <row r="48" spans="1:16" x14ac:dyDescent="0.25">
      <c r="A48" s="3" t="s">
        <v>208</v>
      </c>
      <c r="B48" s="4" t="s">
        <v>209</v>
      </c>
      <c r="C48" s="3" t="s">
        <v>19</v>
      </c>
      <c r="D48" s="3" t="s">
        <v>19</v>
      </c>
      <c r="E48" s="3" t="s">
        <v>20</v>
      </c>
      <c r="F48" s="3" t="s">
        <v>19</v>
      </c>
      <c r="G48" s="3" t="s">
        <v>142</v>
      </c>
      <c r="H48" s="5">
        <v>1</v>
      </c>
      <c r="I48" s="3" t="s">
        <v>19</v>
      </c>
      <c r="J48" s="6">
        <v>28000</v>
      </c>
      <c r="K48" s="6">
        <v>0</v>
      </c>
      <c r="L48" s="6">
        <v>0</v>
      </c>
      <c r="M48" s="6">
        <v>0</v>
      </c>
      <c r="N48" s="3" t="s">
        <v>19</v>
      </c>
      <c r="O48" s="6">
        <v>0</v>
      </c>
      <c r="P48" s="6">
        <f>J48-L48</f>
        <v>28000</v>
      </c>
    </row>
    <row r="49" spans="1:16" x14ac:dyDescent="0.25">
      <c r="A49" s="3" t="s">
        <v>208</v>
      </c>
      <c r="B49" s="4" t="s">
        <v>209</v>
      </c>
      <c r="C49" s="3" t="s">
        <v>19</v>
      </c>
      <c r="D49" s="3" t="s">
        <v>19</v>
      </c>
      <c r="E49" s="3" t="s">
        <v>20</v>
      </c>
      <c r="F49" s="3" t="s">
        <v>19</v>
      </c>
      <c r="G49" s="3" t="s">
        <v>162</v>
      </c>
      <c r="H49" s="5">
        <v>1</v>
      </c>
      <c r="I49" s="3" t="s">
        <v>19</v>
      </c>
      <c r="J49" s="6">
        <v>17000</v>
      </c>
      <c r="K49" s="6">
        <v>0</v>
      </c>
      <c r="L49" s="6">
        <v>0</v>
      </c>
      <c r="M49" s="6">
        <v>0</v>
      </c>
      <c r="N49" s="3" t="s">
        <v>19</v>
      </c>
      <c r="O49" s="6">
        <v>0</v>
      </c>
      <c r="P49" s="6">
        <f>J49-L49</f>
        <v>17000</v>
      </c>
    </row>
    <row r="50" spans="1:16" x14ac:dyDescent="0.25">
      <c r="A50" s="3" t="s">
        <v>210</v>
      </c>
      <c r="B50" s="4" t="s">
        <v>211</v>
      </c>
      <c r="C50" s="3" t="s">
        <v>19</v>
      </c>
      <c r="D50" s="3" t="s">
        <v>19</v>
      </c>
      <c r="E50" s="3" t="s">
        <v>20</v>
      </c>
      <c r="F50" s="3" t="s">
        <v>19</v>
      </c>
      <c r="G50" s="3" t="s">
        <v>172</v>
      </c>
      <c r="H50" s="5">
        <v>1</v>
      </c>
      <c r="I50" s="3" t="s">
        <v>19</v>
      </c>
      <c r="J50" s="6">
        <v>40000</v>
      </c>
      <c r="K50" s="6">
        <v>0</v>
      </c>
      <c r="L50" s="6">
        <v>0</v>
      </c>
      <c r="M50" s="6">
        <v>0</v>
      </c>
      <c r="N50" s="3" t="s">
        <v>19</v>
      </c>
      <c r="O50" s="6">
        <v>0</v>
      </c>
      <c r="P50" s="6">
        <f>J50-L50</f>
        <v>40000</v>
      </c>
    </row>
    <row r="51" spans="1:16" x14ac:dyDescent="0.25">
      <c r="A51" s="3" t="s">
        <v>212</v>
      </c>
      <c r="B51" s="4" t="s">
        <v>213</v>
      </c>
      <c r="C51" s="3" t="s">
        <v>19</v>
      </c>
      <c r="D51" s="3" t="s">
        <v>19</v>
      </c>
      <c r="E51" s="3" t="s">
        <v>20</v>
      </c>
      <c r="F51" s="3" t="s">
        <v>19</v>
      </c>
      <c r="G51" s="3" t="s">
        <v>155</v>
      </c>
      <c r="H51" s="5">
        <v>1</v>
      </c>
      <c r="I51" s="3" t="s">
        <v>19</v>
      </c>
      <c r="J51" s="6">
        <v>35000</v>
      </c>
      <c r="K51" s="6">
        <v>0</v>
      </c>
      <c r="L51" s="6">
        <v>0</v>
      </c>
      <c r="M51" s="6">
        <v>0</v>
      </c>
      <c r="N51" s="3" t="s">
        <v>19</v>
      </c>
      <c r="O51" s="6">
        <v>0</v>
      </c>
      <c r="P51" s="6">
        <f>J51-L51</f>
        <v>35000</v>
      </c>
    </row>
    <row r="52" spans="1:16" x14ac:dyDescent="0.25">
      <c r="A52" s="3" t="s">
        <v>214</v>
      </c>
      <c r="B52" s="4" t="s">
        <v>215</v>
      </c>
      <c r="C52" s="3" t="s">
        <v>19</v>
      </c>
      <c r="D52" s="3" t="s">
        <v>19</v>
      </c>
      <c r="E52" s="3" t="s">
        <v>20</v>
      </c>
      <c r="F52" s="3" t="s">
        <v>19</v>
      </c>
      <c r="G52" s="3" t="s">
        <v>181</v>
      </c>
      <c r="H52" s="5">
        <v>1</v>
      </c>
      <c r="I52" s="3" t="s">
        <v>19</v>
      </c>
      <c r="J52" s="6">
        <v>40000</v>
      </c>
      <c r="K52" s="6">
        <v>0</v>
      </c>
      <c r="L52" s="6">
        <v>0</v>
      </c>
      <c r="M52" s="6">
        <v>0</v>
      </c>
      <c r="N52" s="3" t="s">
        <v>19</v>
      </c>
      <c r="O52" s="6">
        <v>0</v>
      </c>
      <c r="P52" s="6">
        <f>J52-L52</f>
        <v>40000</v>
      </c>
    </row>
    <row r="53" spans="1:16" x14ac:dyDescent="0.25">
      <c r="A53" s="3" t="s">
        <v>216</v>
      </c>
      <c r="B53" s="4" t="s">
        <v>217</v>
      </c>
      <c r="C53" s="3" t="s">
        <v>19</v>
      </c>
      <c r="D53" s="3" t="s">
        <v>19</v>
      </c>
      <c r="E53" s="3" t="s">
        <v>20</v>
      </c>
      <c r="F53" s="3" t="s">
        <v>19</v>
      </c>
      <c r="G53" s="3" t="s">
        <v>186</v>
      </c>
      <c r="H53" s="5">
        <v>1</v>
      </c>
      <c r="I53" s="3" t="s">
        <v>19</v>
      </c>
      <c r="J53" s="6">
        <v>25000</v>
      </c>
      <c r="K53" s="6">
        <v>0</v>
      </c>
      <c r="L53" s="6">
        <v>0</v>
      </c>
      <c r="M53" s="6">
        <v>0</v>
      </c>
      <c r="N53" s="3" t="s">
        <v>19</v>
      </c>
      <c r="O53" s="6">
        <v>0</v>
      </c>
      <c r="P53" s="6">
        <f>J53-L53</f>
        <v>25000</v>
      </c>
    </row>
    <row r="54" spans="1:16" x14ac:dyDescent="0.25">
      <c r="A54" s="3" t="s">
        <v>113</v>
      </c>
      <c r="B54" s="4" t="s">
        <v>114</v>
      </c>
      <c r="C54" s="3" t="s">
        <v>19</v>
      </c>
      <c r="D54" s="3" t="s">
        <v>19</v>
      </c>
      <c r="E54" s="3" t="s">
        <v>20</v>
      </c>
      <c r="F54" s="3" t="s">
        <v>19</v>
      </c>
      <c r="G54" s="3" t="s">
        <v>141</v>
      </c>
      <c r="H54" s="5">
        <v>1</v>
      </c>
      <c r="I54" s="3" t="s">
        <v>19</v>
      </c>
      <c r="J54" s="6">
        <v>30000</v>
      </c>
      <c r="K54" s="6">
        <v>0</v>
      </c>
      <c r="L54" s="6">
        <v>0</v>
      </c>
      <c r="M54" s="6">
        <v>0</v>
      </c>
      <c r="N54" s="3" t="s">
        <v>19</v>
      </c>
      <c r="O54" s="6">
        <v>0</v>
      </c>
      <c r="P54" s="6">
        <f>J54-L54</f>
        <v>30000</v>
      </c>
    </row>
    <row r="55" spans="1:16" x14ac:dyDescent="0.25">
      <c r="A55" s="3" t="s">
        <v>218</v>
      </c>
      <c r="B55" s="4" t="s">
        <v>219</v>
      </c>
      <c r="C55" s="3" t="s">
        <v>19</v>
      </c>
      <c r="D55" s="3" t="s">
        <v>19</v>
      </c>
      <c r="E55" s="3" t="s">
        <v>20</v>
      </c>
      <c r="F55" s="3" t="s">
        <v>19</v>
      </c>
      <c r="G55" s="3" t="s">
        <v>181</v>
      </c>
      <c r="H55" s="5">
        <v>1</v>
      </c>
      <c r="I55" s="3" t="s">
        <v>19</v>
      </c>
      <c r="J55" s="6">
        <v>40000</v>
      </c>
      <c r="K55" s="6">
        <v>0</v>
      </c>
      <c r="L55" s="6">
        <v>0</v>
      </c>
      <c r="M55" s="6">
        <v>0</v>
      </c>
      <c r="N55" s="3" t="s">
        <v>19</v>
      </c>
      <c r="O55" s="6">
        <v>0</v>
      </c>
      <c r="P55" s="6">
        <f>J55-L55</f>
        <v>40000</v>
      </c>
    </row>
    <row r="56" spans="1:16" x14ac:dyDescent="0.25">
      <c r="A56" s="3" t="s">
        <v>220</v>
      </c>
      <c r="B56" s="4" t="s">
        <v>221</v>
      </c>
      <c r="C56" s="3" t="s">
        <v>19</v>
      </c>
      <c r="D56" s="3" t="s">
        <v>19</v>
      </c>
      <c r="E56" s="3" t="s">
        <v>20</v>
      </c>
      <c r="F56" s="3" t="s">
        <v>19</v>
      </c>
      <c r="G56" s="3" t="s">
        <v>135</v>
      </c>
      <c r="H56" s="5">
        <v>1</v>
      </c>
      <c r="I56" s="3" t="s">
        <v>19</v>
      </c>
      <c r="J56" s="6">
        <v>25000</v>
      </c>
      <c r="K56" s="6">
        <v>0</v>
      </c>
      <c r="L56" s="6">
        <v>0</v>
      </c>
      <c r="M56" s="6">
        <v>0</v>
      </c>
      <c r="N56" s="3" t="s">
        <v>19</v>
      </c>
      <c r="O56" s="6">
        <v>0</v>
      </c>
      <c r="P56" s="6">
        <f>J56-L56</f>
        <v>25000</v>
      </c>
    </row>
    <row r="57" spans="1:16" x14ac:dyDescent="0.25">
      <c r="A57" s="3" t="s">
        <v>220</v>
      </c>
      <c r="B57" s="4" t="s">
        <v>221</v>
      </c>
      <c r="C57" s="3" t="s">
        <v>19</v>
      </c>
      <c r="D57" s="3" t="s">
        <v>19</v>
      </c>
      <c r="E57" s="3" t="s">
        <v>20</v>
      </c>
      <c r="F57" s="3" t="s">
        <v>19</v>
      </c>
      <c r="G57" s="3" t="s">
        <v>186</v>
      </c>
      <c r="H57" s="5">
        <v>1</v>
      </c>
      <c r="I57" s="3" t="s">
        <v>19</v>
      </c>
      <c r="J57" s="6">
        <v>25000</v>
      </c>
      <c r="K57" s="6">
        <v>0</v>
      </c>
      <c r="L57" s="6">
        <v>0</v>
      </c>
      <c r="M57" s="6">
        <v>0</v>
      </c>
      <c r="N57" s="3" t="s">
        <v>19</v>
      </c>
      <c r="O57" s="6">
        <v>0</v>
      </c>
      <c r="P57" s="6">
        <f>J57-L57</f>
        <v>25000</v>
      </c>
    </row>
    <row r="58" spans="1:16" x14ac:dyDescent="0.25">
      <c r="A58" s="3" t="s">
        <v>125</v>
      </c>
      <c r="B58" s="4" t="s">
        <v>126</v>
      </c>
      <c r="C58" s="3" t="s">
        <v>19</v>
      </c>
      <c r="D58" s="3" t="s">
        <v>19</v>
      </c>
      <c r="E58" s="3" t="s">
        <v>20</v>
      </c>
      <c r="F58" s="3" t="s">
        <v>19</v>
      </c>
      <c r="G58" s="3" t="s">
        <v>142</v>
      </c>
      <c r="H58" s="5">
        <v>1</v>
      </c>
      <c r="I58" s="3" t="s">
        <v>19</v>
      </c>
      <c r="J58" s="6">
        <v>28000</v>
      </c>
      <c r="K58" s="6">
        <v>0</v>
      </c>
      <c r="L58" s="6">
        <v>0</v>
      </c>
      <c r="M58" s="6">
        <v>0</v>
      </c>
      <c r="N58" s="3" t="s">
        <v>19</v>
      </c>
      <c r="O58" s="6">
        <v>0</v>
      </c>
      <c r="P58" s="6">
        <f>J58-L58</f>
        <v>28000</v>
      </c>
    </row>
    <row r="59" spans="1:16" x14ac:dyDescent="0.25">
      <c r="A59" s="3" t="s">
        <v>222</v>
      </c>
      <c r="B59" s="4" t="s">
        <v>223</v>
      </c>
      <c r="C59" s="3" t="s">
        <v>19</v>
      </c>
      <c r="D59" s="3" t="s">
        <v>19</v>
      </c>
      <c r="E59" s="3" t="s">
        <v>25</v>
      </c>
      <c r="F59" s="3" t="s">
        <v>19</v>
      </c>
      <c r="G59" s="3" t="s">
        <v>162</v>
      </c>
      <c r="H59" s="5">
        <v>2</v>
      </c>
      <c r="I59" s="3" t="s">
        <v>19</v>
      </c>
      <c r="J59" s="6">
        <v>34000</v>
      </c>
      <c r="K59" s="6">
        <v>0</v>
      </c>
      <c r="L59" s="6">
        <v>0</v>
      </c>
      <c r="M59" s="6">
        <v>0</v>
      </c>
      <c r="N59" s="3" t="s">
        <v>19</v>
      </c>
      <c r="O59" s="6">
        <v>0</v>
      </c>
      <c r="P59" s="6">
        <f>J59-L59</f>
        <v>34000</v>
      </c>
    </row>
    <row r="60" spans="1:16" x14ac:dyDescent="0.25">
      <c r="A60" s="3" t="s">
        <v>224</v>
      </c>
      <c r="B60" s="4" t="s">
        <v>225</v>
      </c>
      <c r="C60" s="3" t="s">
        <v>19</v>
      </c>
      <c r="D60" s="3" t="s">
        <v>19</v>
      </c>
      <c r="E60" s="3" t="s">
        <v>25</v>
      </c>
      <c r="F60" s="3" t="s">
        <v>19</v>
      </c>
      <c r="G60" s="3" t="s">
        <v>142</v>
      </c>
      <c r="H60" s="5">
        <v>2</v>
      </c>
      <c r="I60" s="3" t="s">
        <v>19</v>
      </c>
      <c r="J60" s="6">
        <v>56000</v>
      </c>
      <c r="K60" s="6">
        <v>0</v>
      </c>
      <c r="L60" s="6">
        <v>0</v>
      </c>
      <c r="M60" s="6">
        <v>0</v>
      </c>
      <c r="N60" s="3" t="s">
        <v>19</v>
      </c>
      <c r="O60" s="6">
        <v>0</v>
      </c>
      <c r="P60" s="6">
        <f>J60-L60</f>
        <v>56000</v>
      </c>
    </row>
    <row r="61" spans="1:16" x14ac:dyDescent="0.25">
      <c r="A61" s="3" t="s">
        <v>226</v>
      </c>
      <c r="B61" s="4" t="s">
        <v>227</v>
      </c>
      <c r="C61" s="3" t="s">
        <v>19</v>
      </c>
      <c r="D61" s="3" t="s">
        <v>19</v>
      </c>
      <c r="E61" s="3" t="s">
        <v>25</v>
      </c>
      <c r="F61" s="3" t="s">
        <v>19</v>
      </c>
      <c r="G61" s="3" t="s">
        <v>228</v>
      </c>
      <c r="H61" s="5">
        <v>1</v>
      </c>
      <c r="I61" s="3" t="s">
        <v>19</v>
      </c>
      <c r="J61" s="6">
        <v>40000</v>
      </c>
      <c r="K61" s="6">
        <v>0</v>
      </c>
      <c r="L61" s="6">
        <v>0</v>
      </c>
      <c r="M61" s="6">
        <v>0</v>
      </c>
      <c r="N61" s="3" t="s">
        <v>19</v>
      </c>
      <c r="O61" s="6">
        <v>0</v>
      </c>
      <c r="P61" s="6">
        <f>J61-L61</f>
        <v>40000</v>
      </c>
    </row>
    <row r="62" spans="1:16" x14ac:dyDescent="0.25">
      <c r="A62" s="3" t="s">
        <v>229</v>
      </c>
      <c r="B62" s="4" t="s">
        <v>230</v>
      </c>
      <c r="C62" s="3" t="s">
        <v>19</v>
      </c>
      <c r="D62" s="3" t="s">
        <v>19</v>
      </c>
      <c r="E62" s="3" t="s">
        <v>25</v>
      </c>
      <c r="F62" s="3" t="s">
        <v>19</v>
      </c>
      <c r="G62" s="3" t="s">
        <v>186</v>
      </c>
      <c r="H62" s="5">
        <v>1</v>
      </c>
      <c r="I62" s="3" t="s">
        <v>19</v>
      </c>
      <c r="J62" s="6">
        <v>25000</v>
      </c>
      <c r="K62" s="6">
        <v>0</v>
      </c>
      <c r="L62" s="6">
        <v>0</v>
      </c>
      <c r="M62" s="6">
        <v>0</v>
      </c>
      <c r="N62" s="3" t="s">
        <v>19</v>
      </c>
      <c r="O62" s="6">
        <v>0</v>
      </c>
      <c r="P62" s="6">
        <f>J62-L62</f>
        <v>25000</v>
      </c>
    </row>
    <row r="63" spans="1:16" x14ac:dyDescent="0.25">
      <c r="A63" s="3" t="s">
        <v>231</v>
      </c>
      <c r="B63" s="4" t="s">
        <v>232</v>
      </c>
      <c r="C63" s="3" t="s">
        <v>19</v>
      </c>
      <c r="D63" s="3" t="s">
        <v>19</v>
      </c>
      <c r="E63" s="3" t="s">
        <v>25</v>
      </c>
      <c r="F63" s="3" t="s">
        <v>19</v>
      </c>
      <c r="G63" s="3" t="s">
        <v>186</v>
      </c>
      <c r="H63" s="5">
        <v>2</v>
      </c>
      <c r="I63" s="3" t="s">
        <v>19</v>
      </c>
      <c r="J63" s="6">
        <v>50000</v>
      </c>
      <c r="K63" s="6">
        <v>0</v>
      </c>
      <c r="L63" s="6">
        <v>0</v>
      </c>
      <c r="M63" s="6">
        <v>0</v>
      </c>
      <c r="N63" s="3" t="s">
        <v>19</v>
      </c>
      <c r="O63" s="6">
        <v>0</v>
      </c>
      <c r="P63" s="6">
        <f>J63-L63</f>
        <v>50000</v>
      </c>
    </row>
    <row r="64" spans="1:16" x14ac:dyDescent="0.25">
      <c r="A64" s="3" t="s">
        <v>233</v>
      </c>
      <c r="B64" s="4" t="s">
        <v>234</v>
      </c>
      <c r="C64" s="3" t="s">
        <v>19</v>
      </c>
      <c r="D64" s="3" t="s">
        <v>19</v>
      </c>
      <c r="E64" s="3" t="s">
        <v>25</v>
      </c>
      <c r="F64" s="3" t="s">
        <v>19</v>
      </c>
      <c r="G64" s="3" t="s">
        <v>172</v>
      </c>
      <c r="H64" s="5">
        <v>1</v>
      </c>
      <c r="I64" s="3" t="s">
        <v>19</v>
      </c>
      <c r="J64" s="6">
        <v>40000</v>
      </c>
      <c r="K64" s="6">
        <v>0</v>
      </c>
      <c r="L64" s="6">
        <v>0</v>
      </c>
      <c r="M64" s="6">
        <v>0</v>
      </c>
      <c r="N64" s="3" t="s">
        <v>19</v>
      </c>
      <c r="O64" s="6">
        <v>0</v>
      </c>
      <c r="P64" s="6">
        <f>J64-L64</f>
        <v>40000</v>
      </c>
    </row>
    <row r="65" spans="1:16" x14ac:dyDescent="0.25">
      <c r="A65" s="3" t="s">
        <v>235</v>
      </c>
      <c r="B65" s="4" t="s">
        <v>236</v>
      </c>
      <c r="C65" s="3" t="s">
        <v>19</v>
      </c>
      <c r="D65" s="3" t="s">
        <v>19</v>
      </c>
      <c r="E65" s="3" t="s">
        <v>25</v>
      </c>
      <c r="F65" s="3" t="s">
        <v>19</v>
      </c>
      <c r="G65" s="3" t="s">
        <v>162</v>
      </c>
      <c r="H65" s="5">
        <v>1</v>
      </c>
      <c r="I65" s="3" t="s">
        <v>19</v>
      </c>
      <c r="J65" s="6">
        <v>17000</v>
      </c>
      <c r="K65" s="6">
        <v>0</v>
      </c>
      <c r="L65" s="6">
        <v>0</v>
      </c>
      <c r="M65" s="6">
        <v>0</v>
      </c>
      <c r="N65" s="3" t="s">
        <v>19</v>
      </c>
      <c r="O65" s="6">
        <v>0</v>
      </c>
      <c r="P65" s="6">
        <f>J65-L65</f>
        <v>17000</v>
      </c>
    </row>
    <row r="66" spans="1:16" x14ac:dyDescent="0.25">
      <c r="A66" s="3" t="s">
        <v>237</v>
      </c>
      <c r="B66" s="4" t="s">
        <v>238</v>
      </c>
      <c r="C66" s="3" t="s">
        <v>19</v>
      </c>
      <c r="D66" s="3" t="s">
        <v>19</v>
      </c>
      <c r="E66" s="3" t="s">
        <v>25</v>
      </c>
      <c r="F66" s="3" t="s">
        <v>19</v>
      </c>
      <c r="G66" s="3" t="s">
        <v>155</v>
      </c>
      <c r="H66" s="5">
        <v>1</v>
      </c>
      <c r="I66" s="3" t="s">
        <v>19</v>
      </c>
      <c r="J66" s="6">
        <v>35000</v>
      </c>
      <c r="K66" s="6">
        <v>0</v>
      </c>
      <c r="L66" s="6">
        <v>0</v>
      </c>
      <c r="M66" s="6">
        <v>0</v>
      </c>
      <c r="N66" s="3" t="s">
        <v>19</v>
      </c>
      <c r="O66" s="6">
        <v>0</v>
      </c>
      <c r="P66" s="6">
        <f>J66-L66</f>
        <v>35000</v>
      </c>
    </row>
    <row r="67" spans="1:16" x14ac:dyDescent="0.25">
      <c r="A67" s="3" t="s">
        <v>239</v>
      </c>
      <c r="B67" s="4" t="s">
        <v>240</v>
      </c>
      <c r="C67" s="3" t="s">
        <v>19</v>
      </c>
      <c r="D67" s="3" t="s">
        <v>19</v>
      </c>
      <c r="E67" s="3" t="s">
        <v>25</v>
      </c>
      <c r="F67" s="3" t="s">
        <v>19</v>
      </c>
      <c r="G67" s="3" t="s">
        <v>162</v>
      </c>
      <c r="H67" s="5">
        <v>1</v>
      </c>
      <c r="I67" s="3" t="s">
        <v>19</v>
      </c>
      <c r="J67" s="6">
        <v>17000</v>
      </c>
      <c r="K67" s="6">
        <v>0</v>
      </c>
      <c r="L67" s="6">
        <v>0</v>
      </c>
      <c r="M67" s="6">
        <v>0</v>
      </c>
      <c r="N67" s="3" t="s">
        <v>19</v>
      </c>
      <c r="O67" s="6">
        <v>0</v>
      </c>
      <c r="P67" s="6">
        <f>J67-L67</f>
        <v>17000</v>
      </c>
    </row>
    <row r="68" spans="1:16" x14ac:dyDescent="0.25">
      <c r="A68" s="3" t="s">
        <v>241</v>
      </c>
      <c r="B68" s="4" t="s">
        <v>242</v>
      </c>
      <c r="C68" s="3" t="s">
        <v>19</v>
      </c>
      <c r="D68" s="3" t="s">
        <v>19</v>
      </c>
      <c r="E68" s="3" t="s">
        <v>25</v>
      </c>
      <c r="F68" s="3" t="s">
        <v>19</v>
      </c>
      <c r="G68" s="3" t="s">
        <v>186</v>
      </c>
      <c r="H68" s="5">
        <v>1</v>
      </c>
      <c r="I68" s="3" t="s">
        <v>19</v>
      </c>
      <c r="J68" s="6">
        <v>25000</v>
      </c>
      <c r="K68" s="6">
        <v>0</v>
      </c>
      <c r="L68" s="6">
        <v>0</v>
      </c>
      <c r="M68" s="6">
        <v>0</v>
      </c>
      <c r="N68" s="3" t="s">
        <v>19</v>
      </c>
      <c r="O68" s="6">
        <v>0</v>
      </c>
      <c r="P68" s="6">
        <f>J68-L68</f>
        <v>25000</v>
      </c>
    </row>
    <row r="69" spans="1:16" x14ac:dyDescent="0.25">
      <c r="A69" s="3" t="s">
        <v>241</v>
      </c>
      <c r="B69" s="4" t="s">
        <v>242</v>
      </c>
      <c r="C69" s="3" t="s">
        <v>19</v>
      </c>
      <c r="D69" s="3" t="s">
        <v>19</v>
      </c>
      <c r="E69" s="3" t="s">
        <v>25</v>
      </c>
      <c r="F69" s="3" t="s">
        <v>19</v>
      </c>
      <c r="G69" s="3" t="s">
        <v>243</v>
      </c>
      <c r="H69" s="5">
        <v>1</v>
      </c>
      <c r="I69" s="3" t="s">
        <v>19</v>
      </c>
      <c r="J69" s="6">
        <v>25000</v>
      </c>
      <c r="K69" s="6">
        <v>0</v>
      </c>
      <c r="L69" s="6">
        <v>0</v>
      </c>
      <c r="M69" s="6">
        <v>0</v>
      </c>
      <c r="N69" s="3" t="s">
        <v>19</v>
      </c>
      <c r="O69" s="6">
        <v>0</v>
      </c>
      <c r="P69" s="6">
        <f>J69-L69</f>
        <v>25000</v>
      </c>
    </row>
    <row r="70" spans="1:16" x14ac:dyDescent="0.25">
      <c r="A70" s="3" t="s">
        <v>244</v>
      </c>
      <c r="B70" s="4" t="s">
        <v>245</v>
      </c>
      <c r="C70" s="3" t="s">
        <v>19</v>
      </c>
      <c r="D70" s="3" t="s">
        <v>19</v>
      </c>
      <c r="E70" s="3" t="s">
        <v>25</v>
      </c>
      <c r="F70" s="3" t="s">
        <v>19</v>
      </c>
      <c r="G70" s="3" t="s">
        <v>135</v>
      </c>
      <c r="H70" s="5">
        <v>1</v>
      </c>
      <c r="I70" s="3" t="s">
        <v>19</v>
      </c>
      <c r="J70" s="6">
        <v>25000</v>
      </c>
      <c r="K70" s="6">
        <v>0</v>
      </c>
      <c r="L70" s="6">
        <v>0</v>
      </c>
      <c r="M70" s="6">
        <v>0</v>
      </c>
      <c r="N70" s="3" t="s">
        <v>19</v>
      </c>
      <c r="O70" s="6">
        <v>0</v>
      </c>
      <c r="P70" s="6">
        <f>J70-L70</f>
        <v>25000</v>
      </c>
    </row>
    <row r="71" ht="18" customHeight="1" spans="1:16" x14ac:dyDescent="0.25">
      <c r="A71" s="7" t="s">
        <v>34</v>
      </c>
      <c r="B71" s="7"/>
      <c r="C71" s="7"/>
      <c r="D71" s="7"/>
      <c r="E71" s="7"/>
      <c r="F71" s="7"/>
      <c r="G71" s="7"/>
      <c r="H71" s="8">
        <f>SUM(H37:H70)</f>
        <v>39</v>
      </c>
      <c r="I71" s="7"/>
      <c r="J71" s="9">
        <f>SUM(J37:J70)</f>
        <v>1127000</v>
      </c>
      <c r="K71" s="9">
        <f>SUM(K37:K70)</f>
        <v>0</v>
      </c>
      <c r="L71" s="9">
        <f>SUM(L37:L70)</f>
        <v>0</v>
      </c>
      <c r="M71" s="9">
        <f>SUM(M37:M70)</f>
        <v>0</v>
      </c>
      <c r="N71" s="7"/>
      <c r="O71" s="9">
        <f>SUM(O37:O70)</f>
        <v>0</v>
      </c>
      <c r="P71" s="9">
        <f>SUM(P37:P70)</f>
        <v>1127000</v>
      </c>
    </row>
  </sheetData>
  <mergeCells count="4">
    <mergeCell ref="A1:P1"/>
    <mergeCell ref="A31:G31"/>
    <mergeCell ref="A35:P35"/>
    <mergeCell ref="A71:G71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6"/>
  <sheetViews>
    <sheetView workbookViewId="0" zoomScale="90"/>
  </sheetViews>
  <sheetFormatPr defaultRowHeight="15.75" outlineLevelRow="0" outlineLevelCol="0" x14ac:dyDescent="55" customHeight="1"/>
  <cols>
    <col min="1" max="1" width="16.75" customWidth="1"/>
    <col min="2" max="2" width="17.375" customWidth="1"/>
    <col min="3" max="4" width="8.43" customWidth="1"/>
    <col min="6" max="6" width="8.43" customWidth="1"/>
    <col min="7" max="7" width="22.75" customWidth="1"/>
    <col min="9" max="9" width="10.625" customWidth="1"/>
    <col min="10" max="10" width="9.625" customWidth="1"/>
    <col min="14" max="14" width="18.125" customWidth="1"/>
    <col min="16" max="16" width="10.5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246</v>
      </c>
      <c r="B3" s="4" t="s">
        <v>247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248</v>
      </c>
      <c r="H3" s="5">
        <v>1</v>
      </c>
      <c r="I3" s="3" t="s">
        <v>19</v>
      </c>
      <c r="J3" s="6">
        <v>15000</v>
      </c>
      <c r="K3" s="6">
        <v>0</v>
      </c>
      <c r="L3" s="6">
        <v>4527.77</v>
      </c>
      <c r="M3" s="6">
        <v>0</v>
      </c>
      <c r="N3" s="3" t="s">
        <v>19</v>
      </c>
      <c r="O3" s="6">
        <v>0</v>
      </c>
      <c r="P3" s="6">
        <f>J3-L3</f>
        <v>10472.23</v>
      </c>
    </row>
    <row r="4" spans="1:16" x14ac:dyDescent="0.25">
      <c r="A4" s="3" t="s">
        <v>249</v>
      </c>
      <c r="B4" s="4" t="s">
        <v>250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251</v>
      </c>
      <c r="H4" s="5">
        <v>1</v>
      </c>
      <c r="I4" s="3" t="s">
        <v>19</v>
      </c>
      <c r="J4" s="6">
        <v>12000</v>
      </c>
      <c r="K4" s="6">
        <v>0</v>
      </c>
      <c r="L4" s="6">
        <v>6250</v>
      </c>
      <c r="M4" s="6">
        <v>0</v>
      </c>
      <c r="N4" s="3" t="s">
        <v>19</v>
      </c>
      <c r="O4" s="6">
        <v>0</v>
      </c>
      <c r="P4" s="6">
        <f>J4-L4</f>
        <v>5750</v>
      </c>
    </row>
    <row r="5" spans="1:16" x14ac:dyDescent="0.25">
      <c r="A5" s="3" t="s">
        <v>148</v>
      </c>
      <c r="B5" s="4" t="s">
        <v>149</v>
      </c>
      <c r="C5" s="3" t="s">
        <v>19</v>
      </c>
      <c r="D5" s="3" t="s">
        <v>19</v>
      </c>
      <c r="E5" s="3" t="s">
        <v>20</v>
      </c>
      <c r="F5" s="3" t="s">
        <v>19</v>
      </c>
      <c r="G5" s="3" t="s">
        <v>248</v>
      </c>
      <c r="H5" s="5">
        <v>1</v>
      </c>
      <c r="I5" s="3" t="s">
        <v>19</v>
      </c>
      <c r="J5" s="6">
        <v>15000</v>
      </c>
      <c r="K5" s="6">
        <v>0</v>
      </c>
      <c r="L5" s="6">
        <v>4527.77</v>
      </c>
      <c r="M5" s="6">
        <v>0</v>
      </c>
      <c r="N5" s="3" t="s">
        <v>19</v>
      </c>
      <c r="O5" s="6">
        <v>0</v>
      </c>
      <c r="P5" s="6">
        <f>J5-L5</f>
        <v>10472.23</v>
      </c>
    </row>
    <row r="6" spans="1:16" x14ac:dyDescent="0.25">
      <c r="A6" s="3" t="s">
        <v>252</v>
      </c>
      <c r="B6" s="4" t="s">
        <v>253</v>
      </c>
      <c r="C6" s="3" t="s">
        <v>19</v>
      </c>
      <c r="D6" s="3" t="s">
        <v>19</v>
      </c>
      <c r="E6" s="3" t="s">
        <v>20</v>
      </c>
      <c r="F6" s="3" t="s">
        <v>19</v>
      </c>
      <c r="G6" s="3" t="s">
        <v>248</v>
      </c>
      <c r="H6" s="5">
        <v>1</v>
      </c>
      <c r="I6" s="3" t="s">
        <v>19</v>
      </c>
      <c r="J6" s="6">
        <v>15000</v>
      </c>
      <c r="K6" s="6">
        <v>0</v>
      </c>
      <c r="L6" s="6">
        <v>4527.77</v>
      </c>
      <c r="M6" s="6">
        <v>0</v>
      </c>
      <c r="N6" s="3" t="s">
        <v>19</v>
      </c>
      <c r="O6" s="6">
        <v>0</v>
      </c>
      <c r="P6" s="6">
        <f>J6-L6</f>
        <v>10472.23</v>
      </c>
    </row>
    <row r="7" spans="1:16" x14ac:dyDescent="0.25">
      <c r="A7" s="3" t="s">
        <v>254</v>
      </c>
      <c r="B7" s="4" t="s">
        <v>255</v>
      </c>
      <c r="C7" s="3" t="s">
        <v>19</v>
      </c>
      <c r="D7" s="3" t="s">
        <v>19</v>
      </c>
      <c r="E7" s="3" t="s">
        <v>20</v>
      </c>
      <c r="F7" s="3" t="s">
        <v>19</v>
      </c>
      <c r="G7" s="3" t="s">
        <v>248</v>
      </c>
      <c r="H7" s="5">
        <v>1</v>
      </c>
      <c r="I7" s="3" t="s">
        <v>19</v>
      </c>
      <c r="J7" s="6">
        <v>15000</v>
      </c>
      <c r="K7" s="6">
        <v>0</v>
      </c>
      <c r="L7" s="6">
        <v>4527.77</v>
      </c>
      <c r="M7" s="6">
        <v>0</v>
      </c>
      <c r="N7" s="3" t="s">
        <v>19</v>
      </c>
      <c r="O7" s="6">
        <v>0</v>
      </c>
      <c r="P7" s="6">
        <f>J7-L7</f>
        <v>10472.23</v>
      </c>
    </row>
    <row r="8" spans="1:16" x14ac:dyDescent="0.25">
      <c r="A8" s="3" t="s">
        <v>256</v>
      </c>
      <c r="B8" s="4" t="s">
        <v>257</v>
      </c>
      <c r="C8" s="3" t="s">
        <v>19</v>
      </c>
      <c r="D8" s="3" t="s">
        <v>19</v>
      </c>
      <c r="E8" s="3" t="s">
        <v>20</v>
      </c>
      <c r="F8" s="3" t="s">
        <v>19</v>
      </c>
      <c r="G8" s="3" t="s">
        <v>248</v>
      </c>
      <c r="H8" s="5">
        <v>1</v>
      </c>
      <c r="I8" s="3" t="s">
        <v>19</v>
      </c>
      <c r="J8" s="6">
        <v>15000</v>
      </c>
      <c r="K8" s="6">
        <v>0</v>
      </c>
      <c r="L8" s="6">
        <v>4527.77</v>
      </c>
      <c r="M8" s="6">
        <v>0</v>
      </c>
      <c r="N8" s="3" t="s">
        <v>19</v>
      </c>
      <c r="O8" s="6">
        <v>0</v>
      </c>
      <c r="P8" s="6">
        <f>J8-L8</f>
        <v>10472.23</v>
      </c>
    </row>
    <row r="9" spans="1:16" x14ac:dyDescent="0.25">
      <c r="A9" s="3" t="s">
        <v>258</v>
      </c>
      <c r="B9" s="4" t="s">
        <v>259</v>
      </c>
      <c r="C9" s="3" t="s">
        <v>19</v>
      </c>
      <c r="D9" s="3" t="s">
        <v>19</v>
      </c>
      <c r="E9" s="3" t="s">
        <v>20</v>
      </c>
      <c r="F9" s="3" t="s">
        <v>19</v>
      </c>
      <c r="G9" s="3" t="s">
        <v>248</v>
      </c>
      <c r="H9" s="5">
        <v>1</v>
      </c>
      <c r="I9" s="3" t="s">
        <v>19</v>
      </c>
      <c r="J9" s="6">
        <v>15000</v>
      </c>
      <c r="K9" s="6">
        <v>0</v>
      </c>
      <c r="L9" s="6">
        <v>4527.77</v>
      </c>
      <c r="M9" s="6">
        <v>0</v>
      </c>
      <c r="N9" s="3" t="s">
        <v>19</v>
      </c>
      <c r="O9" s="6">
        <v>0</v>
      </c>
      <c r="P9" s="6">
        <f>J9-L9</f>
        <v>10472.23</v>
      </c>
    </row>
    <row r="10" spans="1:16" x14ac:dyDescent="0.25">
      <c r="A10" s="3" t="s">
        <v>260</v>
      </c>
      <c r="B10" s="4" t="s">
        <v>261</v>
      </c>
      <c r="C10" s="3" t="s">
        <v>19</v>
      </c>
      <c r="D10" s="3" t="s">
        <v>19</v>
      </c>
      <c r="E10" s="3" t="s">
        <v>20</v>
      </c>
      <c r="F10" s="3" t="s">
        <v>19</v>
      </c>
      <c r="G10" s="3" t="s">
        <v>262</v>
      </c>
      <c r="H10" s="5">
        <v>1</v>
      </c>
      <c r="I10" s="3" t="s">
        <v>19</v>
      </c>
      <c r="J10" s="6">
        <v>10000</v>
      </c>
      <c r="K10" s="6">
        <v>0</v>
      </c>
      <c r="L10" s="6">
        <v>2087.18</v>
      </c>
      <c r="M10" s="6">
        <v>0</v>
      </c>
      <c r="N10" s="3" t="s">
        <v>19</v>
      </c>
      <c r="O10" s="6">
        <v>0</v>
      </c>
      <c r="P10" s="6">
        <f>J10-L10</f>
        <v>7912.82</v>
      </c>
    </row>
    <row r="11" spans="1:16" x14ac:dyDescent="0.25">
      <c r="A11" s="3" t="s">
        <v>263</v>
      </c>
      <c r="B11" s="4" t="s">
        <v>264</v>
      </c>
      <c r="C11" s="3" t="s">
        <v>19</v>
      </c>
      <c r="D11" s="3" t="s">
        <v>19</v>
      </c>
      <c r="E11" s="3" t="s">
        <v>20</v>
      </c>
      <c r="F11" s="3" t="s">
        <v>19</v>
      </c>
      <c r="G11" s="3" t="s">
        <v>248</v>
      </c>
      <c r="H11" s="5">
        <v>1</v>
      </c>
      <c r="I11" s="3" t="s">
        <v>19</v>
      </c>
      <c r="J11" s="6">
        <v>15000</v>
      </c>
      <c r="K11" s="6">
        <v>0</v>
      </c>
      <c r="L11" s="6">
        <v>4527.77</v>
      </c>
      <c r="M11" s="6">
        <v>0</v>
      </c>
      <c r="N11" s="3" t="s">
        <v>19</v>
      </c>
      <c r="O11" s="6">
        <v>0</v>
      </c>
      <c r="P11" s="6">
        <f>J11-L11</f>
        <v>10472.23</v>
      </c>
    </row>
    <row r="12" spans="1:16" x14ac:dyDescent="0.25">
      <c r="A12" s="3" t="s">
        <v>265</v>
      </c>
      <c r="B12" s="4" t="s">
        <v>266</v>
      </c>
      <c r="C12" s="3" t="s">
        <v>19</v>
      </c>
      <c r="D12" s="3" t="s">
        <v>19</v>
      </c>
      <c r="E12" s="3" t="s">
        <v>20</v>
      </c>
      <c r="F12" s="3" t="s">
        <v>19</v>
      </c>
      <c r="G12" s="3" t="s">
        <v>248</v>
      </c>
      <c r="H12" s="5">
        <v>1</v>
      </c>
      <c r="I12" s="3" t="s">
        <v>19</v>
      </c>
      <c r="J12" s="6">
        <v>15000</v>
      </c>
      <c r="K12" s="6">
        <v>0</v>
      </c>
      <c r="L12" s="6">
        <v>4527.77</v>
      </c>
      <c r="M12" s="6">
        <v>0</v>
      </c>
      <c r="N12" s="3" t="s">
        <v>19</v>
      </c>
      <c r="O12" s="6">
        <v>0</v>
      </c>
      <c r="P12" s="6">
        <f>J12-L12</f>
        <v>10472.23</v>
      </c>
    </row>
    <row r="13" spans="1:16" x14ac:dyDescent="0.25">
      <c r="A13" s="3" t="s">
        <v>267</v>
      </c>
      <c r="B13" s="4" t="s">
        <v>268</v>
      </c>
      <c r="C13" s="3" t="s">
        <v>19</v>
      </c>
      <c r="D13" s="3" t="s">
        <v>19</v>
      </c>
      <c r="E13" s="3" t="s">
        <v>20</v>
      </c>
      <c r="F13" s="3" t="s">
        <v>19</v>
      </c>
      <c r="G13" s="3" t="s">
        <v>248</v>
      </c>
      <c r="H13" s="5">
        <v>1</v>
      </c>
      <c r="I13" s="3" t="s">
        <v>19</v>
      </c>
      <c r="J13" s="6">
        <v>15000</v>
      </c>
      <c r="K13" s="6">
        <v>0</v>
      </c>
      <c r="L13" s="6">
        <v>4527.77</v>
      </c>
      <c r="M13" s="6">
        <v>0</v>
      </c>
      <c r="N13" s="3" t="s">
        <v>19</v>
      </c>
      <c r="O13" s="6">
        <v>0</v>
      </c>
      <c r="P13" s="6">
        <f>J13-L13</f>
        <v>10472.23</v>
      </c>
    </row>
    <row r="14" spans="1:16" x14ac:dyDescent="0.25">
      <c r="A14" s="3" t="s">
        <v>269</v>
      </c>
      <c r="B14" s="4" t="s">
        <v>270</v>
      </c>
      <c r="C14" s="3" t="s">
        <v>19</v>
      </c>
      <c r="D14" s="3" t="s">
        <v>19</v>
      </c>
      <c r="E14" s="3" t="s">
        <v>20</v>
      </c>
      <c r="F14" s="3" t="s">
        <v>19</v>
      </c>
      <c r="G14" s="3" t="s">
        <v>262</v>
      </c>
      <c r="H14" s="5">
        <v>1</v>
      </c>
      <c r="I14" s="3" t="s">
        <v>19</v>
      </c>
      <c r="J14" s="6">
        <v>10000</v>
      </c>
      <c r="K14" s="6">
        <v>0</v>
      </c>
      <c r="L14" s="6">
        <v>2087.18</v>
      </c>
      <c r="M14" s="6">
        <v>0</v>
      </c>
      <c r="N14" s="3" t="s">
        <v>19</v>
      </c>
      <c r="O14" s="6">
        <v>0</v>
      </c>
      <c r="P14" s="6">
        <f>J14-L14</f>
        <v>7912.82</v>
      </c>
    </row>
    <row r="15" spans="1:16" x14ac:dyDescent="0.25">
      <c r="A15" s="3" t="s">
        <v>271</v>
      </c>
      <c r="B15" s="4" t="s">
        <v>272</v>
      </c>
      <c r="C15" s="3" t="s">
        <v>19</v>
      </c>
      <c r="D15" s="3" t="s">
        <v>19</v>
      </c>
      <c r="E15" s="3" t="s">
        <v>20</v>
      </c>
      <c r="F15" s="3" t="s">
        <v>19</v>
      </c>
      <c r="G15" s="3" t="s">
        <v>248</v>
      </c>
      <c r="H15" s="5">
        <v>1</v>
      </c>
      <c r="I15" s="3" t="s">
        <v>19</v>
      </c>
      <c r="J15" s="6">
        <v>15000</v>
      </c>
      <c r="K15" s="6">
        <v>0</v>
      </c>
      <c r="L15" s="6">
        <v>4527.77</v>
      </c>
      <c r="M15" s="6">
        <v>0</v>
      </c>
      <c r="N15" s="3" t="s">
        <v>19</v>
      </c>
      <c r="O15" s="6">
        <v>0</v>
      </c>
      <c r="P15" s="6">
        <f>J15-L15</f>
        <v>10472.23</v>
      </c>
    </row>
    <row r="16" spans="1:16" x14ac:dyDescent="0.25">
      <c r="A16" s="3" t="s">
        <v>273</v>
      </c>
      <c r="B16" s="4" t="s">
        <v>274</v>
      </c>
      <c r="C16" s="3" t="s">
        <v>19</v>
      </c>
      <c r="D16" s="3" t="s">
        <v>19</v>
      </c>
      <c r="E16" s="3" t="s">
        <v>20</v>
      </c>
      <c r="F16" s="3" t="s">
        <v>19</v>
      </c>
      <c r="G16" s="3" t="s">
        <v>248</v>
      </c>
      <c r="H16" s="5">
        <v>1</v>
      </c>
      <c r="I16" s="3" t="s">
        <v>19</v>
      </c>
      <c r="J16" s="6">
        <v>15000</v>
      </c>
      <c r="K16" s="6">
        <v>0</v>
      </c>
      <c r="L16" s="6">
        <v>4527.77</v>
      </c>
      <c r="M16" s="6">
        <v>0</v>
      </c>
      <c r="N16" s="3" t="s">
        <v>19</v>
      </c>
      <c r="O16" s="6">
        <v>0</v>
      </c>
      <c r="P16" s="6">
        <f>J16-L16</f>
        <v>10472.23</v>
      </c>
    </row>
    <row r="17" spans="1:16" x14ac:dyDescent="0.25">
      <c r="A17" s="3" t="s">
        <v>275</v>
      </c>
      <c r="B17" s="4" t="s">
        <v>276</v>
      </c>
      <c r="C17" s="3" t="s">
        <v>19</v>
      </c>
      <c r="D17" s="3" t="s">
        <v>19</v>
      </c>
      <c r="E17" s="3" t="s">
        <v>20</v>
      </c>
      <c r="F17" s="3" t="s">
        <v>19</v>
      </c>
      <c r="G17" s="3" t="s">
        <v>248</v>
      </c>
      <c r="H17" s="5">
        <v>1</v>
      </c>
      <c r="I17" s="3" t="s">
        <v>19</v>
      </c>
      <c r="J17" s="6">
        <v>15000</v>
      </c>
      <c r="K17" s="6">
        <v>0</v>
      </c>
      <c r="L17" s="6">
        <v>4527.77</v>
      </c>
      <c r="M17" s="6">
        <v>0</v>
      </c>
      <c r="N17" s="3" t="s">
        <v>19</v>
      </c>
      <c r="O17" s="6">
        <v>0</v>
      </c>
      <c r="P17" s="6">
        <f>J17-L17</f>
        <v>10472.23</v>
      </c>
    </row>
    <row r="18" spans="1:16" x14ac:dyDescent="0.25">
      <c r="A18" s="3" t="s">
        <v>182</v>
      </c>
      <c r="B18" s="4" t="s">
        <v>183</v>
      </c>
      <c r="C18" s="3" t="s">
        <v>19</v>
      </c>
      <c r="D18" s="3" t="s">
        <v>19</v>
      </c>
      <c r="E18" s="3" t="s">
        <v>20</v>
      </c>
      <c r="F18" s="3" t="s">
        <v>19</v>
      </c>
      <c r="G18" s="3" t="s">
        <v>262</v>
      </c>
      <c r="H18" s="5">
        <v>1</v>
      </c>
      <c r="I18" s="3" t="s">
        <v>19</v>
      </c>
      <c r="J18" s="6">
        <v>10000</v>
      </c>
      <c r="K18" s="6">
        <v>0</v>
      </c>
      <c r="L18" s="6">
        <v>2087.18</v>
      </c>
      <c r="M18" s="6">
        <v>0</v>
      </c>
      <c r="N18" s="3" t="s">
        <v>19</v>
      </c>
      <c r="O18" s="6">
        <v>0</v>
      </c>
      <c r="P18" s="6">
        <f>J18-L18</f>
        <v>7912.82</v>
      </c>
    </row>
    <row r="19" spans="1:16" x14ac:dyDescent="0.25">
      <c r="A19" s="3" t="s">
        <v>182</v>
      </c>
      <c r="B19" s="4" t="s">
        <v>183</v>
      </c>
      <c r="C19" s="3" t="s">
        <v>19</v>
      </c>
      <c r="D19" s="3" t="s">
        <v>19</v>
      </c>
      <c r="E19" s="3" t="s">
        <v>20</v>
      </c>
      <c r="F19" s="3" t="s">
        <v>19</v>
      </c>
      <c r="G19" s="3" t="s">
        <v>248</v>
      </c>
      <c r="H19" s="5">
        <v>1</v>
      </c>
      <c r="I19" s="3" t="s">
        <v>19</v>
      </c>
      <c r="J19" s="6">
        <v>15000</v>
      </c>
      <c r="K19" s="6">
        <v>0</v>
      </c>
      <c r="L19" s="6">
        <v>4527.77</v>
      </c>
      <c r="M19" s="6">
        <v>0</v>
      </c>
      <c r="N19" s="3" t="s">
        <v>19</v>
      </c>
      <c r="O19" s="6">
        <v>0</v>
      </c>
      <c r="P19" s="6">
        <f>J19-L19</f>
        <v>10472.23</v>
      </c>
    </row>
    <row r="20" spans="1:16" x14ac:dyDescent="0.25">
      <c r="A20" s="3" t="s">
        <v>182</v>
      </c>
      <c r="B20" s="4" t="s">
        <v>183</v>
      </c>
      <c r="C20" s="3" t="s">
        <v>19</v>
      </c>
      <c r="D20" s="3" t="s">
        <v>19</v>
      </c>
      <c r="E20" s="3" t="s">
        <v>20</v>
      </c>
      <c r="F20" s="3" t="s">
        <v>19</v>
      </c>
      <c r="G20" s="3" t="s">
        <v>277</v>
      </c>
      <c r="H20" s="5">
        <v>1</v>
      </c>
      <c r="I20" s="3" t="s">
        <v>19</v>
      </c>
      <c r="J20" s="6">
        <v>12000</v>
      </c>
      <c r="K20" s="6">
        <v>0</v>
      </c>
      <c r="L20" s="6">
        <v>6250</v>
      </c>
      <c r="M20" s="6">
        <v>0</v>
      </c>
      <c r="N20" s="3" t="s">
        <v>19</v>
      </c>
      <c r="O20" s="6">
        <v>0</v>
      </c>
      <c r="P20" s="6">
        <f>J20-L20</f>
        <v>5750</v>
      </c>
    </row>
    <row r="21" spans="1:16" x14ac:dyDescent="0.25">
      <c r="A21" s="3" t="s">
        <v>182</v>
      </c>
      <c r="B21" s="4" t="s">
        <v>183</v>
      </c>
      <c r="C21" s="3" t="s">
        <v>19</v>
      </c>
      <c r="D21" s="3" t="s">
        <v>19</v>
      </c>
      <c r="E21" s="3" t="s">
        <v>20</v>
      </c>
      <c r="F21" s="3" t="s">
        <v>19</v>
      </c>
      <c r="G21" s="3" t="s">
        <v>251</v>
      </c>
      <c r="H21" s="5">
        <v>6</v>
      </c>
      <c r="I21" s="3" t="s">
        <v>19</v>
      </c>
      <c r="J21" s="6">
        <v>72000</v>
      </c>
      <c r="K21" s="6">
        <v>0</v>
      </c>
      <c r="L21" s="6">
        <v>37500</v>
      </c>
      <c r="M21" s="6">
        <v>0</v>
      </c>
      <c r="N21" s="3" t="s">
        <v>19</v>
      </c>
      <c r="O21" s="6">
        <v>0</v>
      </c>
      <c r="P21" s="6">
        <f>J21-L21</f>
        <v>34500</v>
      </c>
    </row>
    <row r="22" spans="1:16" x14ac:dyDescent="0.25">
      <c r="A22" s="3" t="s">
        <v>278</v>
      </c>
      <c r="B22" s="4" t="s">
        <v>279</v>
      </c>
      <c r="C22" s="3" t="s">
        <v>19</v>
      </c>
      <c r="D22" s="3" t="s">
        <v>19</v>
      </c>
      <c r="E22" s="3" t="s">
        <v>25</v>
      </c>
      <c r="F22" s="3" t="s">
        <v>19</v>
      </c>
      <c r="G22" s="3" t="s">
        <v>251</v>
      </c>
      <c r="H22" s="5">
        <v>1</v>
      </c>
      <c r="I22" s="3" t="s">
        <v>19</v>
      </c>
      <c r="J22" s="6">
        <v>12000</v>
      </c>
      <c r="K22" s="6">
        <v>0</v>
      </c>
      <c r="L22" s="6">
        <v>6250</v>
      </c>
      <c r="M22" s="6">
        <v>0</v>
      </c>
      <c r="N22" s="3" t="s">
        <v>19</v>
      </c>
      <c r="O22" s="6">
        <v>0</v>
      </c>
      <c r="P22" s="6">
        <f>J22-L22</f>
        <v>5750</v>
      </c>
    </row>
    <row r="23" spans="1:16" x14ac:dyDescent="0.25">
      <c r="A23" s="3" t="s">
        <v>280</v>
      </c>
      <c r="B23" s="4" t="s">
        <v>281</v>
      </c>
      <c r="C23" s="3" t="s">
        <v>19</v>
      </c>
      <c r="D23" s="3" t="s">
        <v>19</v>
      </c>
      <c r="E23" s="3" t="s">
        <v>25</v>
      </c>
      <c r="F23" s="3" t="s">
        <v>19</v>
      </c>
      <c r="G23" s="3" t="s">
        <v>282</v>
      </c>
      <c r="H23" s="5">
        <v>1</v>
      </c>
      <c r="I23" s="3" t="s">
        <v>19</v>
      </c>
      <c r="J23" s="6">
        <v>20000</v>
      </c>
      <c r="K23" s="6">
        <v>0</v>
      </c>
      <c r="L23" s="6">
        <v>10250</v>
      </c>
      <c r="M23" s="6">
        <v>0</v>
      </c>
      <c r="N23" s="3" t="s">
        <v>19</v>
      </c>
      <c r="O23" s="6">
        <v>0</v>
      </c>
      <c r="P23" s="6">
        <f>J23-L23</f>
        <v>9750</v>
      </c>
    </row>
    <row r="24" spans="1:16" x14ac:dyDescent="0.25">
      <c r="A24" s="3" t="s">
        <v>85</v>
      </c>
      <c r="B24" s="4" t="s">
        <v>86</v>
      </c>
      <c r="C24" s="3" t="s">
        <v>19</v>
      </c>
      <c r="D24" s="3" t="s">
        <v>19</v>
      </c>
      <c r="E24" s="3" t="s">
        <v>25</v>
      </c>
      <c r="F24" s="3" t="s">
        <v>19</v>
      </c>
      <c r="G24" s="3" t="s">
        <v>251</v>
      </c>
      <c r="H24" s="5">
        <v>3</v>
      </c>
      <c r="I24" s="3" t="s">
        <v>19</v>
      </c>
      <c r="J24" s="6">
        <v>36000</v>
      </c>
      <c r="K24" s="6">
        <v>0</v>
      </c>
      <c r="L24" s="6">
        <v>18750</v>
      </c>
      <c r="M24" s="6">
        <v>0</v>
      </c>
      <c r="N24" s="3" t="s">
        <v>19</v>
      </c>
      <c r="O24" s="6">
        <v>0</v>
      </c>
      <c r="P24" s="6">
        <f>J24-L24</f>
        <v>17250</v>
      </c>
    </row>
    <row r="25" spans="1:16" x14ac:dyDescent="0.25">
      <c r="A25" s="3" t="s">
        <v>85</v>
      </c>
      <c r="B25" s="4" t="s">
        <v>86</v>
      </c>
      <c r="C25" s="3" t="s">
        <v>19</v>
      </c>
      <c r="D25" s="3" t="s">
        <v>19</v>
      </c>
      <c r="E25" s="3" t="s">
        <v>25</v>
      </c>
      <c r="F25" s="3" t="s">
        <v>19</v>
      </c>
      <c r="G25" s="3" t="s">
        <v>262</v>
      </c>
      <c r="H25" s="5">
        <v>1</v>
      </c>
      <c r="I25" s="3" t="s">
        <v>19</v>
      </c>
      <c r="J25" s="6">
        <v>10000</v>
      </c>
      <c r="K25" s="6">
        <v>0</v>
      </c>
      <c r="L25" s="6">
        <v>2087.18</v>
      </c>
      <c r="M25" s="6">
        <v>0</v>
      </c>
      <c r="N25" s="3" t="s">
        <v>19</v>
      </c>
      <c r="O25" s="6">
        <v>0</v>
      </c>
      <c r="P25" s="6">
        <f>J25-L25</f>
        <v>7912.82</v>
      </c>
    </row>
    <row r="26" spans="1:16" x14ac:dyDescent="0.25">
      <c r="A26" s="3" t="s">
        <v>283</v>
      </c>
      <c r="B26" s="4" t="s">
        <v>284</v>
      </c>
      <c r="C26" s="3" t="s">
        <v>19</v>
      </c>
      <c r="D26" s="3" t="s">
        <v>19</v>
      </c>
      <c r="E26" s="3" t="s">
        <v>25</v>
      </c>
      <c r="F26" s="3" t="s">
        <v>19</v>
      </c>
      <c r="G26" s="3" t="s">
        <v>262</v>
      </c>
      <c r="H26" s="5">
        <v>1</v>
      </c>
      <c r="I26" s="3" t="s">
        <v>19</v>
      </c>
      <c r="J26" s="6">
        <v>10000</v>
      </c>
      <c r="K26" s="6">
        <v>0</v>
      </c>
      <c r="L26" s="6">
        <v>2087.18</v>
      </c>
      <c r="M26" s="6">
        <v>0</v>
      </c>
      <c r="N26" s="3" t="s">
        <v>19</v>
      </c>
      <c r="O26" s="6">
        <v>0</v>
      </c>
      <c r="P26" s="6">
        <f>J26-L26</f>
        <v>7912.82</v>
      </c>
    </row>
    <row r="27" spans="1:16" x14ac:dyDescent="0.25">
      <c r="A27" s="3" t="s">
        <v>283</v>
      </c>
      <c r="B27" s="4" t="s">
        <v>284</v>
      </c>
      <c r="C27" s="3" t="s">
        <v>19</v>
      </c>
      <c r="D27" s="3" t="s">
        <v>19</v>
      </c>
      <c r="E27" s="3" t="s">
        <v>25</v>
      </c>
      <c r="F27" s="3" t="s">
        <v>19</v>
      </c>
      <c r="G27" s="3" t="s">
        <v>277</v>
      </c>
      <c r="H27" s="5">
        <v>1</v>
      </c>
      <c r="I27" s="3" t="s">
        <v>19</v>
      </c>
      <c r="J27" s="6">
        <v>12000</v>
      </c>
      <c r="K27" s="6">
        <v>0</v>
      </c>
      <c r="L27" s="6">
        <v>6250</v>
      </c>
      <c r="M27" s="6">
        <v>0</v>
      </c>
      <c r="N27" s="3" t="s">
        <v>19</v>
      </c>
      <c r="O27" s="6">
        <v>0</v>
      </c>
      <c r="P27" s="6">
        <f>J27-L27</f>
        <v>5750</v>
      </c>
    </row>
    <row r="28" spans="1:16" x14ac:dyDescent="0.25">
      <c r="A28" s="3" t="s">
        <v>285</v>
      </c>
      <c r="B28" s="4" t="s">
        <v>286</v>
      </c>
      <c r="C28" s="3" t="s">
        <v>19</v>
      </c>
      <c r="D28" s="3" t="s">
        <v>19</v>
      </c>
      <c r="E28" s="3" t="s">
        <v>25</v>
      </c>
      <c r="F28" s="3" t="s">
        <v>19</v>
      </c>
      <c r="G28" s="3" t="s">
        <v>251</v>
      </c>
      <c r="H28" s="5">
        <v>2</v>
      </c>
      <c r="I28" s="3" t="s">
        <v>19</v>
      </c>
      <c r="J28" s="6">
        <v>24000</v>
      </c>
      <c r="K28" s="6">
        <v>0</v>
      </c>
      <c r="L28" s="6">
        <v>12500</v>
      </c>
      <c r="M28" s="6">
        <v>0</v>
      </c>
      <c r="N28" s="3" t="s">
        <v>19</v>
      </c>
      <c r="O28" s="6">
        <v>0</v>
      </c>
      <c r="P28" s="6">
        <f>J28-L28</f>
        <v>11500</v>
      </c>
    </row>
    <row r="29" spans="1:16" x14ac:dyDescent="0.25">
      <c r="A29" s="3" t="s">
        <v>287</v>
      </c>
      <c r="B29" s="4" t="s">
        <v>288</v>
      </c>
      <c r="C29" s="3" t="s">
        <v>19</v>
      </c>
      <c r="D29" s="3" t="s">
        <v>19</v>
      </c>
      <c r="E29" s="3" t="s">
        <v>25</v>
      </c>
      <c r="F29" s="3" t="s">
        <v>19</v>
      </c>
      <c r="G29" s="3" t="s">
        <v>248</v>
      </c>
      <c r="H29" s="5">
        <v>1</v>
      </c>
      <c r="I29" s="3" t="s">
        <v>19</v>
      </c>
      <c r="J29" s="6">
        <v>15000</v>
      </c>
      <c r="K29" s="6">
        <v>0</v>
      </c>
      <c r="L29" s="6">
        <v>4527.77</v>
      </c>
      <c r="M29" s="6">
        <v>0</v>
      </c>
      <c r="N29" s="3" t="s">
        <v>19</v>
      </c>
      <c r="O29" s="6">
        <v>0</v>
      </c>
      <c r="P29" s="6">
        <f>J29-L29</f>
        <v>10472.23</v>
      </c>
    </row>
    <row r="30" spans="1:16" x14ac:dyDescent="0.25">
      <c r="A30" s="3" t="s">
        <v>289</v>
      </c>
      <c r="B30" s="4" t="s">
        <v>290</v>
      </c>
      <c r="C30" s="3" t="s">
        <v>19</v>
      </c>
      <c r="D30" s="3" t="s">
        <v>19</v>
      </c>
      <c r="E30" s="3" t="s">
        <v>25</v>
      </c>
      <c r="F30" s="3" t="s">
        <v>19</v>
      </c>
      <c r="G30" s="3" t="s">
        <v>248</v>
      </c>
      <c r="H30" s="5">
        <v>1</v>
      </c>
      <c r="I30" s="3" t="s">
        <v>19</v>
      </c>
      <c r="J30" s="6">
        <v>15000</v>
      </c>
      <c r="K30" s="6">
        <v>0</v>
      </c>
      <c r="L30" s="6">
        <v>4527.77</v>
      </c>
      <c r="M30" s="6">
        <v>0</v>
      </c>
      <c r="N30" s="3" t="s">
        <v>19</v>
      </c>
      <c r="O30" s="6">
        <v>0</v>
      </c>
      <c r="P30" s="6">
        <f>J30-L30</f>
        <v>10472.23</v>
      </c>
    </row>
    <row r="31" spans="1:16" x14ac:dyDescent="0.25">
      <c r="A31" s="3" t="s">
        <v>289</v>
      </c>
      <c r="B31" s="4" t="s">
        <v>290</v>
      </c>
      <c r="C31" s="3" t="s">
        <v>19</v>
      </c>
      <c r="D31" s="3" t="s">
        <v>19</v>
      </c>
      <c r="E31" s="3" t="s">
        <v>25</v>
      </c>
      <c r="F31" s="3" t="s">
        <v>19</v>
      </c>
      <c r="G31" s="3" t="s">
        <v>277</v>
      </c>
      <c r="H31" s="5">
        <v>1</v>
      </c>
      <c r="I31" s="3" t="s">
        <v>19</v>
      </c>
      <c r="J31" s="6">
        <v>12000</v>
      </c>
      <c r="K31" s="6">
        <v>0</v>
      </c>
      <c r="L31" s="6">
        <v>6250</v>
      </c>
      <c r="M31" s="6">
        <v>0</v>
      </c>
      <c r="N31" s="3" t="s">
        <v>19</v>
      </c>
      <c r="O31" s="6">
        <v>0</v>
      </c>
      <c r="P31" s="6">
        <f>J31-L31</f>
        <v>5750</v>
      </c>
    </row>
    <row r="32" spans="1:16" x14ac:dyDescent="0.25">
      <c r="A32" s="3" t="s">
        <v>291</v>
      </c>
      <c r="B32" s="4" t="s">
        <v>292</v>
      </c>
      <c r="C32" s="3" t="s">
        <v>19</v>
      </c>
      <c r="D32" s="3" t="s">
        <v>19</v>
      </c>
      <c r="E32" s="3" t="s">
        <v>25</v>
      </c>
      <c r="F32" s="3" t="s">
        <v>19</v>
      </c>
      <c r="G32" s="3" t="s">
        <v>248</v>
      </c>
      <c r="H32" s="5">
        <v>1</v>
      </c>
      <c r="I32" s="3" t="s">
        <v>19</v>
      </c>
      <c r="J32" s="6">
        <v>15000</v>
      </c>
      <c r="K32" s="6">
        <v>0</v>
      </c>
      <c r="L32" s="6">
        <v>4527.77</v>
      </c>
      <c r="M32" s="6">
        <v>0</v>
      </c>
      <c r="N32" s="3" t="s">
        <v>19</v>
      </c>
      <c r="O32" s="6">
        <v>0</v>
      </c>
      <c r="P32" s="6">
        <f>J32-L32</f>
        <v>10472.23</v>
      </c>
    </row>
    <row r="33" spans="1:16" x14ac:dyDescent="0.25">
      <c r="A33" s="3" t="s">
        <v>293</v>
      </c>
      <c r="B33" s="4" t="s">
        <v>294</v>
      </c>
      <c r="C33" s="3" t="s">
        <v>19</v>
      </c>
      <c r="D33" s="3" t="s">
        <v>19</v>
      </c>
      <c r="E33" s="3" t="s">
        <v>25</v>
      </c>
      <c r="F33" s="3" t="s">
        <v>19</v>
      </c>
      <c r="G33" s="3" t="s">
        <v>282</v>
      </c>
      <c r="H33" s="5">
        <v>1</v>
      </c>
      <c r="I33" s="3" t="s">
        <v>19</v>
      </c>
      <c r="J33" s="6">
        <v>20000</v>
      </c>
      <c r="K33" s="6">
        <v>0</v>
      </c>
      <c r="L33" s="6">
        <v>10250</v>
      </c>
      <c r="M33" s="6">
        <v>0</v>
      </c>
      <c r="N33" s="3" t="s">
        <v>19</v>
      </c>
      <c r="O33" s="6">
        <v>0</v>
      </c>
      <c r="P33" s="6">
        <f>J33-L33</f>
        <v>9750</v>
      </c>
    </row>
    <row r="34" spans="1:16" x14ac:dyDescent="0.25">
      <c r="A34" s="3" t="s">
        <v>295</v>
      </c>
      <c r="B34" s="4" t="s">
        <v>296</v>
      </c>
      <c r="C34" s="3" t="s">
        <v>19</v>
      </c>
      <c r="D34" s="3" t="s">
        <v>19</v>
      </c>
      <c r="E34" s="3" t="s">
        <v>25</v>
      </c>
      <c r="F34" s="3" t="s">
        <v>19</v>
      </c>
      <c r="G34" s="3" t="s">
        <v>251</v>
      </c>
      <c r="H34" s="5">
        <v>1</v>
      </c>
      <c r="I34" s="3" t="s">
        <v>19</v>
      </c>
      <c r="J34" s="6">
        <v>12000</v>
      </c>
      <c r="K34" s="6">
        <v>0</v>
      </c>
      <c r="L34" s="6">
        <v>6250</v>
      </c>
      <c r="M34" s="6">
        <v>0</v>
      </c>
      <c r="N34" s="3" t="s">
        <v>19</v>
      </c>
      <c r="O34" s="6">
        <v>0</v>
      </c>
      <c r="P34" s="6">
        <f>J34-L34</f>
        <v>5750</v>
      </c>
    </row>
    <row r="35" ht="18" customHeight="1" spans="1:16" x14ac:dyDescent="0.25">
      <c r="A35" s="7" t="s">
        <v>34</v>
      </c>
      <c r="B35" s="7"/>
      <c r="C35" s="7"/>
      <c r="D35" s="7"/>
      <c r="E35" s="7"/>
      <c r="F35" s="7"/>
      <c r="G35" s="7"/>
      <c r="H35" s="8">
        <f>SUM(H3:H34)</f>
        <v>40</v>
      </c>
      <c r="I35" s="7"/>
      <c r="J35" s="9">
        <f>SUM(J3:J34)</f>
        <v>534000</v>
      </c>
      <c r="K35" s="9">
        <f>SUM(K3:K34)</f>
        <v>0</v>
      </c>
      <c r="L35" s="9">
        <f>SUM(L3:L34)</f>
        <v>209630.21999999997</v>
      </c>
      <c r="M35" s="9">
        <f>SUM(M3:M34)</f>
        <v>0</v>
      </c>
      <c r="N35" s="7"/>
      <c r="O35" s="9">
        <f>SUM(O3:O34)</f>
        <v>0</v>
      </c>
      <c r="P35" s="9">
        <f>SUM(P3:P34)</f>
        <v>324369.7799999999</v>
      </c>
    </row>
    <row r="39" ht="15.75" customHeight="1" spans="1:16" x14ac:dyDescent="0.25">
      <c r="A39" s="1" t="s">
        <v>35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ht="39.4" customHeight="1" spans="1:16" x14ac:dyDescent="0.25">
      <c r="A40" s="2" t="s">
        <v>1</v>
      </c>
      <c r="B40" s="2" t="s">
        <v>2</v>
      </c>
      <c r="C40" s="2" t="s">
        <v>3</v>
      </c>
      <c r="D40" s="2" t="s">
        <v>4</v>
      </c>
      <c r="E40" s="2" t="s">
        <v>5</v>
      </c>
      <c r="F40" s="2" t="s">
        <v>6</v>
      </c>
      <c r="G40" s="2" t="s">
        <v>7</v>
      </c>
      <c r="H40" s="2" t="s">
        <v>8</v>
      </c>
      <c r="I40" s="2" t="s">
        <v>9</v>
      </c>
      <c r="J40" s="2" t="s">
        <v>10</v>
      </c>
      <c r="K40" s="2" t="s">
        <v>11</v>
      </c>
      <c r="L40" s="2" t="s">
        <v>12</v>
      </c>
      <c r="M40" s="2" t="s">
        <v>13</v>
      </c>
      <c r="N40" s="2" t="s">
        <v>14</v>
      </c>
      <c r="O40" s="2" t="s">
        <v>15</v>
      </c>
      <c r="P40" s="2" t="s">
        <v>16</v>
      </c>
    </row>
    <row r="41" spans="1:16" x14ac:dyDescent="0.25">
      <c r="A41" s="3" t="s">
        <v>297</v>
      </c>
      <c r="B41" s="4" t="s">
        <v>298</v>
      </c>
      <c r="C41" s="3" t="s">
        <v>19</v>
      </c>
      <c r="D41" s="3" t="s">
        <v>19</v>
      </c>
      <c r="E41" s="3" t="s">
        <v>20</v>
      </c>
      <c r="F41" s="3" t="s">
        <v>19</v>
      </c>
      <c r="G41" s="3" t="s">
        <v>282</v>
      </c>
      <c r="H41" s="5">
        <v>1</v>
      </c>
      <c r="I41" s="3" t="s">
        <v>19</v>
      </c>
      <c r="J41" s="6">
        <v>20000</v>
      </c>
      <c r="K41" s="6">
        <v>0</v>
      </c>
      <c r="L41" s="6">
        <v>10250</v>
      </c>
      <c r="M41" s="6">
        <v>0</v>
      </c>
      <c r="N41" s="3" t="s">
        <v>19</v>
      </c>
      <c r="O41" s="6">
        <v>0</v>
      </c>
      <c r="P41" s="6">
        <f>J41-L41</f>
        <v>9750</v>
      </c>
    </row>
    <row r="42" spans="1:16" x14ac:dyDescent="0.25">
      <c r="A42" s="3" t="s">
        <v>299</v>
      </c>
      <c r="B42" s="4" t="s">
        <v>300</v>
      </c>
      <c r="C42" s="3" t="s">
        <v>19</v>
      </c>
      <c r="D42" s="3" t="s">
        <v>19</v>
      </c>
      <c r="E42" s="3" t="s">
        <v>20</v>
      </c>
      <c r="F42" s="3" t="s">
        <v>19</v>
      </c>
      <c r="G42" s="3" t="s">
        <v>277</v>
      </c>
      <c r="H42" s="5">
        <v>3</v>
      </c>
      <c r="I42" s="3" t="s">
        <v>19</v>
      </c>
      <c r="J42" s="6">
        <v>36000</v>
      </c>
      <c r="K42" s="6">
        <v>0</v>
      </c>
      <c r="L42" s="6">
        <v>18750</v>
      </c>
      <c r="M42" s="6">
        <v>0</v>
      </c>
      <c r="N42" s="3" t="s">
        <v>19</v>
      </c>
      <c r="O42" s="6">
        <v>0</v>
      </c>
      <c r="P42" s="6">
        <f>J42-L42</f>
        <v>17250</v>
      </c>
    </row>
    <row r="43" spans="1:16" x14ac:dyDescent="0.25">
      <c r="A43" s="3" t="s">
        <v>191</v>
      </c>
      <c r="B43" s="4" t="s">
        <v>192</v>
      </c>
      <c r="C43" s="3" t="s">
        <v>19</v>
      </c>
      <c r="D43" s="3" t="s">
        <v>19</v>
      </c>
      <c r="E43" s="3" t="s">
        <v>20</v>
      </c>
      <c r="F43" s="3" t="s">
        <v>19</v>
      </c>
      <c r="G43" s="3" t="s">
        <v>251</v>
      </c>
      <c r="H43" s="5">
        <v>1</v>
      </c>
      <c r="I43" s="3" t="s">
        <v>19</v>
      </c>
      <c r="J43" s="6">
        <v>12000</v>
      </c>
      <c r="K43" s="6">
        <v>0</v>
      </c>
      <c r="L43" s="6">
        <v>6250</v>
      </c>
      <c r="M43" s="6">
        <v>0</v>
      </c>
      <c r="N43" s="3" t="s">
        <v>19</v>
      </c>
      <c r="O43" s="6">
        <v>0</v>
      </c>
      <c r="P43" s="6">
        <f>J43-L43</f>
        <v>5750</v>
      </c>
    </row>
    <row r="44" spans="1:16" x14ac:dyDescent="0.25">
      <c r="A44" s="3" t="s">
        <v>301</v>
      </c>
      <c r="B44" s="4" t="s">
        <v>302</v>
      </c>
      <c r="C44" s="3" t="s">
        <v>19</v>
      </c>
      <c r="D44" s="3" t="s">
        <v>19</v>
      </c>
      <c r="E44" s="3" t="s">
        <v>20</v>
      </c>
      <c r="F44" s="3" t="s">
        <v>19</v>
      </c>
      <c r="G44" s="3" t="s">
        <v>262</v>
      </c>
      <c r="H44" s="5">
        <v>1</v>
      </c>
      <c r="I44" s="3" t="s">
        <v>19</v>
      </c>
      <c r="J44" s="6">
        <v>10000</v>
      </c>
      <c r="K44" s="6">
        <v>0</v>
      </c>
      <c r="L44" s="6">
        <v>2087.18</v>
      </c>
      <c r="M44" s="6">
        <v>0</v>
      </c>
      <c r="N44" s="3" t="s">
        <v>19</v>
      </c>
      <c r="O44" s="6">
        <v>0</v>
      </c>
      <c r="P44" s="6">
        <f>J44-L44</f>
        <v>7912.82</v>
      </c>
    </row>
    <row r="45" spans="1:16" x14ac:dyDescent="0.25">
      <c r="A45" s="3" t="s">
        <v>303</v>
      </c>
      <c r="B45" s="4" t="s">
        <v>304</v>
      </c>
      <c r="C45" s="3" t="s">
        <v>19</v>
      </c>
      <c r="D45" s="3" t="s">
        <v>19</v>
      </c>
      <c r="E45" s="3" t="s">
        <v>20</v>
      </c>
      <c r="F45" s="3" t="s">
        <v>19</v>
      </c>
      <c r="G45" s="3" t="s">
        <v>282</v>
      </c>
      <c r="H45" s="5">
        <v>1</v>
      </c>
      <c r="I45" s="3" t="s">
        <v>19</v>
      </c>
      <c r="J45" s="6">
        <v>20000</v>
      </c>
      <c r="K45" s="6">
        <v>0</v>
      </c>
      <c r="L45" s="6">
        <v>10250</v>
      </c>
      <c r="M45" s="6">
        <v>0</v>
      </c>
      <c r="N45" s="3" t="s">
        <v>19</v>
      </c>
      <c r="O45" s="6">
        <v>0</v>
      </c>
      <c r="P45" s="6">
        <f>J45-L45</f>
        <v>9750</v>
      </c>
    </row>
    <row r="46" spans="1:16" x14ac:dyDescent="0.25">
      <c r="A46" s="3" t="s">
        <v>305</v>
      </c>
      <c r="B46" s="4" t="s">
        <v>306</v>
      </c>
      <c r="C46" s="3" t="s">
        <v>19</v>
      </c>
      <c r="D46" s="3" t="s">
        <v>19</v>
      </c>
      <c r="E46" s="3" t="s">
        <v>20</v>
      </c>
      <c r="F46" s="3" t="s">
        <v>19</v>
      </c>
      <c r="G46" s="3" t="s">
        <v>248</v>
      </c>
      <c r="H46" s="5">
        <v>1</v>
      </c>
      <c r="I46" s="3" t="s">
        <v>19</v>
      </c>
      <c r="J46" s="6">
        <v>15000</v>
      </c>
      <c r="K46" s="6">
        <v>0</v>
      </c>
      <c r="L46" s="6">
        <v>4527.77</v>
      </c>
      <c r="M46" s="6">
        <v>0</v>
      </c>
      <c r="N46" s="3" t="s">
        <v>19</v>
      </c>
      <c r="O46" s="6">
        <v>0</v>
      </c>
      <c r="P46" s="6">
        <f>J46-L46</f>
        <v>10472.23</v>
      </c>
    </row>
    <row r="47" spans="1:16" x14ac:dyDescent="0.25">
      <c r="A47" s="3" t="s">
        <v>307</v>
      </c>
      <c r="B47" s="4" t="s">
        <v>308</v>
      </c>
      <c r="C47" s="3" t="s">
        <v>19</v>
      </c>
      <c r="D47" s="3" t="s">
        <v>19</v>
      </c>
      <c r="E47" s="3" t="s">
        <v>20</v>
      </c>
      <c r="F47" s="3" t="s">
        <v>19</v>
      </c>
      <c r="G47" s="3" t="s">
        <v>248</v>
      </c>
      <c r="H47" s="5">
        <v>1</v>
      </c>
      <c r="I47" s="3" t="s">
        <v>19</v>
      </c>
      <c r="J47" s="6">
        <v>15000</v>
      </c>
      <c r="K47" s="6">
        <v>0</v>
      </c>
      <c r="L47" s="6">
        <v>4527.77</v>
      </c>
      <c r="M47" s="6">
        <v>0</v>
      </c>
      <c r="N47" s="3" t="s">
        <v>19</v>
      </c>
      <c r="O47" s="6">
        <v>0</v>
      </c>
      <c r="P47" s="6">
        <f>J47-L47</f>
        <v>10472.23</v>
      </c>
    </row>
    <row r="48" spans="1:16" x14ac:dyDescent="0.25">
      <c r="A48" s="3" t="s">
        <v>309</v>
      </c>
      <c r="B48" s="4" t="s">
        <v>310</v>
      </c>
      <c r="C48" s="3" t="s">
        <v>19</v>
      </c>
      <c r="D48" s="3" t="s">
        <v>19</v>
      </c>
      <c r="E48" s="3" t="s">
        <v>20</v>
      </c>
      <c r="F48" s="3" t="s">
        <v>19</v>
      </c>
      <c r="G48" s="3" t="s">
        <v>251</v>
      </c>
      <c r="H48" s="5">
        <v>1</v>
      </c>
      <c r="I48" s="3" t="s">
        <v>19</v>
      </c>
      <c r="J48" s="6">
        <v>12000</v>
      </c>
      <c r="K48" s="6">
        <v>0</v>
      </c>
      <c r="L48" s="6">
        <v>6250</v>
      </c>
      <c r="M48" s="6">
        <v>0</v>
      </c>
      <c r="N48" s="3" t="s">
        <v>19</v>
      </c>
      <c r="O48" s="6">
        <v>0</v>
      </c>
      <c r="P48" s="6">
        <f>J48-L48</f>
        <v>5750</v>
      </c>
    </row>
    <row r="49" spans="1:16" x14ac:dyDescent="0.25">
      <c r="A49" s="3" t="s">
        <v>309</v>
      </c>
      <c r="B49" s="4" t="s">
        <v>310</v>
      </c>
      <c r="C49" s="3" t="s">
        <v>19</v>
      </c>
      <c r="D49" s="3" t="s">
        <v>19</v>
      </c>
      <c r="E49" s="3" t="s">
        <v>20</v>
      </c>
      <c r="F49" s="3" t="s">
        <v>19</v>
      </c>
      <c r="G49" s="3" t="s">
        <v>248</v>
      </c>
      <c r="H49" s="5">
        <v>1</v>
      </c>
      <c r="I49" s="3" t="s">
        <v>19</v>
      </c>
      <c r="J49" s="6">
        <v>15000</v>
      </c>
      <c r="K49" s="6">
        <v>0</v>
      </c>
      <c r="L49" s="6">
        <v>4527.77</v>
      </c>
      <c r="M49" s="6">
        <v>0</v>
      </c>
      <c r="N49" s="3" t="s">
        <v>19</v>
      </c>
      <c r="O49" s="6">
        <v>0</v>
      </c>
      <c r="P49" s="6">
        <f>J49-L49</f>
        <v>10472.23</v>
      </c>
    </row>
    <row r="50" spans="1:16" x14ac:dyDescent="0.25">
      <c r="A50" s="3" t="s">
        <v>311</v>
      </c>
      <c r="B50" s="4" t="s">
        <v>312</v>
      </c>
      <c r="C50" s="3" t="s">
        <v>19</v>
      </c>
      <c r="D50" s="3" t="s">
        <v>19</v>
      </c>
      <c r="E50" s="3" t="s">
        <v>20</v>
      </c>
      <c r="F50" s="3" t="s">
        <v>19</v>
      </c>
      <c r="G50" s="3" t="s">
        <v>262</v>
      </c>
      <c r="H50" s="5">
        <v>1</v>
      </c>
      <c r="I50" s="3" t="s">
        <v>19</v>
      </c>
      <c r="J50" s="6">
        <v>10000</v>
      </c>
      <c r="K50" s="6">
        <v>0</v>
      </c>
      <c r="L50" s="6">
        <v>2087.18</v>
      </c>
      <c r="M50" s="6">
        <v>0</v>
      </c>
      <c r="N50" s="3" t="s">
        <v>19</v>
      </c>
      <c r="O50" s="6">
        <v>0</v>
      </c>
      <c r="P50" s="6">
        <f>J50-L50</f>
        <v>7912.82</v>
      </c>
    </row>
    <row r="51" spans="1:16" x14ac:dyDescent="0.25">
      <c r="A51" s="3" t="s">
        <v>313</v>
      </c>
      <c r="B51" s="4" t="s">
        <v>314</v>
      </c>
      <c r="C51" s="3" t="s">
        <v>19</v>
      </c>
      <c r="D51" s="3" t="s">
        <v>19</v>
      </c>
      <c r="E51" s="3" t="s">
        <v>20</v>
      </c>
      <c r="F51" s="3" t="s">
        <v>19</v>
      </c>
      <c r="G51" s="3" t="s">
        <v>262</v>
      </c>
      <c r="H51" s="5">
        <v>1</v>
      </c>
      <c r="I51" s="3" t="s">
        <v>19</v>
      </c>
      <c r="J51" s="6">
        <v>10000</v>
      </c>
      <c r="K51" s="6">
        <v>0</v>
      </c>
      <c r="L51" s="6">
        <v>2087.18</v>
      </c>
      <c r="M51" s="6">
        <v>0</v>
      </c>
      <c r="N51" s="3" t="s">
        <v>19</v>
      </c>
      <c r="O51" s="6">
        <v>0</v>
      </c>
      <c r="P51" s="6">
        <f>J51-L51</f>
        <v>7912.82</v>
      </c>
    </row>
    <row r="52" spans="1:16" x14ac:dyDescent="0.25">
      <c r="A52" s="3" t="s">
        <v>315</v>
      </c>
      <c r="B52" s="4" t="s">
        <v>316</v>
      </c>
      <c r="C52" s="3" t="s">
        <v>19</v>
      </c>
      <c r="D52" s="3" t="s">
        <v>19</v>
      </c>
      <c r="E52" s="3" t="s">
        <v>20</v>
      </c>
      <c r="F52" s="3" t="s">
        <v>19</v>
      </c>
      <c r="G52" s="3" t="s">
        <v>251</v>
      </c>
      <c r="H52" s="5">
        <v>2</v>
      </c>
      <c r="I52" s="3" t="s">
        <v>19</v>
      </c>
      <c r="J52" s="6">
        <v>24000</v>
      </c>
      <c r="K52" s="6">
        <v>0</v>
      </c>
      <c r="L52" s="6">
        <v>12500</v>
      </c>
      <c r="M52" s="6">
        <v>0</v>
      </c>
      <c r="N52" s="3" t="s">
        <v>19</v>
      </c>
      <c r="O52" s="6">
        <v>0</v>
      </c>
      <c r="P52" s="6">
        <f>J52-L52</f>
        <v>11500</v>
      </c>
    </row>
    <row r="53" spans="1:16" x14ac:dyDescent="0.25">
      <c r="A53" s="3" t="s">
        <v>109</v>
      </c>
      <c r="B53" s="4" t="s">
        <v>110</v>
      </c>
      <c r="C53" s="3" t="s">
        <v>19</v>
      </c>
      <c r="D53" s="3" t="s">
        <v>19</v>
      </c>
      <c r="E53" s="3" t="s">
        <v>20</v>
      </c>
      <c r="F53" s="3" t="s">
        <v>19</v>
      </c>
      <c r="G53" s="3" t="s">
        <v>282</v>
      </c>
      <c r="H53" s="5">
        <v>1</v>
      </c>
      <c r="I53" s="3" t="s">
        <v>19</v>
      </c>
      <c r="J53" s="6">
        <v>20000</v>
      </c>
      <c r="K53" s="6">
        <v>0</v>
      </c>
      <c r="L53" s="6">
        <v>10250</v>
      </c>
      <c r="M53" s="6">
        <v>0</v>
      </c>
      <c r="N53" s="3" t="s">
        <v>19</v>
      </c>
      <c r="O53" s="6">
        <v>0</v>
      </c>
      <c r="P53" s="6">
        <f>J53-L53</f>
        <v>9750</v>
      </c>
    </row>
    <row r="54" spans="1:16" x14ac:dyDescent="0.25">
      <c r="A54" s="3" t="s">
        <v>317</v>
      </c>
      <c r="B54" s="4" t="s">
        <v>318</v>
      </c>
      <c r="C54" s="3" t="s">
        <v>19</v>
      </c>
      <c r="D54" s="3" t="s">
        <v>19</v>
      </c>
      <c r="E54" s="3" t="s">
        <v>20</v>
      </c>
      <c r="F54" s="3" t="s">
        <v>19</v>
      </c>
      <c r="G54" s="3" t="s">
        <v>282</v>
      </c>
      <c r="H54" s="5">
        <v>1</v>
      </c>
      <c r="I54" s="3" t="s">
        <v>19</v>
      </c>
      <c r="J54" s="6">
        <v>20000</v>
      </c>
      <c r="K54" s="6">
        <v>0</v>
      </c>
      <c r="L54" s="6">
        <v>10250</v>
      </c>
      <c r="M54" s="6">
        <v>0</v>
      </c>
      <c r="N54" s="3" t="s">
        <v>19</v>
      </c>
      <c r="O54" s="6">
        <v>0</v>
      </c>
      <c r="P54" s="6">
        <f>J54-L54</f>
        <v>9750</v>
      </c>
    </row>
    <row r="55" spans="1:16" x14ac:dyDescent="0.25">
      <c r="A55" s="3" t="s">
        <v>218</v>
      </c>
      <c r="B55" s="4" t="s">
        <v>219</v>
      </c>
      <c r="C55" s="3" t="s">
        <v>19</v>
      </c>
      <c r="D55" s="3" t="s">
        <v>19</v>
      </c>
      <c r="E55" s="3" t="s">
        <v>20</v>
      </c>
      <c r="F55" s="3" t="s">
        <v>19</v>
      </c>
      <c r="G55" s="3" t="s">
        <v>282</v>
      </c>
      <c r="H55" s="5">
        <v>1</v>
      </c>
      <c r="I55" s="3" t="s">
        <v>19</v>
      </c>
      <c r="J55" s="6">
        <v>20000</v>
      </c>
      <c r="K55" s="6">
        <v>0</v>
      </c>
      <c r="L55" s="6">
        <v>10250</v>
      </c>
      <c r="M55" s="6">
        <v>0</v>
      </c>
      <c r="N55" s="3" t="s">
        <v>19</v>
      </c>
      <c r="O55" s="6">
        <v>0</v>
      </c>
      <c r="P55" s="6">
        <f>J55-L55</f>
        <v>9750</v>
      </c>
    </row>
    <row r="56" spans="1:16" x14ac:dyDescent="0.25">
      <c r="A56" s="3" t="s">
        <v>117</v>
      </c>
      <c r="B56" s="4" t="s">
        <v>118</v>
      </c>
      <c r="C56" s="3" t="s">
        <v>19</v>
      </c>
      <c r="D56" s="3" t="s">
        <v>19</v>
      </c>
      <c r="E56" s="3" t="s">
        <v>20</v>
      </c>
      <c r="F56" s="3" t="s">
        <v>19</v>
      </c>
      <c r="G56" s="3" t="s">
        <v>251</v>
      </c>
      <c r="H56" s="5">
        <v>3</v>
      </c>
      <c r="I56" s="3" t="s">
        <v>19</v>
      </c>
      <c r="J56" s="6">
        <v>36000</v>
      </c>
      <c r="K56" s="6">
        <v>0</v>
      </c>
      <c r="L56" s="6">
        <v>18750</v>
      </c>
      <c r="M56" s="6">
        <v>0</v>
      </c>
      <c r="N56" s="3" t="s">
        <v>19</v>
      </c>
      <c r="O56" s="6">
        <v>0</v>
      </c>
      <c r="P56" s="6">
        <f>J56-L56</f>
        <v>17250</v>
      </c>
    </row>
    <row r="57" spans="1:16" x14ac:dyDescent="0.25">
      <c r="A57" s="3" t="s">
        <v>319</v>
      </c>
      <c r="B57" s="4" t="s">
        <v>320</v>
      </c>
      <c r="C57" s="3" t="s">
        <v>19</v>
      </c>
      <c r="D57" s="3" t="s">
        <v>19</v>
      </c>
      <c r="E57" s="3" t="s">
        <v>20</v>
      </c>
      <c r="F57" s="3" t="s">
        <v>19</v>
      </c>
      <c r="G57" s="3" t="s">
        <v>282</v>
      </c>
      <c r="H57" s="5">
        <v>1</v>
      </c>
      <c r="I57" s="3" t="s">
        <v>19</v>
      </c>
      <c r="J57" s="6">
        <v>20000</v>
      </c>
      <c r="K57" s="6">
        <v>0</v>
      </c>
      <c r="L57" s="6">
        <v>10250</v>
      </c>
      <c r="M57" s="6">
        <v>0</v>
      </c>
      <c r="N57" s="3" t="s">
        <v>19</v>
      </c>
      <c r="O57" s="6">
        <v>0</v>
      </c>
      <c r="P57" s="6">
        <f>J57-L57</f>
        <v>9750</v>
      </c>
    </row>
    <row r="58" spans="1:16" x14ac:dyDescent="0.25">
      <c r="A58" s="3" t="s">
        <v>321</v>
      </c>
      <c r="B58" s="4" t="s">
        <v>322</v>
      </c>
      <c r="C58" s="3" t="s">
        <v>19</v>
      </c>
      <c r="D58" s="3" t="s">
        <v>19</v>
      </c>
      <c r="E58" s="3" t="s">
        <v>20</v>
      </c>
      <c r="F58" s="3" t="s">
        <v>19</v>
      </c>
      <c r="G58" s="3" t="s">
        <v>262</v>
      </c>
      <c r="H58" s="5">
        <v>2</v>
      </c>
      <c r="I58" s="3" t="s">
        <v>19</v>
      </c>
      <c r="J58" s="6">
        <v>20000</v>
      </c>
      <c r="K58" s="6">
        <v>0</v>
      </c>
      <c r="L58" s="6">
        <v>4174.36</v>
      </c>
      <c r="M58" s="6">
        <v>0</v>
      </c>
      <c r="N58" s="3" t="s">
        <v>19</v>
      </c>
      <c r="O58" s="6">
        <v>0</v>
      </c>
      <c r="P58" s="6">
        <f>J58-L58</f>
        <v>15825.64</v>
      </c>
    </row>
    <row r="59" spans="1:16" x14ac:dyDescent="0.25">
      <c r="A59" s="3" t="s">
        <v>323</v>
      </c>
      <c r="B59" s="4" t="s">
        <v>324</v>
      </c>
      <c r="C59" s="3" t="s">
        <v>19</v>
      </c>
      <c r="D59" s="3" t="s">
        <v>19</v>
      </c>
      <c r="E59" s="3" t="s">
        <v>20</v>
      </c>
      <c r="F59" s="3" t="s">
        <v>19</v>
      </c>
      <c r="G59" s="3" t="s">
        <v>251</v>
      </c>
      <c r="H59" s="5">
        <v>1</v>
      </c>
      <c r="I59" s="3" t="s">
        <v>19</v>
      </c>
      <c r="J59" s="6">
        <v>12000</v>
      </c>
      <c r="K59" s="6">
        <v>0</v>
      </c>
      <c r="L59" s="6">
        <v>6250</v>
      </c>
      <c r="M59" s="6">
        <v>0</v>
      </c>
      <c r="N59" s="3" t="s">
        <v>19</v>
      </c>
      <c r="O59" s="6">
        <v>0</v>
      </c>
      <c r="P59" s="6">
        <f>J59-L59</f>
        <v>5750</v>
      </c>
    </row>
    <row r="60" spans="1:16" x14ac:dyDescent="0.25">
      <c r="A60" s="3" t="s">
        <v>325</v>
      </c>
      <c r="B60" s="4" t="s">
        <v>326</v>
      </c>
      <c r="C60" s="3" t="s">
        <v>19</v>
      </c>
      <c r="D60" s="3" t="s">
        <v>19</v>
      </c>
      <c r="E60" s="3" t="s">
        <v>20</v>
      </c>
      <c r="F60" s="3" t="s">
        <v>19</v>
      </c>
      <c r="G60" s="3" t="s">
        <v>251</v>
      </c>
      <c r="H60" s="5">
        <v>1</v>
      </c>
      <c r="I60" s="3" t="s">
        <v>19</v>
      </c>
      <c r="J60" s="6">
        <v>12000</v>
      </c>
      <c r="K60" s="6">
        <v>0</v>
      </c>
      <c r="L60" s="6">
        <v>6250</v>
      </c>
      <c r="M60" s="6">
        <v>0</v>
      </c>
      <c r="N60" s="3" t="s">
        <v>19</v>
      </c>
      <c r="O60" s="6">
        <v>0</v>
      </c>
      <c r="P60" s="6">
        <f>J60-L60</f>
        <v>5750</v>
      </c>
    </row>
    <row r="61" spans="1:16" x14ac:dyDescent="0.25">
      <c r="A61" s="3" t="s">
        <v>327</v>
      </c>
      <c r="B61" s="4" t="s">
        <v>328</v>
      </c>
      <c r="C61" s="3" t="s">
        <v>19</v>
      </c>
      <c r="D61" s="3" t="s">
        <v>19</v>
      </c>
      <c r="E61" s="3" t="s">
        <v>20</v>
      </c>
      <c r="F61" s="3" t="s">
        <v>19</v>
      </c>
      <c r="G61" s="3" t="s">
        <v>251</v>
      </c>
      <c r="H61" s="5">
        <v>2</v>
      </c>
      <c r="I61" s="3" t="s">
        <v>19</v>
      </c>
      <c r="J61" s="6">
        <v>24000</v>
      </c>
      <c r="K61" s="6">
        <v>0</v>
      </c>
      <c r="L61" s="6">
        <v>12500</v>
      </c>
      <c r="M61" s="6">
        <v>0</v>
      </c>
      <c r="N61" s="3" t="s">
        <v>19</v>
      </c>
      <c r="O61" s="6">
        <v>0</v>
      </c>
      <c r="P61" s="6">
        <f>J61-L61</f>
        <v>11500</v>
      </c>
    </row>
    <row r="62" spans="1:16" x14ac:dyDescent="0.25">
      <c r="A62" s="3" t="s">
        <v>329</v>
      </c>
      <c r="B62" s="4" t="s">
        <v>330</v>
      </c>
      <c r="C62" s="3" t="s">
        <v>19</v>
      </c>
      <c r="D62" s="3" t="s">
        <v>19</v>
      </c>
      <c r="E62" s="3" t="s">
        <v>20</v>
      </c>
      <c r="F62" s="3" t="s">
        <v>19</v>
      </c>
      <c r="G62" s="3" t="s">
        <v>251</v>
      </c>
      <c r="H62" s="5">
        <v>1</v>
      </c>
      <c r="I62" s="3" t="s">
        <v>19</v>
      </c>
      <c r="J62" s="6">
        <v>12000</v>
      </c>
      <c r="K62" s="6">
        <v>0</v>
      </c>
      <c r="L62" s="6">
        <v>6250</v>
      </c>
      <c r="M62" s="6">
        <v>0</v>
      </c>
      <c r="N62" s="3" t="s">
        <v>19</v>
      </c>
      <c r="O62" s="6">
        <v>0</v>
      </c>
      <c r="P62" s="6">
        <f>J62-L62</f>
        <v>5750</v>
      </c>
    </row>
    <row r="63" spans="1:16" x14ac:dyDescent="0.25">
      <c r="A63" s="3" t="s">
        <v>329</v>
      </c>
      <c r="B63" s="4" t="s">
        <v>330</v>
      </c>
      <c r="C63" s="3" t="s">
        <v>19</v>
      </c>
      <c r="D63" s="3" t="s">
        <v>19</v>
      </c>
      <c r="E63" s="3" t="s">
        <v>20</v>
      </c>
      <c r="F63" s="3" t="s">
        <v>19</v>
      </c>
      <c r="G63" s="3" t="s">
        <v>262</v>
      </c>
      <c r="H63" s="5">
        <v>1</v>
      </c>
      <c r="I63" s="3" t="s">
        <v>19</v>
      </c>
      <c r="J63" s="6">
        <v>10000</v>
      </c>
      <c r="K63" s="6">
        <v>0</v>
      </c>
      <c r="L63" s="6">
        <v>2087.18</v>
      </c>
      <c r="M63" s="6">
        <v>0</v>
      </c>
      <c r="N63" s="3" t="s">
        <v>19</v>
      </c>
      <c r="O63" s="6">
        <v>0</v>
      </c>
      <c r="P63" s="6">
        <f>J63-L63</f>
        <v>7912.82</v>
      </c>
    </row>
    <row r="64" spans="1:16" x14ac:dyDescent="0.25">
      <c r="A64" s="3" t="s">
        <v>123</v>
      </c>
      <c r="B64" s="4" t="s">
        <v>124</v>
      </c>
      <c r="C64" s="3" t="s">
        <v>19</v>
      </c>
      <c r="D64" s="3" t="s">
        <v>19</v>
      </c>
      <c r="E64" s="3" t="s">
        <v>20</v>
      </c>
      <c r="F64" s="3" t="s">
        <v>19</v>
      </c>
      <c r="G64" s="3" t="s">
        <v>248</v>
      </c>
      <c r="H64" s="5">
        <v>1</v>
      </c>
      <c r="I64" s="3" t="s">
        <v>19</v>
      </c>
      <c r="J64" s="6">
        <v>15000</v>
      </c>
      <c r="K64" s="6">
        <v>0</v>
      </c>
      <c r="L64" s="6">
        <v>4527.77</v>
      </c>
      <c r="M64" s="6">
        <v>0</v>
      </c>
      <c r="N64" s="3" t="s">
        <v>19</v>
      </c>
      <c r="O64" s="6">
        <v>0</v>
      </c>
      <c r="P64" s="6">
        <f>J64-L64</f>
        <v>10472.23</v>
      </c>
    </row>
    <row r="65" spans="1:16" x14ac:dyDescent="0.25">
      <c r="A65" s="3" t="s">
        <v>331</v>
      </c>
      <c r="B65" s="4" t="s">
        <v>332</v>
      </c>
      <c r="C65" s="3" t="s">
        <v>19</v>
      </c>
      <c r="D65" s="3" t="s">
        <v>19</v>
      </c>
      <c r="E65" s="3" t="s">
        <v>20</v>
      </c>
      <c r="F65" s="3" t="s">
        <v>19</v>
      </c>
      <c r="G65" s="3" t="s">
        <v>277</v>
      </c>
      <c r="H65" s="5">
        <v>1</v>
      </c>
      <c r="I65" s="3" t="s">
        <v>19</v>
      </c>
      <c r="J65" s="6">
        <v>12000</v>
      </c>
      <c r="K65" s="6">
        <v>0</v>
      </c>
      <c r="L65" s="6">
        <v>6250</v>
      </c>
      <c r="M65" s="6">
        <v>0</v>
      </c>
      <c r="N65" s="3" t="s">
        <v>19</v>
      </c>
      <c r="O65" s="6">
        <v>0</v>
      </c>
      <c r="P65" s="6">
        <f>J65-L65</f>
        <v>5750</v>
      </c>
    </row>
    <row r="66" spans="1:16" x14ac:dyDescent="0.25">
      <c r="A66" s="3" t="s">
        <v>222</v>
      </c>
      <c r="B66" s="4" t="s">
        <v>223</v>
      </c>
      <c r="C66" s="3" t="s">
        <v>19</v>
      </c>
      <c r="D66" s="3" t="s">
        <v>19</v>
      </c>
      <c r="E66" s="3" t="s">
        <v>25</v>
      </c>
      <c r="F66" s="3" t="s">
        <v>19</v>
      </c>
      <c r="G66" s="3" t="s">
        <v>262</v>
      </c>
      <c r="H66" s="5">
        <v>2</v>
      </c>
      <c r="I66" s="3" t="s">
        <v>19</v>
      </c>
      <c r="J66" s="6">
        <v>20000</v>
      </c>
      <c r="K66" s="6">
        <v>0</v>
      </c>
      <c r="L66" s="6">
        <v>4174.36</v>
      </c>
      <c r="M66" s="6">
        <v>0</v>
      </c>
      <c r="N66" s="3" t="s">
        <v>19</v>
      </c>
      <c r="O66" s="6">
        <v>0</v>
      </c>
      <c r="P66" s="6">
        <f>J66-L66</f>
        <v>15825.64</v>
      </c>
    </row>
    <row r="67" spans="1:16" x14ac:dyDescent="0.25">
      <c r="A67" s="3" t="s">
        <v>333</v>
      </c>
      <c r="B67" s="4" t="s">
        <v>334</v>
      </c>
      <c r="C67" s="3" t="s">
        <v>19</v>
      </c>
      <c r="D67" s="3" t="s">
        <v>19</v>
      </c>
      <c r="E67" s="3" t="s">
        <v>25</v>
      </c>
      <c r="F67" s="3" t="s">
        <v>19</v>
      </c>
      <c r="G67" s="3" t="s">
        <v>248</v>
      </c>
      <c r="H67" s="5">
        <v>2</v>
      </c>
      <c r="I67" s="3" t="s">
        <v>19</v>
      </c>
      <c r="J67" s="6">
        <v>30000</v>
      </c>
      <c r="K67" s="6">
        <v>0</v>
      </c>
      <c r="L67" s="6">
        <v>9055.54</v>
      </c>
      <c r="M67" s="6">
        <v>0</v>
      </c>
      <c r="N67" s="3" t="s">
        <v>19</v>
      </c>
      <c r="O67" s="6">
        <v>0</v>
      </c>
      <c r="P67" s="6">
        <f>J67-L67</f>
        <v>20944.46</v>
      </c>
    </row>
    <row r="68" spans="1:16" x14ac:dyDescent="0.25">
      <c r="A68" s="3" t="s">
        <v>335</v>
      </c>
      <c r="B68" s="4" t="s">
        <v>336</v>
      </c>
      <c r="C68" s="3" t="s">
        <v>19</v>
      </c>
      <c r="D68" s="3" t="s">
        <v>19</v>
      </c>
      <c r="E68" s="3" t="s">
        <v>25</v>
      </c>
      <c r="F68" s="3" t="s">
        <v>19</v>
      </c>
      <c r="G68" s="3" t="s">
        <v>248</v>
      </c>
      <c r="H68" s="5">
        <v>1</v>
      </c>
      <c r="I68" s="3" t="s">
        <v>19</v>
      </c>
      <c r="J68" s="6">
        <v>15000</v>
      </c>
      <c r="K68" s="6">
        <v>0</v>
      </c>
      <c r="L68" s="6">
        <v>4527.77</v>
      </c>
      <c r="M68" s="6">
        <v>0</v>
      </c>
      <c r="N68" s="3" t="s">
        <v>19</v>
      </c>
      <c r="O68" s="6">
        <v>0</v>
      </c>
      <c r="P68" s="6">
        <f>J68-L68</f>
        <v>10472.23</v>
      </c>
    </row>
    <row r="69" spans="1:16" x14ac:dyDescent="0.25">
      <c r="A69" s="3" t="s">
        <v>337</v>
      </c>
      <c r="B69" s="4" t="s">
        <v>338</v>
      </c>
      <c r="C69" s="3" t="s">
        <v>19</v>
      </c>
      <c r="D69" s="3" t="s">
        <v>19</v>
      </c>
      <c r="E69" s="3" t="s">
        <v>25</v>
      </c>
      <c r="F69" s="3" t="s">
        <v>19</v>
      </c>
      <c r="G69" s="3" t="s">
        <v>262</v>
      </c>
      <c r="H69" s="5">
        <v>1</v>
      </c>
      <c r="I69" s="3" t="s">
        <v>19</v>
      </c>
      <c r="J69" s="6">
        <v>10000</v>
      </c>
      <c r="K69" s="6">
        <v>0</v>
      </c>
      <c r="L69" s="6">
        <v>2087.18</v>
      </c>
      <c r="M69" s="6">
        <v>0</v>
      </c>
      <c r="N69" s="3" t="s">
        <v>19</v>
      </c>
      <c r="O69" s="6">
        <v>0</v>
      </c>
      <c r="P69" s="6">
        <f>J69-L69</f>
        <v>7912.82</v>
      </c>
    </row>
    <row r="70" spans="1:16" x14ac:dyDescent="0.25">
      <c r="A70" s="3" t="s">
        <v>339</v>
      </c>
      <c r="B70" s="4" t="s">
        <v>340</v>
      </c>
      <c r="C70" s="3" t="s">
        <v>19</v>
      </c>
      <c r="D70" s="3" t="s">
        <v>19</v>
      </c>
      <c r="E70" s="3" t="s">
        <v>25</v>
      </c>
      <c r="F70" s="3" t="s">
        <v>19</v>
      </c>
      <c r="G70" s="3" t="s">
        <v>248</v>
      </c>
      <c r="H70" s="5">
        <v>1</v>
      </c>
      <c r="I70" s="3" t="s">
        <v>19</v>
      </c>
      <c r="J70" s="6">
        <v>15000</v>
      </c>
      <c r="K70" s="6">
        <v>0</v>
      </c>
      <c r="L70" s="6">
        <v>4527.77</v>
      </c>
      <c r="M70" s="6">
        <v>0</v>
      </c>
      <c r="N70" s="3" t="s">
        <v>19</v>
      </c>
      <c r="O70" s="6">
        <v>0</v>
      </c>
      <c r="P70" s="6">
        <f>J70-L70</f>
        <v>10472.23</v>
      </c>
    </row>
    <row r="71" spans="1:16" x14ac:dyDescent="0.25">
      <c r="A71" s="3" t="s">
        <v>226</v>
      </c>
      <c r="B71" s="4" t="s">
        <v>227</v>
      </c>
      <c r="C71" s="3" t="s">
        <v>19</v>
      </c>
      <c r="D71" s="3" t="s">
        <v>19</v>
      </c>
      <c r="E71" s="3" t="s">
        <v>25</v>
      </c>
      <c r="F71" s="3" t="s">
        <v>19</v>
      </c>
      <c r="G71" s="3" t="s">
        <v>248</v>
      </c>
      <c r="H71" s="5">
        <v>1</v>
      </c>
      <c r="I71" s="3" t="s">
        <v>19</v>
      </c>
      <c r="J71" s="6">
        <v>15000</v>
      </c>
      <c r="K71" s="6">
        <v>0</v>
      </c>
      <c r="L71" s="6">
        <v>4527.77</v>
      </c>
      <c r="M71" s="6">
        <v>0</v>
      </c>
      <c r="N71" s="3" t="s">
        <v>19</v>
      </c>
      <c r="O71" s="6">
        <v>0</v>
      </c>
      <c r="P71" s="6">
        <f>J71-L71</f>
        <v>10472.23</v>
      </c>
    </row>
    <row r="72" spans="1:16" x14ac:dyDescent="0.25">
      <c r="A72" s="3" t="s">
        <v>341</v>
      </c>
      <c r="B72" s="4" t="s">
        <v>342</v>
      </c>
      <c r="C72" s="3" t="s">
        <v>19</v>
      </c>
      <c r="D72" s="3" t="s">
        <v>19</v>
      </c>
      <c r="E72" s="3" t="s">
        <v>25</v>
      </c>
      <c r="F72" s="3" t="s">
        <v>19</v>
      </c>
      <c r="G72" s="3" t="s">
        <v>248</v>
      </c>
      <c r="H72" s="5">
        <v>1</v>
      </c>
      <c r="I72" s="3" t="s">
        <v>19</v>
      </c>
      <c r="J72" s="6">
        <v>15000</v>
      </c>
      <c r="K72" s="6">
        <v>0</v>
      </c>
      <c r="L72" s="6">
        <v>4527.77</v>
      </c>
      <c r="M72" s="6">
        <v>0</v>
      </c>
      <c r="N72" s="3" t="s">
        <v>19</v>
      </c>
      <c r="O72" s="6">
        <v>0</v>
      </c>
      <c r="P72" s="6">
        <f>J72-L72</f>
        <v>10472.23</v>
      </c>
    </row>
    <row r="73" spans="1:16" x14ac:dyDescent="0.25">
      <c r="A73" s="3" t="s">
        <v>231</v>
      </c>
      <c r="B73" s="4" t="s">
        <v>232</v>
      </c>
      <c r="C73" s="3" t="s">
        <v>19</v>
      </c>
      <c r="D73" s="3" t="s">
        <v>19</v>
      </c>
      <c r="E73" s="3" t="s">
        <v>25</v>
      </c>
      <c r="F73" s="3" t="s">
        <v>19</v>
      </c>
      <c r="G73" s="3" t="s">
        <v>277</v>
      </c>
      <c r="H73" s="5">
        <v>1</v>
      </c>
      <c r="I73" s="3" t="s">
        <v>19</v>
      </c>
      <c r="J73" s="6">
        <v>12000</v>
      </c>
      <c r="K73" s="6">
        <v>0</v>
      </c>
      <c r="L73" s="6">
        <v>6250</v>
      </c>
      <c r="M73" s="6">
        <v>0</v>
      </c>
      <c r="N73" s="3" t="s">
        <v>19</v>
      </c>
      <c r="O73" s="6">
        <v>0</v>
      </c>
      <c r="P73" s="6">
        <f>J73-L73</f>
        <v>5750</v>
      </c>
    </row>
    <row r="74" spans="1:16" x14ac:dyDescent="0.25">
      <c r="A74" s="3" t="s">
        <v>233</v>
      </c>
      <c r="B74" s="4" t="s">
        <v>234</v>
      </c>
      <c r="C74" s="3" t="s">
        <v>19</v>
      </c>
      <c r="D74" s="3" t="s">
        <v>19</v>
      </c>
      <c r="E74" s="3" t="s">
        <v>25</v>
      </c>
      <c r="F74" s="3" t="s">
        <v>19</v>
      </c>
      <c r="G74" s="3" t="s">
        <v>248</v>
      </c>
      <c r="H74" s="5">
        <v>1</v>
      </c>
      <c r="I74" s="3" t="s">
        <v>19</v>
      </c>
      <c r="J74" s="6">
        <v>15000</v>
      </c>
      <c r="K74" s="6">
        <v>0</v>
      </c>
      <c r="L74" s="6">
        <v>4527.77</v>
      </c>
      <c r="M74" s="6">
        <v>0</v>
      </c>
      <c r="N74" s="3" t="s">
        <v>19</v>
      </c>
      <c r="O74" s="6">
        <v>0</v>
      </c>
      <c r="P74" s="6">
        <f>J74-L74</f>
        <v>10472.23</v>
      </c>
    </row>
    <row r="75" spans="1:16" x14ac:dyDescent="0.25">
      <c r="A75" s="3" t="s">
        <v>343</v>
      </c>
      <c r="B75" s="4" t="s">
        <v>344</v>
      </c>
      <c r="C75" s="3" t="s">
        <v>19</v>
      </c>
      <c r="D75" s="3" t="s">
        <v>19</v>
      </c>
      <c r="E75" s="3" t="s">
        <v>25</v>
      </c>
      <c r="F75" s="3" t="s">
        <v>19</v>
      </c>
      <c r="G75" s="3" t="s">
        <v>251</v>
      </c>
      <c r="H75" s="5">
        <v>2</v>
      </c>
      <c r="I75" s="3" t="s">
        <v>19</v>
      </c>
      <c r="J75" s="6">
        <v>24000</v>
      </c>
      <c r="K75" s="6">
        <v>0</v>
      </c>
      <c r="L75" s="6">
        <v>12500</v>
      </c>
      <c r="M75" s="6">
        <v>0</v>
      </c>
      <c r="N75" s="3" t="s">
        <v>19</v>
      </c>
      <c r="O75" s="6">
        <v>0</v>
      </c>
      <c r="P75" s="6">
        <f>J75-L75</f>
        <v>11500</v>
      </c>
    </row>
    <row r="76" spans="1:16" x14ac:dyDescent="0.25">
      <c r="A76" s="3" t="s">
        <v>345</v>
      </c>
      <c r="B76" s="4" t="s">
        <v>346</v>
      </c>
      <c r="C76" s="3" t="s">
        <v>19</v>
      </c>
      <c r="D76" s="3" t="s">
        <v>19</v>
      </c>
      <c r="E76" s="3" t="s">
        <v>25</v>
      </c>
      <c r="F76" s="3" t="s">
        <v>19</v>
      </c>
      <c r="G76" s="3" t="s">
        <v>262</v>
      </c>
      <c r="H76" s="5">
        <v>1</v>
      </c>
      <c r="I76" s="3" t="s">
        <v>19</v>
      </c>
      <c r="J76" s="6">
        <v>10000</v>
      </c>
      <c r="K76" s="6">
        <v>0</v>
      </c>
      <c r="L76" s="6">
        <v>2087.18</v>
      </c>
      <c r="M76" s="6">
        <v>0</v>
      </c>
      <c r="N76" s="3" t="s">
        <v>19</v>
      </c>
      <c r="O76" s="6">
        <v>0</v>
      </c>
      <c r="P76" s="6">
        <f>J76-L76</f>
        <v>7912.82</v>
      </c>
    </row>
    <row r="77" spans="1:16" x14ac:dyDescent="0.25">
      <c r="A77" s="3" t="s">
        <v>347</v>
      </c>
      <c r="B77" s="4" t="s">
        <v>348</v>
      </c>
      <c r="C77" s="3" t="s">
        <v>19</v>
      </c>
      <c r="D77" s="3" t="s">
        <v>19</v>
      </c>
      <c r="E77" s="3" t="s">
        <v>25</v>
      </c>
      <c r="F77" s="3" t="s">
        <v>19</v>
      </c>
      <c r="G77" s="3" t="s">
        <v>262</v>
      </c>
      <c r="H77" s="5">
        <v>1</v>
      </c>
      <c r="I77" s="3" t="s">
        <v>19</v>
      </c>
      <c r="J77" s="6">
        <v>10000</v>
      </c>
      <c r="K77" s="6">
        <v>0</v>
      </c>
      <c r="L77" s="6">
        <v>2087.18</v>
      </c>
      <c r="M77" s="6">
        <v>0</v>
      </c>
      <c r="N77" s="3" t="s">
        <v>19</v>
      </c>
      <c r="O77" s="6">
        <v>0</v>
      </c>
      <c r="P77" s="6">
        <f>J77-L77</f>
        <v>7912.82</v>
      </c>
    </row>
    <row r="78" spans="1:16" x14ac:dyDescent="0.25">
      <c r="A78" s="3" t="s">
        <v>349</v>
      </c>
      <c r="B78" s="4" t="s">
        <v>350</v>
      </c>
      <c r="C78" s="3" t="s">
        <v>19</v>
      </c>
      <c r="D78" s="3" t="s">
        <v>19</v>
      </c>
      <c r="E78" s="3" t="s">
        <v>25</v>
      </c>
      <c r="F78" s="3" t="s">
        <v>19</v>
      </c>
      <c r="G78" s="3" t="s">
        <v>251</v>
      </c>
      <c r="H78" s="5">
        <v>1</v>
      </c>
      <c r="I78" s="3" t="s">
        <v>19</v>
      </c>
      <c r="J78" s="6">
        <v>12000</v>
      </c>
      <c r="K78" s="6">
        <v>0</v>
      </c>
      <c r="L78" s="6">
        <v>6250</v>
      </c>
      <c r="M78" s="6">
        <v>0</v>
      </c>
      <c r="N78" s="3" t="s">
        <v>19</v>
      </c>
      <c r="O78" s="6">
        <v>0</v>
      </c>
      <c r="P78" s="6">
        <f>J78-L78</f>
        <v>5750</v>
      </c>
    </row>
    <row r="79" spans="1:16" x14ac:dyDescent="0.25">
      <c r="A79" s="3" t="s">
        <v>237</v>
      </c>
      <c r="B79" s="4" t="s">
        <v>238</v>
      </c>
      <c r="C79" s="3" t="s">
        <v>19</v>
      </c>
      <c r="D79" s="3" t="s">
        <v>19</v>
      </c>
      <c r="E79" s="3" t="s">
        <v>25</v>
      </c>
      <c r="F79" s="3" t="s">
        <v>19</v>
      </c>
      <c r="G79" s="3" t="s">
        <v>277</v>
      </c>
      <c r="H79" s="5">
        <v>2</v>
      </c>
      <c r="I79" s="3" t="s">
        <v>19</v>
      </c>
      <c r="J79" s="6">
        <v>24000</v>
      </c>
      <c r="K79" s="6">
        <v>0</v>
      </c>
      <c r="L79" s="6">
        <v>12500</v>
      </c>
      <c r="M79" s="6">
        <v>0</v>
      </c>
      <c r="N79" s="3" t="s">
        <v>19</v>
      </c>
      <c r="O79" s="6">
        <v>0</v>
      </c>
      <c r="P79" s="6">
        <f>J79-L79</f>
        <v>11500</v>
      </c>
    </row>
    <row r="80" spans="1:16" x14ac:dyDescent="0.25">
      <c r="A80" s="3" t="s">
        <v>351</v>
      </c>
      <c r="B80" s="4" t="s">
        <v>352</v>
      </c>
      <c r="C80" s="3" t="s">
        <v>19</v>
      </c>
      <c r="D80" s="3" t="s">
        <v>19</v>
      </c>
      <c r="E80" s="3" t="s">
        <v>25</v>
      </c>
      <c r="F80" s="3" t="s">
        <v>19</v>
      </c>
      <c r="G80" s="3" t="s">
        <v>248</v>
      </c>
      <c r="H80" s="5">
        <v>1</v>
      </c>
      <c r="I80" s="3" t="s">
        <v>19</v>
      </c>
      <c r="J80" s="6">
        <v>15000</v>
      </c>
      <c r="K80" s="6">
        <v>0</v>
      </c>
      <c r="L80" s="6">
        <v>4527.77</v>
      </c>
      <c r="M80" s="6">
        <v>0</v>
      </c>
      <c r="N80" s="3" t="s">
        <v>19</v>
      </c>
      <c r="O80" s="6">
        <v>0</v>
      </c>
      <c r="P80" s="6">
        <f>J80-L80</f>
        <v>10472.23</v>
      </c>
    </row>
    <row r="81" spans="1:16" x14ac:dyDescent="0.25">
      <c r="A81" s="3" t="s">
        <v>353</v>
      </c>
      <c r="B81" s="4" t="s">
        <v>354</v>
      </c>
      <c r="C81" s="3" t="s">
        <v>19</v>
      </c>
      <c r="D81" s="3" t="s">
        <v>19</v>
      </c>
      <c r="E81" s="3" t="s">
        <v>25</v>
      </c>
      <c r="F81" s="3" t="s">
        <v>19</v>
      </c>
      <c r="G81" s="3" t="s">
        <v>277</v>
      </c>
      <c r="H81" s="5">
        <v>1</v>
      </c>
      <c r="I81" s="3" t="s">
        <v>19</v>
      </c>
      <c r="J81" s="6">
        <v>12000</v>
      </c>
      <c r="K81" s="6">
        <v>0</v>
      </c>
      <c r="L81" s="6">
        <v>6250</v>
      </c>
      <c r="M81" s="6">
        <v>0</v>
      </c>
      <c r="N81" s="3" t="s">
        <v>19</v>
      </c>
      <c r="O81" s="6">
        <v>0</v>
      </c>
      <c r="P81" s="6">
        <f>J81-L81</f>
        <v>5750</v>
      </c>
    </row>
    <row r="82" spans="1:16" x14ac:dyDescent="0.25">
      <c r="A82" s="3" t="s">
        <v>355</v>
      </c>
      <c r="B82" s="4" t="s">
        <v>356</v>
      </c>
      <c r="C82" s="3" t="s">
        <v>19</v>
      </c>
      <c r="D82" s="3" t="s">
        <v>19</v>
      </c>
      <c r="E82" s="3" t="s">
        <v>25</v>
      </c>
      <c r="F82" s="3" t="s">
        <v>19</v>
      </c>
      <c r="G82" s="3" t="s">
        <v>248</v>
      </c>
      <c r="H82" s="5">
        <v>1</v>
      </c>
      <c r="I82" s="3" t="s">
        <v>19</v>
      </c>
      <c r="J82" s="6">
        <v>15000</v>
      </c>
      <c r="K82" s="6">
        <v>0</v>
      </c>
      <c r="L82" s="6">
        <v>4527.77</v>
      </c>
      <c r="M82" s="6">
        <v>0</v>
      </c>
      <c r="N82" s="3" t="s">
        <v>19</v>
      </c>
      <c r="O82" s="6">
        <v>0</v>
      </c>
      <c r="P82" s="6">
        <f>J82-L82</f>
        <v>10472.23</v>
      </c>
    </row>
    <row r="83" spans="1:16" x14ac:dyDescent="0.25">
      <c r="A83" s="3" t="s">
        <v>357</v>
      </c>
      <c r="B83" s="4" t="s">
        <v>358</v>
      </c>
      <c r="C83" s="3" t="s">
        <v>19</v>
      </c>
      <c r="D83" s="3" t="s">
        <v>19</v>
      </c>
      <c r="E83" s="3" t="s">
        <v>25</v>
      </c>
      <c r="F83" s="3" t="s">
        <v>19</v>
      </c>
      <c r="G83" s="3" t="s">
        <v>248</v>
      </c>
      <c r="H83" s="5">
        <v>1</v>
      </c>
      <c r="I83" s="3" t="s">
        <v>19</v>
      </c>
      <c r="J83" s="6">
        <v>15000</v>
      </c>
      <c r="K83" s="6">
        <v>0</v>
      </c>
      <c r="L83" s="6">
        <v>4527.77</v>
      </c>
      <c r="M83" s="6">
        <v>0</v>
      </c>
      <c r="N83" s="3" t="s">
        <v>19</v>
      </c>
      <c r="O83" s="6">
        <v>0</v>
      </c>
      <c r="P83" s="6">
        <f>J83-L83</f>
        <v>10472.23</v>
      </c>
    </row>
    <row r="84" spans="1:16" x14ac:dyDescent="0.25">
      <c r="A84" s="3" t="s">
        <v>359</v>
      </c>
      <c r="B84" s="4" t="s">
        <v>360</v>
      </c>
      <c r="C84" s="3" t="s">
        <v>19</v>
      </c>
      <c r="D84" s="3" t="s">
        <v>19</v>
      </c>
      <c r="E84" s="3" t="s">
        <v>25</v>
      </c>
      <c r="F84" s="3" t="s">
        <v>19</v>
      </c>
      <c r="G84" s="3" t="s">
        <v>262</v>
      </c>
      <c r="H84" s="5">
        <v>1</v>
      </c>
      <c r="I84" s="3" t="s">
        <v>19</v>
      </c>
      <c r="J84" s="6">
        <v>10000</v>
      </c>
      <c r="K84" s="6">
        <v>0</v>
      </c>
      <c r="L84" s="6">
        <v>2087.18</v>
      </c>
      <c r="M84" s="6">
        <v>0</v>
      </c>
      <c r="N84" s="3" t="s">
        <v>19</v>
      </c>
      <c r="O84" s="6">
        <v>0</v>
      </c>
      <c r="P84" s="6">
        <f>J84-L84</f>
        <v>7912.82</v>
      </c>
    </row>
    <row r="85" spans="1:16" x14ac:dyDescent="0.25">
      <c r="A85" s="3" t="s">
        <v>359</v>
      </c>
      <c r="B85" s="4" t="s">
        <v>360</v>
      </c>
      <c r="C85" s="3" t="s">
        <v>19</v>
      </c>
      <c r="D85" s="3" t="s">
        <v>19</v>
      </c>
      <c r="E85" s="3" t="s">
        <v>25</v>
      </c>
      <c r="F85" s="3" t="s">
        <v>19</v>
      </c>
      <c r="G85" s="3" t="s">
        <v>282</v>
      </c>
      <c r="H85" s="5">
        <v>1</v>
      </c>
      <c r="I85" s="3" t="s">
        <v>19</v>
      </c>
      <c r="J85" s="6">
        <v>20000</v>
      </c>
      <c r="K85" s="6">
        <v>0</v>
      </c>
      <c r="L85" s="6">
        <v>10250</v>
      </c>
      <c r="M85" s="6">
        <v>0</v>
      </c>
      <c r="N85" s="3" t="s">
        <v>19</v>
      </c>
      <c r="O85" s="6">
        <v>0</v>
      </c>
      <c r="P85" s="6">
        <f>J85-L85</f>
        <v>9750</v>
      </c>
    </row>
    <row r="86" ht="18" customHeight="1" spans="1:16" x14ac:dyDescent="0.25">
      <c r="A86" s="7" t="s">
        <v>34</v>
      </c>
      <c r="B86" s="7"/>
      <c r="C86" s="7"/>
      <c r="D86" s="7"/>
      <c r="E86" s="7"/>
      <c r="F86" s="7"/>
      <c r="G86" s="7"/>
      <c r="H86" s="8">
        <f>SUM(H41:H85)</f>
        <v>56</v>
      </c>
      <c r="I86" s="7"/>
      <c r="J86" s="9">
        <f>SUM(J41:J85)</f>
        <v>746000</v>
      </c>
      <c r="K86" s="9">
        <f>SUM(K41:K85)</f>
        <v>0</v>
      </c>
      <c r="L86" s="9">
        <f>SUM(L41:L85)</f>
        <v>303934.9399999999</v>
      </c>
      <c r="M86" s="9">
        <f>SUM(M41:M85)</f>
        <v>0</v>
      </c>
      <c r="N86" s="7"/>
      <c r="O86" s="9">
        <f>SUM(O41:O85)</f>
        <v>0</v>
      </c>
      <c r="P86" s="9">
        <f>SUM(P41:P85)</f>
        <v>442065.0599999999</v>
      </c>
    </row>
  </sheetData>
  <mergeCells count="4">
    <mergeCell ref="A1:P1"/>
    <mergeCell ref="A35:G35"/>
    <mergeCell ref="A39:P39"/>
    <mergeCell ref="A86:G86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8"/>
  <sheetViews>
    <sheetView workbookViewId="0" zoomScale="90"/>
  </sheetViews>
  <sheetFormatPr defaultRowHeight="15.75" outlineLevelRow="0" outlineLevelCol="0" x14ac:dyDescent="55" customHeight="1"/>
  <cols>
    <col min="1" max="1" width="16.75" customWidth="1"/>
    <col min="2" max="2" width="17.375" customWidth="1"/>
    <col min="3" max="4" width="8.43" customWidth="1"/>
    <col min="6" max="6" width="8.43" customWidth="1"/>
    <col min="7" max="7" width="22.75" customWidth="1"/>
    <col min="9" max="9" width="10.625" customWidth="1"/>
    <col min="10" max="10" width="9.625" customWidth="1"/>
    <col min="14" max="14" width="18.125" customWidth="1"/>
    <col min="16" max="16" width="10.5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61</v>
      </c>
      <c r="B3" s="4" t="s">
        <v>62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361</v>
      </c>
      <c r="H3" s="5">
        <v>1</v>
      </c>
      <c r="I3" s="3" t="s">
        <v>19</v>
      </c>
      <c r="J3" s="6">
        <v>80000</v>
      </c>
      <c r="K3" s="6">
        <v>0</v>
      </c>
      <c r="L3" s="6">
        <v>45000</v>
      </c>
      <c r="M3" s="6">
        <v>0</v>
      </c>
      <c r="N3" s="3" t="s">
        <v>19</v>
      </c>
      <c r="O3" s="6">
        <v>0</v>
      </c>
      <c r="P3" s="6">
        <f>J3-L3</f>
        <v>35000</v>
      </c>
    </row>
    <row r="4" spans="1:16" x14ac:dyDescent="0.25">
      <c r="A4" s="3" t="s">
        <v>362</v>
      </c>
      <c r="B4" s="4" t="s">
        <v>363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364</v>
      </c>
      <c r="H4" s="5">
        <v>1</v>
      </c>
      <c r="I4" s="3" t="s">
        <v>19</v>
      </c>
      <c r="J4" s="6">
        <v>125000</v>
      </c>
      <c r="K4" s="6">
        <v>0</v>
      </c>
      <c r="L4" s="6">
        <v>104285.71</v>
      </c>
      <c r="M4" s="6">
        <v>0</v>
      </c>
      <c r="N4" s="3" t="s">
        <v>19</v>
      </c>
      <c r="O4" s="6">
        <v>0</v>
      </c>
      <c r="P4" s="6">
        <f>J4-L4</f>
        <v>20714.289999999994</v>
      </c>
    </row>
    <row r="5" spans="1:16" x14ac:dyDescent="0.25">
      <c r="A5" s="3" t="s">
        <v>75</v>
      </c>
      <c r="B5" s="4" t="s">
        <v>76</v>
      </c>
      <c r="C5" s="3" t="s">
        <v>19</v>
      </c>
      <c r="D5" s="3" t="s">
        <v>19</v>
      </c>
      <c r="E5" s="3" t="s">
        <v>20</v>
      </c>
      <c r="F5" s="3" t="s">
        <v>19</v>
      </c>
      <c r="G5" s="3" t="s">
        <v>365</v>
      </c>
      <c r="H5" s="5">
        <v>1</v>
      </c>
      <c r="I5" s="3" t="s">
        <v>19</v>
      </c>
      <c r="J5" s="6">
        <v>90000</v>
      </c>
      <c r="K5" s="6">
        <v>0</v>
      </c>
      <c r="L5" s="6">
        <v>58472.73</v>
      </c>
      <c r="M5" s="6">
        <v>0</v>
      </c>
      <c r="N5" s="3" t="s">
        <v>19</v>
      </c>
      <c r="O5" s="6">
        <v>0</v>
      </c>
      <c r="P5" s="6">
        <f>J5-L5</f>
        <v>31527.269999999997</v>
      </c>
    </row>
    <row r="6" spans="1:16" x14ac:dyDescent="0.25">
      <c r="A6" s="3" t="s">
        <v>366</v>
      </c>
      <c r="B6" s="4" t="s">
        <v>367</v>
      </c>
      <c r="C6" s="3" t="s">
        <v>19</v>
      </c>
      <c r="D6" s="3" t="s">
        <v>19</v>
      </c>
      <c r="E6" s="3" t="s">
        <v>20</v>
      </c>
      <c r="F6" s="3" t="s">
        <v>19</v>
      </c>
      <c r="G6" s="3" t="s">
        <v>365</v>
      </c>
      <c r="H6" s="5">
        <v>1</v>
      </c>
      <c r="I6" s="3" t="s">
        <v>19</v>
      </c>
      <c r="J6" s="6">
        <v>90000</v>
      </c>
      <c r="K6" s="6">
        <v>0</v>
      </c>
      <c r="L6" s="6">
        <v>58472.73</v>
      </c>
      <c r="M6" s="6">
        <v>0</v>
      </c>
      <c r="N6" s="3" t="s">
        <v>19</v>
      </c>
      <c r="O6" s="6">
        <v>0</v>
      </c>
      <c r="P6" s="6">
        <f>J6-L6</f>
        <v>31527.269999999997</v>
      </c>
    </row>
    <row r="7" spans="1:16" x14ac:dyDescent="0.25">
      <c r="A7" s="3" t="s">
        <v>368</v>
      </c>
      <c r="B7" s="4" t="s">
        <v>369</v>
      </c>
      <c r="C7" s="3" t="s">
        <v>19</v>
      </c>
      <c r="D7" s="3" t="s">
        <v>19</v>
      </c>
      <c r="E7" s="3" t="s">
        <v>25</v>
      </c>
      <c r="F7" s="3" t="s">
        <v>19</v>
      </c>
      <c r="G7" s="3" t="s">
        <v>365</v>
      </c>
      <c r="H7" s="5">
        <v>1</v>
      </c>
      <c r="I7" s="3" t="s">
        <v>19</v>
      </c>
      <c r="J7" s="6">
        <v>90000</v>
      </c>
      <c r="K7" s="6">
        <v>0</v>
      </c>
      <c r="L7" s="6">
        <v>58472.73</v>
      </c>
      <c r="M7" s="6">
        <v>0</v>
      </c>
      <c r="N7" s="3" t="s">
        <v>19</v>
      </c>
      <c r="O7" s="6">
        <v>0</v>
      </c>
      <c r="P7" s="6">
        <f>J7-L7</f>
        <v>31527.269999999997</v>
      </c>
    </row>
    <row r="8" ht="18" customHeight="1" spans="1:16" x14ac:dyDescent="0.25">
      <c r="A8" s="7" t="s">
        <v>34</v>
      </c>
      <c r="B8" s="7"/>
      <c r="C8" s="7"/>
      <c r="D8" s="7"/>
      <c r="E8" s="7"/>
      <c r="F8" s="7"/>
      <c r="G8" s="7"/>
      <c r="H8" s="8">
        <f>SUM(H3:H7)</f>
        <v>5</v>
      </c>
      <c r="I8" s="7"/>
      <c r="J8" s="9">
        <f>SUM(J3:J7)</f>
        <v>475000</v>
      </c>
      <c r="K8" s="9">
        <f>SUM(K3:K7)</f>
        <v>0</v>
      </c>
      <c r="L8" s="9">
        <f>SUM(L3:L7)</f>
        <v>324703.9</v>
      </c>
      <c r="M8" s="9">
        <f>SUM(M3:M7)</f>
        <v>0</v>
      </c>
      <c r="N8" s="7"/>
      <c r="O8" s="9">
        <f>SUM(O3:O7)</f>
        <v>0</v>
      </c>
      <c r="P8" s="9">
        <f>SUM(P3:P7)</f>
        <v>150296.09999999998</v>
      </c>
    </row>
    <row r="12" ht="15.75" customHeight="1" spans="1:16" x14ac:dyDescent="0.25">
      <c r="A12" s="1" t="s">
        <v>35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ht="39.4" customHeight="1" spans="1:16" x14ac:dyDescent="0.25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 t="s">
        <v>6</v>
      </c>
      <c r="G13" s="2" t="s">
        <v>7</v>
      </c>
      <c r="H13" s="2" t="s">
        <v>8</v>
      </c>
      <c r="I13" s="2" t="s">
        <v>9</v>
      </c>
      <c r="J13" s="2" t="s">
        <v>10</v>
      </c>
      <c r="K13" s="2" t="s">
        <v>11</v>
      </c>
      <c r="L13" s="2" t="s">
        <v>12</v>
      </c>
      <c r="M13" s="2" t="s">
        <v>13</v>
      </c>
      <c r="N13" s="2" t="s">
        <v>14</v>
      </c>
      <c r="O13" s="2" t="s">
        <v>15</v>
      </c>
      <c r="P13" s="2" t="s">
        <v>16</v>
      </c>
    </row>
    <row r="14" spans="1:16" x14ac:dyDescent="0.25">
      <c r="A14" s="3" t="s">
        <v>87</v>
      </c>
      <c r="B14" s="4" t="s">
        <v>88</v>
      </c>
      <c r="C14" s="3" t="s">
        <v>19</v>
      </c>
      <c r="D14" s="3" t="s">
        <v>19</v>
      </c>
      <c r="E14" s="3" t="s">
        <v>20</v>
      </c>
      <c r="F14" s="3" t="s">
        <v>19</v>
      </c>
      <c r="G14" s="3" t="s">
        <v>365</v>
      </c>
      <c r="H14" s="5">
        <v>1</v>
      </c>
      <c r="I14" s="3" t="s">
        <v>19</v>
      </c>
      <c r="J14" s="6">
        <v>90000</v>
      </c>
      <c r="K14" s="6">
        <v>0</v>
      </c>
      <c r="L14" s="6">
        <v>58472.73</v>
      </c>
      <c r="M14" s="6">
        <v>0</v>
      </c>
      <c r="N14" s="3" t="s">
        <v>19</v>
      </c>
      <c r="O14" s="6">
        <v>0</v>
      </c>
      <c r="P14" s="6">
        <f>J14-L14</f>
        <v>31527.269999999997</v>
      </c>
    </row>
    <row r="15" spans="1:16" x14ac:dyDescent="0.25">
      <c r="A15" s="3" t="s">
        <v>197</v>
      </c>
      <c r="B15" s="4" t="s">
        <v>198</v>
      </c>
      <c r="C15" s="3" t="s">
        <v>19</v>
      </c>
      <c r="D15" s="3" t="s">
        <v>19</v>
      </c>
      <c r="E15" s="3" t="s">
        <v>20</v>
      </c>
      <c r="F15" s="3" t="s">
        <v>19</v>
      </c>
      <c r="G15" s="3" t="s">
        <v>365</v>
      </c>
      <c r="H15" s="5">
        <v>1</v>
      </c>
      <c r="I15" s="3" t="s">
        <v>19</v>
      </c>
      <c r="J15" s="6">
        <v>90000</v>
      </c>
      <c r="K15" s="6">
        <v>0</v>
      </c>
      <c r="L15" s="6">
        <v>58472.73</v>
      </c>
      <c r="M15" s="6">
        <v>0</v>
      </c>
      <c r="N15" s="3" t="s">
        <v>19</v>
      </c>
      <c r="O15" s="6">
        <v>0</v>
      </c>
      <c r="P15" s="6">
        <f>J15-L15</f>
        <v>31527.269999999997</v>
      </c>
    </row>
    <row r="16" spans="1:16" x14ac:dyDescent="0.25">
      <c r="A16" s="3" t="s">
        <v>370</v>
      </c>
      <c r="B16" s="4" t="s">
        <v>371</v>
      </c>
      <c r="C16" s="3" t="s">
        <v>19</v>
      </c>
      <c r="D16" s="3" t="s">
        <v>19</v>
      </c>
      <c r="E16" s="3" t="s">
        <v>20</v>
      </c>
      <c r="F16" s="3" t="s">
        <v>19</v>
      </c>
      <c r="G16" s="3" t="s">
        <v>365</v>
      </c>
      <c r="H16" s="5">
        <v>1</v>
      </c>
      <c r="I16" s="3" t="s">
        <v>19</v>
      </c>
      <c r="J16" s="6">
        <v>90000</v>
      </c>
      <c r="K16" s="6">
        <v>0</v>
      </c>
      <c r="L16" s="6">
        <v>58472.73</v>
      </c>
      <c r="M16" s="6">
        <v>0</v>
      </c>
      <c r="N16" s="3" t="s">
        <v>19</v>
      </c>
      <c r="O16" s="6">
        <v>0</v>
      </c>
      <c r="P16" s="6">
        <f>J16-L16</f>
        <v>31527.269999999997</v>
      </c>
    </row>
    <row r="17" spans="1:16" x14ac:dyDescent="0.25">
      <c r="A17" s="3" t="s">
        <v>129</v>
      </c>
      <c r="B17" s="4" t="s">
        <v>130</v>
      </c>
      <c r="C17" s="3" t="s">
        <v>19</v>
      </c>
      <c r="D17" s="3" t="s">
        <v>19</v>
      </c>
      <c r="E17" s="3" t="s">
        <v>25</v>
      </c>
      <c r="F17" s="3" t="s">
        <v>19</v>
      </c>
      <c r="G17" s="3" t="s">
        <v>365</v>
      </c>
      <c r="H17" s="5">
        <v>1</v>
      </c>
      <c r="I17" s="3" t="s">
        <v>19</v>
      </c>
      <c r="J17" s="6">
        <v>90000</v>
      </c>
      <c r="K17" s="6">
        <v>0</v>
      </c>
      <c r="L17" s="6">
        <v>58472.73</v>
      </c>
      <c r="M17" s="6">
        <v>0</v>
      </c>
      <c r="N17" s="3" t="s">
        <v>19</v>
      </c>
      <c r="O17" s="6">
        <v>0</v>
      </c>
      <c r="P17" s="6">
        <f>J17-L17</f>
        <v>31527.269999999997</v>
      </c>
    </row>
    <row r="18" ht="18" customHeight="1" spans="1:16" x14ac:dyDescent="0.25">
      <c r="A18" s="7" t="s">
        <v>34</v>
      </c>
      <c r="B18" s="7"/>
      <c r="C18" s="7"/>
      <c r="D18" s="7"/>
      <c r="E18" s="7"/>
      <c r="F18" s="7"/>
      <c r="G18" s="7"/>
      <c r="H18" s="8">
        <f>SUM(H14:H17)</f>
        <v>4</v>
      </c>
      <c r="I18" s="7"/>
      <c r="J18" s="9">
        <f>SUM(J14:J17)</f>
        <v>360000</v>
      </c>
      <c r="K18" s="9">
        <f>SUM(K14:K17)</f>
        <v>0</v>
      </c>
      <c r="L18" s="9">
        <f>SUM(L14:L17)</f>
        <v>233890.92</v>
      </c>
      <c r="M18" s="9">
        <f>SUM(M14:M17)</f>
        <v>0</v>
      </c>
      <c r="N18" s="7"/>
      <c r="O18" s="9">
        <f>SUM(O14:O17)</f>
        <v>0</v>
      </c>
      <c r="P18" s="9">
        <f>SUM(P14:P17)</f>
        <v>126109.07999999999</v>
      </c>
    </row>
  </sheetData>
  <mergeCells count="4">
    <mergeCell ref="A1:P1"/>
    <mergeCell ref="A8:G8"/>
    <mergeCell ref="A12:P12"/>
    <mergeCell ref="A18:G18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"/>
  <sheetViews>
    <sheetView workbookViewId="0" zoomScale="90"/>
  </sheetViews>
  <sheetFormatPr defaultRowHeight="15.75" outlineLevelRow="0" outlineLevelCol="0" x14ac:dyDescent="55" customHeight="1"/>
  <cols>
    <col min="1" max="1" width="16.75" customWidth="1"/>
    <col min="2" max="2" width="17.375" customWidth="1"/>
    <col min="3" max="4" width="8.43" customWidth="1"/>
    <col min="6" max="6" width="8.43" customWidth="1"/>
    <col min="7" max="7" width="22.75" customWidth="1"/>
    <col min="9" max="9" width="10.625" customWidth="1"/>
    <col min="10" max="10" width="9.625" customWidth="1"/>
    <col min="14" max="14" width="18.125" customWidth="1"/>
    <col min="16" max="16" width="10.5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372</v>
      </c>
      <c r="B3" s="4" t="s">
        <v>373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374</v>
      </c>
      <c r="H3" s="5">
        <v>1</v>
      </c>
      <c r="I3" s="3" t="s">
        <v>19</v>
      </c>
      <c r="J3" s="6">
        <v>260000</v>
      </c>
      <c r="K3" s="6">
        <v>0</v>
      </c>
      <c r="L3" s="6">
        <v>187503.31</v>
      </c>
      <c r="M3" s="6">
        <v>0</v>
      </c>
      <c r="N3" s="3" t="s">
        <v>19</v>
      </c>
      <c r="O3" s="6">
        <v>0</v>
      </c>
      <c r="P3" s="6">
        <f>J3-L3</f>
        <v>72496.69</v>
      </c>
    </row>
    <row r="4" ht="18" customHeight="1" spans="1:16" x14ac:dyDescent="0.25">
      <c r="A4" s="7" t="s">
        <v>34</v>
      </c>
      <c r="B4" s="7"/>
      <c r="C4" s="7"/>
      <c r="D4" s="7"/>
      <c r="E4" s="7"/>
      <c r="F4" s="7"/>
      <c r="G4" s="7"/>
      <c r="H4" s="8">
        <f>SUM(H3:H3)</f>
        <v>1</v>
      </c>
      <c r="I4" s="7"/>
      <c r="J4" s="9">
        <f>SUM(J3:J3)</f>
        <v>260000</v>
      </c>
      <c r="K4" s="9">
        <f>SUM(K3:K3)</f>
        <v>0</v>
      </c>
      <c r="L4" s="9">
        <f>SUM(L3:L3)</f>
        <v>187503.31</v>
      </c>
      <c r="M4" s="9">
        <f>SUM(M3:M3)</f>
        <v>0</v>
      </c>
      <c r="N4" s="7"/>
      <c r="O4" s="9">
        <f>SUM(O3:O3)</f>
        <v>0</v>
      </c>
      <c r="P4" s="9">
        <f>SUM(P3:P3)</f>
        <v>72496.69</v>
      </c>
    </row>
  </sheetData>
  <mergeCells count="2">
    <mergeCell ref="A1:P1"/>
    <mergeCell ref="A4:G4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3"/>
  <sheetViews>
    <sheetView workbookViewId="0" zoomScale="90"/>
  </sheetViews>
  <sheetFormatPr defaultRowHeight="15.75" outlineLevelRow="0" outlineLevelCol="0" x14ac:dyDescent="55" customHeight="1"/>
  <cols>
    <col min="1" max="1" width="16.75" customWidth="1"/>
    <col min="2" max="2" width="17.375" customWidth="1"/>
    <col min="3" max="4" width="8.43" customWidth="1"/>
    <col min="6" max="6" width="8.43" customWidth="1"/>
    <col min="7" max="7" width="22.75" customWidth="1"/>
    <col min="9" max="9" width="10.625" customWidth="1"/>
    <col min="10" max="10" width="9.625" customWidth="1"/>
    <col min="14" max="14" width="18.125" customWidth="1"/>
    <col min="16" max="16" width="10.5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56</v>
      </c>
      <c r="B3" s="4" t="s">
        <v>57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375</v>
      </c>
      <c r="H3" s="5">
        <v>1</v>
      </c>
      <c r="I3" s="3" t="s">
        <v>19</v>
      </c>
      <c r="J3" s="6">
        <v>50000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50000</v>
      </c>
    </row>
    <row r="4" spans="1:16" x14ac:dyDescent="0.25">
      <c r="A4" s="3" t="s">
        <v>287</v>
      </c>
      <c r="B4" s="4" t="s">
        <v>288</v>
      </c>
      <c r="C4" s="3" t="s">
        <v>19</v>
      </c>
      <c r="D4" s="3" t="s">
        <v>19</v>
      </c>
      <c r="E4" s="3" t="s">
        <v>25</v>
      </c>
      <c r="F4" s="3" t="s">
        <v>19</v>
      </c>
      <c r="G4" s="3" t="s">
        <v>375</v>
      </c>
      <c r="H4" s="5">
        <v>1</v>
      </c>
      <c r="I4" s="3" t="s">
        <v>19</v>
      </c>
      <c r="J4" s="6">
        <v>50000</v>
      </c>
      <c r="K4" s="6">
        <v>0</v>
      </c>
      <c r="L4" s="6">
        <v>0</v>
      </c>
      <c r="M4" s="6">
        <v>0</v>
      </c>
      <c r="N4" s="3" t="s">
        <v>19</v>
      </c>
      <c r="O4" s="6">
        <v>0</v>
      </c>
      <c r="P4" s="6">
        <f>J4-L4</f>
        <v>50000</v>
      </c>
    </row>
    <row r="5" ht="18" customHeight="1" spans="1:16" x14ac:dyDescent="0.25">
      <c r="A5" s="7" t="s">
        <v>34</v>
      </c>
      <c r="B5" s="7"/>
      <c r="C5" s="7"/>
      <c r="D5" s="7"/>
      <c r="E5" s="7"/>
      <c r="F5" s="7"/>
      <c r="G5" s="7"/>
      <c r="H5" s="8">
        <f>SUM(H3:H4)</f>
        <v>2</v>
      </c>
      <c r="I5" s="7"/>
      <c r="J5" s="9">
        <f>SUM(J3:J4)</f>
        <v>100000</v>
      </c>
      <c r="K5" s="9">
        <f>SUM(K3:K4)</f>
        <v>0</v>
      </c>
      <c r="L5" s="9">
        <f>SUM(L3:L4)</f>
        <v>0</v>
      </c>
      <c r="M5" s="9">
        <f>SUM(M3:M4)</f>
        <v>0</v>
      </c>
      <c r="N5" s="7"/>
      <c r="O5" s="9">
        <f>SUM(O3:O4)</f>
        <v>0</v>
      </c>
      <c r="P5" s="9">
        <f>SUM(P3:P4)</f>
        <v>100000</v>
      </c>
    </row>
    <row r="9" ht="15.75" customHeight="1" spans="1:16" x14ac:dyDescent="0.25">
      <c r="A9" s="1" t="s">
        <v>35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ht="39.4" customHeight="1" spans="1:16" x14ac:dyDescent="0.25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2" t="s">
        <v>7</v>
      </c>
      <c r="H10" s="2" t="s">
        <v>8</v>
      </c>
      <c r="I10" s="2" t="s">
        <v>9</v>
      </c>
      <c r="J10" s="2" t="s">
        <v>10</v>
      </c>
      <c r="K10" s="2" t="s">
        <v>11</v>
      </c>
      <c r="L10" s="2" t="s">
        <v>12</v>
      </c>
      <c r="M10" s="2" t="s">
        <v>13</v>
      </c>
      <c r="N10" s="2" t="s">
        <v>14</v>
      </c>
      <c r="O10" s="2" t="s">
        <v>15</v>
      </c>
      <c r="P10" s="2" t="s">
        <v>16</v>
      </c>
    </row>
    <row r="11" spans="1:16" x14ac:dyDescent="0.25">
      <c r="A11" s="3" t="s">
        <v>38</v>
      </c>
      <c r="B11" s="4" t="s">
        <v>39</v>
      </c>
      <c r="C11" s="3" t="s">
        <v>19</v>
      </c>
      <c r="D11" s="3" t="s">
        <v>19</v>
      </c>
      <c r="E11" s="3" t="s">
        <v>20</v>
      </c>
      <c r="F11" s="3" t="s">
        <v>19</v>
      </c>
      <c r="G11" s="3" t="s">
        <v>375</v>
      </c>
      <c r="H11" s="5">
        <v>1</v>
      </c>
      <c r="I11" s="3" t="s">
        <v>19</v>
      </c>
      <c r="J11" s="6">
        <v>50000</v>
      </c>
      <c r="K11" s="6">
        <v>0</v>
      </c>
      <c r="L11" s="6">
        <v>0</v>
      </c>
      <c r="M11" s="6">
        <v>0</v>
      </c>
      <c r="N11" s="3" t="s">
        <v>19</v>
      </c>
      <c r="O11" s="6">
        <v>0</v>
      </c>
      <c r="P11" s="6">
        <f>J11-L11</f>
        <v>50000</v>
      </c>
    </row>
    <row r="12" spans="1:16" x14ac:dyDescent="0.25">
      <c r="A12" s="3" t="s">
        <v>339</v>
      </c>
      <c r="B12" s="4" t="s">
        <v>340</v>
      </c>
      <c r="C12" s="3" t="s">
        <v>19</v>
      </c>
      <c r="D12" s="3" t="s">
        <v>19</v>
      </c>
      <c r="E12" s="3" t="s">
        <v>25</v>
      </c>
      <c r="F12" s="3" t="s">
        <v>19</v>
      </c>
      <c r="G12" s="3" t="s">
        <v>375</v>
      </c>
      <c r="H12" s="5">
        <v>1</v>
      </c>
      <c r="I12" s="3" t="s">
        <v>19</v>
      </c>
      <c r="J12" s="6">
        <v>50000</v>
      </c>
      <c r="K12" s="6">
        <v>0</v>
      </c>
      <c r="L12" s="6">
        <v>0</v>
      </c>
      <c r="M12" s="6">
        <v>0</v>
      </c>
      <c r="N12" s="3" t="s">
        <v>19</v>
      </c>
      <c r="O12" s="6">
        <v>0</v>
      </c>
      <c r="P12" s="6">
        <f>J12-L12</f>
        <v>50000</v>
      </c>
    </row>
    <row r="13" ht="18" customHeight="1" spans="1:16" x14ac:dyDescent="0.25">
      <c r="A13" s="7" t="s">
        <v>34</v>
      </c>
      <c r="B13" s="7"/>
      <c r="C13" s="7"/>
      <c r="D13" s="7"/>
      <c r="E13" s="7"/>
      <c r="F13" s="7"/>
      <c r="G13" s="7"/>
      <c r="H13" s="8">
        <f>SUM(H11:H12)</f>
        <v>2</v>
      </c>
      <c r="I13" s="7"/>
      <c r="J13" s="9">
        <f>SUM(J11:J12)</f>
        <v>100000</v>
      </c>
      <c r="K13" s="9">
        <f>SUM(K11:K12)</f>
        <v>0</v>
      </c>
      <c r="L13" s="9">
        <f>SUM(L11:L12)</f>
        <v>0</v>
      </c>
      <c r="M13" s="9">
        <f>SUM(M11:M12)</f>
        <v>0</v>
      </c>
      <c r="N13" s="7"/>
      <c r="O13" s="9">
        <f>SUM(O11:O12)</f>
        <v>0</v>
      </c>
      <c r="P13" s="9">
        <f>SUM(P11:P12)</f>
        <v>100000</v>
      </c>
    </row>
  </sheetData>
  <mergeCells count="4">
    <mergeCell ref="A1:P1"/>
    <mergeCell ref="A5:G5"/>
    <mergeCell ref="A9:P9"/>
    <mergeCell ref="A13:G13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"/>
  <sheetViews>
    <sheetView workbookViewId="0" zoomScale="90"/>
  </sheetViews>
  <sheetFormatPr defaultRowHeight="15.75" outlineLevelRow="0" outlineLevelCol="0" x14ac:dyDescent="55" customHeight="1"/>
  <cols>
    <col min="1" max="1" width="16.75" customWidth="1"/>
    <col min="2" max="2" width="17.375" customWidth="1"/>
    <col min="3" max="4" width="8.43" customWidth="1"/>
    <col min="6" max="6" width="8.43" customWidth="1"/>
    <col min="7" max="7" width="22.75" customWidth="1"/>
    <col min="9" max="9" width="10.625" customWidth="1"/>
    <col min="10" max="10" width="9.625" customWidth="1"/>
    <col min="14" max="14" width="18.125" customWidth="1"/>
    <col min="16" max="16" width="10.5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376</v>
      </c>
      <c r="B3" s="4" t="s">
        <v>377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378</v>
      </c>
      <c r="H3" s="5">
        <v>1</v>
      </c>
      <c r="I3" s="3" t="s">
        <v>19</v>
      </c>
      <c r="J3" s="6">
        <v>150000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150000</v>
      </c>
    </row>
    <row r="4" ht="18" customHeight="1" spans="1:16" x14ac:dyDescent="0.25">
      <c r="A4" s="7" t="s">
        <v>34</v>
      </c>
      <c r="B4" s="7"/>
      <c r="C4" s="7"/>
      <c r="D4" s="7"/>
      <c r="E4" s="7"/>
      <c r="F4" s="7"/>
      <c r="G4" s="7"/>
      <c r="H4" s="8">
        <f>SUM(H3:H3)</f>
        <v>1</v>
      </c>
      <c r="I4" s="7"/>
      <c r="J4" s="9">
        <f>SUM(J3:J3)</f>
        <v>150000</v>
      </c>
      <c r="K4" s="9">
        <f>SUM(K3:K3)</f>
        <v>0</v>
      </c>
      <c r="L4" s="9">
        <f>SUM(L3:L3)</f>
        <v>0</v>
      </c>
      <c r="M4" s="9">
        <f>SUM(M3:M3)</f>
        <v>0</v>
      </c>
      <c r="N4" s="7"/>
      <c r="O4" s="9">
        <f>SUM(O3:O3)</f>
        <v>0</v>
      </c>
      <c r="P4" s="9">
        <f>SUM(P3:P3)</f>
        <v>150000</v>
      </c>
    </row>
  </sheetData>
  <mergeCells count="2">
    <mergeCell ref="A1:P1"/>
    <mergeCell ref="A4:G4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"/>
  <sheetViews>
    <sheetView workbookViewId="0" zoomScale="90"/>
  </sheetViews>
  <sheetFormatPr defaultRowHeight="15.75" outlineLevelRow="0" outlineLevelCol="0" x14ac:dyDescent="55" customHeight="1"/>
  <cols>
    <col min="1" max="1" width="16.75" customWidth="1"/>
    <col min="2" max="2" width="17.375" customWidth="1"/>
    <col min="3" max="4" width="8.43" customWidth="1"/>
    <col min="6" max="6" width="8.43" customWidth="1"/>
    <col min="7" max="7" width="22.75" customWidth="1"/>
    <col min="9" max="9" width="10.625" customWidth="1"/>
    <col min="10" max="10" width="9.625" customWidth="1"/>
    <col min="14" max="14" width="18.125" customWidth="1"/>
    <col min="16" max="16" width="10.5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379</v>
      </c>
      <c r="B3" s="4" t="s">
        <v>380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381</v>
      </c>
      <c r="H3" s="5">
        <v>1</v>
      </c>
      <c r="I3" s="3" t="s">
        <v>19</v>
      </c>
      <c r="J3" s="6">
        <v>120000</v>
      </c>
      <c r="K3" s="6">
        <v>0</v>
      </c>
      <c r="L3" s="6">
        <v>78585.42</v>
      </c>
      <c r="M3" s="6">
        <v>0</v>
      </c>
      <c r="N3" s="3" t="s">
        <v>19</v>
      </c>
      <c r="O3" s="6">
        <v>0</v>
      </c>
      <c r="P3" s="6">
        <f>J3-L3</f>
        <v>41414.58</v>
      </c>
    </row>
    <row r="4" ht="18" customHeight="1" spans="1:16" x14ac:dyDescent="0.25">
      <c r="A4" s="7" t="s">
        <v>34</v>
      </c>
      <c r="B4" s="7"/>
      <c r="C4" s="7"/>
      <c r="D4" s="7"/>
      <c r="E4" s="7"/>
      <c r="F4" s="7"/>
      <c r="G4" s="7"/>
      <c r="H4" s="8">
        <f>SUM(H3:H3)</f>
        <v>1</v>
      </c>
      <c r="I4" s="7"/>
      <c r="J4" s="9">
        <f>SUM(J3:J3)</f>
        <v>120000</v>
      </c>
      <c r="K4" s="9">
        <f>SUM(K3:K3)</f>
        <v>0</v>
      </c>
      <c r="L4" s="9">
        <f>SUM(L3:L3)</f>
        <v>78585.42</v>
      </c>
      <c r="M4" s="9">
        <f>SUM(M3:M3)</f>
        <v>0</v>
      </c>
      <c r="N4" s="7"/>
      <c r="O4" s="9">
        <f>SUM(O3:O3)</f>
        <v>0</v>
      </c>
      <c r="P4" s="9">
        <f>SUM(P3:P3)</f>
        <v>41414.58</v>
      </c>
    </row>
  </sheetData>
  <mergeCells count="2">
    <mergeCell ref="A1:P1"/>
    <mergeCell ref="A4:G4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"/>
  <sheetViews>
    <sheetView workbookViewId="0" zoomScale="90"/>
  </sheetViews>
  <sheetFormatPr defaultRowHeight="15.75" outlineLevelRow="0" outlineLevelCol="0" x14ac:dyDescent="55" customHeight="1"/>
  <cols>
    <col min="1" max="1" width="16.75" customWidth="1"/>
    <col min="2" max="2" width="17.375" customWidth="1"/>
    <col min="3" max="4" width="8.43" customWidth="1"/>
    <col min="6" max="6" width="8.43" customWidth="1"/>
    <col min="7" max="7" width="22.75" customWidth="1"/>
    <col min="9" max="9" width="10.625" customWidth="1"/>
    <col min="10" max="10" width="9.625" customWidth="1"/>
    <col min="14" max="14" width="18.125" customWidth="1"/>
    <col min="16" max="16" width="10.5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258</v>
      </c>
      <c r="B3" s="4" t="s">
        <v>259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382</v>
      </c>
      <c r="H3" s="5">
        <v>1</v>
      </c>
      <c r="I3" s="3" t="s">
        <v>19</v>
      </c>
      <c r="J3" s="6">
        <v>35000</v>
      </c>
      <c r="K3" s="6">
        <v>0</v>
      </c>
      <c r="L3" s="6">
        <v>25000</v>
      </c>
      <c r="M3" s="6">
        <v>0</v>
      </c>
      <c r="N3" s="3" t="s">
        <v>19</v>
      </c>
      <c r="O3" s="6">
        <v>0</v>
      </c>
      <c r="P3" s="6">
        <f>J3-L3</f>
        <v>10000</v>
      </c>
    </row>
    <row r="4" spans="1:16" x14ac:dyDescent="0.25">
      <c r="A4" s="3" t="s">
        <v>383</v>
      </c>
      <c r="B4" s="4" t="s">
        <v>384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382</v>
      </c>
      <c r="H4" s="5">
        <v>1</v>
      </c>
      <c r="I4" s="3" t="s">
        <v>19</v>
      </c>
      <c r="J4" s="6">
        <v>35000</v>
      </c>
      <c r="K4" s="6">
        <v>0</v>
      </c>
      <c r="L4" s="6">
        <v>25000</v>
      </c>
      <c r="M4" s="6">
        <v>0</v>
      </c>
      <c r="N4" s="3" t="s">
        <v>19</v>
      </c>
      <c r="O4" s="6">
        <v>0</v>
      </c>
      <c r="P4" s="6">
        <f>J4-L4</f>
        <v>10000</v>
      </c>
    </row>
    <row r="5" spans="1:16" x14ac:dyDescent="0.25">
      <c r="A5" s="3" t="s">
        <v>385</v>
      </c>
      <c r="B5" s="4" t="s">
        <v>386</v>
      </c>
      <c r="C5" s="3" t="s">
        <v>19</v>
      </c>
      <c r="D5" s="3" t="s">
        <v>19</v>
      </c>
      <c r="E5" s="3" t="s">
        <v>25</v>
      </c>
      <c r="F5" s="3" t="s">
        <v>19</v>
      </c>
      <c r="G5" s="3" t="s">
        <v>382</v>
      </c>
      <c r="H5" s="5">
        <v>1</v>
      </c>
      <c r="I5" s="3" t="s">
        <v>19</v>
      </c>
      <c r="J5" s="6">
        <v>35000</v>
      </c>
      <c r="K5" s="6">
        <v>0</v>
      </c>
      <c r="L5" s="6">
        <v>25000</v>
      </c>
      <c r="M5" s="6">
        <v>0</v>
      </c>
      <c r="N5" s="3" t="s">
        <v>19</v>
      </c>
      <c r="O5" s="6">
        <v>0</v>
      </c>
      <c r="P5" s="6">
        <f>J5-L5</f>
        <v>10000</v>
      </c>
    </row>
    <row r="6" ht="18" customHeight="1" spans="1:16" x14ac:dyDescent="0.25">
      <c r="A6" s="7" t="s">
        <v>34</v>
      </c>
      <c r="B6" s="7"/>
      <c r="C6" s="7"/>
      <c r="D6" s="7"/>
      <c r="E6" s="7"/>
      <c r="F6" s="7"/>
      <c r="G6" s="7"/>
      <c r="H6" s="8">
        <f>SUM(H3:H5)</f>
        <v>3</v>
      </c>
      <c r="I6" s="7"/>
      <c r="J6" s="9">
        <f>SUM(J3:J5)</f>
        <v>105000</v>
      </c>
      <c r="K6" s="9">
        <f>SUM(K3:K5)</f>
        <v>0</v>
      </c>
      <c r="L6" s="9">
        <f>SUM(L3:L5)</f>
        <v>75000</v>
      </c>
      <c r="M6" s="9">
        <f>SUM(M3:M5)</f>
        <v>0</v>
      </c>
      <c r="N6" s="7"/>
      <c r="O6" s="9">
        <f>SUM(O3:O5)</f>
        <v>0</v>
      </c>
      <c r="P6" s="9">
        <f>SUM(P3:P5)</f>
        <v>30000</v>
      </c>
    </row>
  </sheetData>
  <mergeCells count="2">
    <mergeCell ref="A1:P1"/>
    <mergeCell ref="A6:G6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"/>
  <sheetViews>
    <sheetView workbookViewId="0" zoomScale="90"/>
  </sheetViews>
  <sheetFormatPr defaultRowHeight="15.75" outlineLevelRow="0" outlineLevelCol="0" x14ac:dyDescent="55" customHeight="1"/>
  <cols>
    <col min="1" max="1" width="16.75" customWidth="1"/>
    <col min="2" max="2" width="17.375" customWidth="1"/>
    <col min="3" max="4" width="8.43" customWidth="1"/>
    <col min="6" max="6" width="8.43" customWidth="1"/>
    <col min="7" max="7" width="22.75" customWidth="1"/>
    <col min="9" max="9" width="10.625" customWidth="1"/>
    <col min="10" max="10" width="9.625" customWidth="1"/>
    <col min="14" max="14" width="18.125" customWidth="1"/>
    <col min="16" max="16" width="10.5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136</v>
      </c>
      <c r="B3" s="4" t="s">
        <v>137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387</v>
      </c>
      <c r="H3" s="5">
        <v>1</v>
      </c>
      <c r="I3" s="3" t="s">
        <v>19</v>
      </c>
      <c r="J3" s="6">
        <v>15000</v>
      </c>
      <c r="K3" s="6">
        <v>0</v>
      </c>
      <c r="L3" s="6">
        <v>7950</v>
      </c>
      <c r="M3" s="6">
        <v>0</v>
      </c>
      <c r="N3" s="3" t="s">
        <v>19</v>
      </c>
      <c r="O3" s="6">
        <v>0</v>
      </c>
      <c r="P3" s="6">
        <f>J3-L3</f>
        <v>7050</v>
      </c>
    </row>
    <row r="4" spans="1:16" x14ac:dyDescent="0.25">
      <c r="A4" s="3" t="s">
        <v>182</v>
      </c>
      <c r="B4" s="4" t="s">
        <v>183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387</v>
      </c>
      <c r="H4" s="5">
        <v>1</v>
      </c>
      <c r="I4" s="3" t="s">
        <v>19</v>
      </c>
      <c r="J4" s="6">
        <v>15000</v>
      </c>
      <c r="K4" s="6">
        <v>0</v>
      </c>
      <c r="L4" s="6">
        <v>7950</v>
      </c>
      <c r="M4" s="6">
        <v>0</v>
      </c>
      <c r="N4" s="3" t="s">
        <v>19</v>
      </c>
      <c r="O4" s="6">
        <v>0</v>
      </c>
      <c r="P4" s="6">
        <f>J4-L4</f>
        <v>7050</v>
      </c>
    </row>
    <row r="5" spans="1:16" x14ac:dyDescent="0.25">
      <c r="A5" s="3" t="s">
        <v>388</v>
      </c>
      <c r="B5" s="4" t="s">
        <v>389</v>
      </c>
      <c r="C5" s="3" t="s">
        <v>19</v>
      </c>
      <c r="D5" s="3" t="s">
        <v>19</v>
      </c>
      <c r="E5" s="3" t="s">
        <v>20</v>
      </c>
      <c r="F5" s="3" t="s">
        <v>19</v>
      </c>
      <c r="G5" s="3" t="s">
        <v>387</v>
      </c>
      <c r="H5" s="5">
        <v>1</v>
      </c>
      <c r="I5" s="3" t="s">
        <v>19</v>
      </c>
      <c r="J5" s="6">
        <v>15000</v>
      </c>
      <c r="K5" s="6">
        <v>0</v>
      </c>
      <c r="L5" s="6">
        <v>7950</v>
      </c>
      <c r="M5" s="6">
        <v>0</v>
      </c>
      <c r="N5" s="3" t="s">
        <v>19</v>
      </c>
      <c r="O5" s="6">
        <v>0</v>
      </c>
      <c r="P5" s="6">
        <f>J5-L5</f>
        <v>7050</v>
      </c>
    </row>
    <row r="6" spans="1:16" x14ac:dyDescent="0.25">
      <c r="A6" s="3" t="s">
        <v>287</v>
      </c>
      <c r="B6" s="4" t="s">
        <v>288</v>
      </c>
      <c r="C6" s="3" t="s">
        <v>19</v>
      </c>
      <c r="D6" s="3" t="s">
        <v>19</v>
      </c>
      <c r="E6" s="3" t="s">
        <v>25</v>
      </c>
      <c r="F6" s="3" t="s">
        <v>19</v>
      </c>
      <c r="G6" s="3" t="s">
        <v>387</v>
      </c>
      <c r="H6" s="5">
        <v>1</v>
      </c>
      <c r="I6" s="3" t="s">
        <v>19</v>
      </c>
      <c r="J6" s="6">
        <v>15000</v>
      </c>
      <c r="K6" s="6">
        <v>0</v>
      </c>
      <c r="L6" s="6">
        <v>7950</v>
      </c>
      <c r="M6" s="6">
        <v>0</v>
      </c>
      <c r="N6" s="3" t="s">
        <v>19</v>
      </c>
      <c r="O6" s="6">
        <v>0</v>
      </c>
      <c r="P6" s="6">
        <f>J6-L6</f>
        <v>7050</v>
      </c>
    </row>
    <row r="7" ht="18" customHeight="1" spans="1:16" x14ac:dyDescent="0.25">
      <c r="A7" s="7" t="s">
        <v>34</v>
      </c>
      <c r="B7" s="7"/>
      <c r="C7" s="7"/>
      <c r="D7" s="7"/>
      <c r="E7" s="7"/>
      <c r="F7" s="7"/>
      <c r="G7" s="7"/>
      <c r="H7" s="8">
        <f>SUM(H3:H6)</f>
        <v>4</v>
      </c>
      <c r="I7" s="7"/>
      <c r="J7" s="9">
        <f>SUM(J3:J6)</f>
        <v>60000</v>
      </c>
      <c r="K7" s="9">
        <f>SUM(K3:K6)</f>
        <v>0</v>
      </c>
      <c r="L7" s="9">
        <f>SUM(L3:L6)</f>
        <v>31800</v>
      </c>
      <c r="M7" s="9">
        <f>SUM(M3:M6)</f>
        <v>0</v>
      </c>
      <c r="N7" s="7"/>
      <c r="O7" s="9">
        <f>SUM(O3:O6)</f>
        <v>0</v>
      </c>
      <c r="P7" s="9">
        <f>SUM(P3:P6)</f>
        <v>28200</v>
      </c>
    </row>
    <row r="11" ht="15.75" customHeight="1" spans="1:16" x14ac:dyDescent="0.25">
      <c r="A11" s="1" t="s">
        <v>35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ht="39.4" customHeight="1" spans="1:16" x14ac:dyDescent="0.25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  <c r="L12" s="2" t="s">
        <v>12</v>
      </c>
      <c r="M12" s="2" t="s">
        <v>13</v>
      </c>
      <c r="N12" s="2" t="s">
        <v>14</v>
      </c>
      <c r="O12" s="2" t="s">
        <v>15</v>
      </c>
      <c r="P12" s="2" t="s">
        <v>16</v>
      </c>
    </row>
    <row r="13" spans="1:16" x14ac:dyDescent="0.25">
      <c r="A13" s="3" t="s">
        <v>345</v>
      </c>
      <c r="B13" s="4" t="s">
        <v>346</v>
      </c>
      <c r="C13" s="3" t="s">
        <v>19</v>
      </c>
      <c r="D13" s="3" t="s">
        <v>19</v>
      </c>
      <c r="E13" s="3" t="s">
        <v>25</v>
      </c>
      <c r="F13" s="3" t="s">
        <v>19</v>
      </c>
      <c r="G13" s="3" t="s">
        <v>387</v>
      </c>
      <c r="H13" s="5">
        <v>1</v>
      </c>
      <c r="I13" s="3" t="s">
        <v>19</v>
      </c>
      <c r="J13" s="6">
        <v>15000</v>
      </c>
      <c r="K13" s="6">
        <v>0</v>
      </c>
      <c r="L13" s="6">
        <v>7950</v>
      </c>
      <c r="M13" s="6">
        <v>0</v>
      </c>
      <c r="N13" s="3" t="s">
        <v>19</v>
      </c>
      <c r="O13" s="6">
        <v>0</v>
      </c>
      <c r="P13" s="6">
        <f>J13-L13</f>
        <v>7050</v>
      </c>
    </row>
    <row r="14" ht="18" customHeight="1" spans="1:16" x14ac:dyDescent="0.25">
      <c r="A14" s="7" t="s">
        <v>34</v>
      </c>
      <c r="B14" s="7"/>
      <c r="C14" s="7"/>
      <c r="D14" s="7"/>
      <c r="E14" s="7"/>
      <c r="F14" s="7"/>
      <c r="G14" s="7"/>
      <c r="H14" s="8">
        <f>SUM(H13:H13)</f>
        <v>1</v>
      </c>
      <c r="I14" s="7"/>
      <c r="J14" s="9">
        <f>SUM(J13:J13)</f>
        <v>15000</v>
      </c>
      <c r="K14" s="9">
        <f>SUM(K13:K13)</f>
        <v>0</v>
      </c>
      <c r="L14" s="9">
        <f>SUM(L13:L13)</f>
        <v>7950</v>
      </c>
      <c r="M14" s="9">
        <f>SUM(M13:M13)</f>
        <v>0</v>
      </c>
      <c r="N14" s="7"/>
      <c r="O14" s="9">
        <f>SUM(O13:O13)</f>
        <v>0</v>
      </c>
      <c r="P14" s="9">
        <f>SUM(P13:P13)</f>
        <v>7050</v>
      </c>
    </row>
  </sheetData>
  <mergeCells count="4">
    <mergeCell ref="A1:P1"/>
    <mergeCell ref="A7:G7"/>
    <mergeCell ref="A11:P11"/>
    <mergeCell ref="A14:G14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"/>
  <sheetViews>
    <sheetView workbookViewId="0" zoomScale="90"/>
  </sheetViews>
  <sheetFormatPr defaultRowHeight="15.75" outlineLevelRow="0" outlineLevelCol="0" x14ac:dyDescent="55" customHeight="1"/>
  <cols>
    <col min="1" max="1" width="16.75" customWidth="1"/>
    <col min="2" max="2" width="17.375" customWidth="1"/>
    <col min="3" max="4" width="8.43" customWidth="1"/>
    <col min="6" max="6" width="8.43" customWidth="1"/>
    <col min="7" max="7" width="22.75" customWidth="1"/>
    <col min="9" max="9" width="10.625" customWidth="1"/>
    <col min="10" max="10" width="9.625" customWidth="1"/>
    <col min="14" max="14" width="18.125" customWidth="1"/>
    <col min="16" max="16" width="10.5" customWidth="1"/>
  </cols>
  <sheetData>
    <row r="1" ht="15.75" customHeight="1" spans="1:16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390</v>
      </c>
      <c r="B3" s="4" t="s">
        <v>391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392</v>
      </c>
      <c r="H3" s="5">
        <v>1</v>
      </c>
      <c r="I3" s="3" t="s">
        <v>19</v>
      </c>
      <c r="J3" s="6">
        <v>70000</v>
      </c>
      <c r="K3" s="6">
        <v>0</v>
      </c>
      <c r="L3" s="6">
        <v>39597.3</v>
      </c>
      <c r="M3" s="6">
        <v>0</v>
      </c>
      <c r="N3" s="3" t="s">
        <v>19</v>
      </c>
      <c r="O3" s="6">
        <v>0</v>
      </c>
      <c r="P3" s="6">
        <f>J3-L3</f>
        <v>30402.699999999997</v>
      </c>
    </row>
    <row r="4" ht="18" customHeight="1" spans="1:16" x14ac:dyDescent="0.25">
      <c r="A4" s="7" t="s">
        <v>34</v>
      </c>
      <c r="B4" s="7"/>
      <c r="C4" s="7"/>
      <c r="D4" s="7"/>
      <c r="E4" s="7"/>
      <c r="F4" s="7"/>
      <c r="G4" s="7"/>
      <c r="H4" s="8">
        <f>SUM(H3:H3)</f>
        <v>1</v>
      </c>
      <c r="I4" s="7"/>
      <c r="J4" s="9">
        <f>SUM(J3:J3)</f>
        <v>70000</v>
      </c>
      <c r="K4" s="9">
        <f>SUM(K3:K3)</f>
        <v>0</v>
      </c>
      <c r="L4" s="9">
        <f>SUM(L3:L3)</f>
        <v>39597.3</v>
      </c>
      <c r="M4" s="9">
        <f>SUM(M3:M3)</f>
        <v>0</v>
      </c>
      <c r="N4" s="7"/>
      <c r="O4" s="9">
        <f>SUM(O3:O3)</f>
        <v>0</v>
      </c>
      <c r="P4" s="9">
        <f>SUM(P3:P3)</f>
        <v>30402.699999999997</v>
      </c>
    </row>
  </sheetData>
  <mergeCells count="2">
    <mergeCell ref="A1:P1"/>
    <mergeCell ref="A4:G4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LAPANGAN PADEL</vt:lpstr>
      <vt:lpstr>SEWA RAKET</vt:lpstr>
      <vt:lpstr>LABERS</vt:lpstr>
      <vt:lpstr>MINUMAN</vt:lpstr>
      <vt:lpstr>BOLA PADEL</vt:lpstr>
      <vt:lpstr>SKORT WANITA</vt:lpstr>
      <vt:lpstr>SEWA KERANJANG+BOLA</vt:lpstr>
      <vt:lpstr>LAPANGAN PICKLEBALL</vt:lpstr>
      <vt:lpstr>CELANA PRIA</vt:lpstr>
      <vt:lpstr>GRIP</vt:lpstr>
      <vt:lpstr>SNACK</vt:lpstr>
      <vt:lpstr>KAOS KAKI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 Olsera</dc:creator>
  <dc:title/>
  <dc:subject/>
  <dc:description/>
  <cp:keywords/>
  <cp:category/>
  <cp:lastModifiedBy>Unknown</cp:lastModifiedBy>
  <dcterms:created xsi:type="dcterms:W3CDTF">2026-07-13T04:10:34Z</dcterms:created>
  <dcterms:modified xsi:type="dcterms:W3CDTF">2026-07-13T04:10:34Z</dcterms:modified>
</cp:coreProperties>
</file>