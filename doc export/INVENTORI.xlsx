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YOSELRA\doc export\"/>
    </mc:Choice>
  </mc:AlternateContent>
  <xr:revisionPtr revIDLastSave="0" documentId="13_ncr:1_{E8DEF903-BF57-4CC4-BAA2-B5ED92D4356F}" xr6:coauthVersionLast="47" xr6:coauthVersionMax="47" xr10:uidLastSave="{00000000-0000-0000-0000-000000000000}"/>
  <bookViews>
    <workbookView xWindow="-98" yWindow="-98" windowWidth="28996" windowHeight="16395" xr2:uid="{BEE810E9-9A13-4EBD-810E-59BDF11E5493}"/>
  </bookViews>
  <sheets>
    <sheet name="JUNI'26" sheetId="1" r:id="rId1"/>
  </sheets>
  <definedNames>
    <definedName name="_xlnm._FilterDatabase" localSheetId="0" hidden="1">'JUNI''26'!$A$2:$B$64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N64" i="1" l="1"/>
  <c r="AI64" i="1"/>
  <c r="AH64" i="1"/>
  <c r="AG64" i="1"/>
  <c r="AF64" i="1"/>
  <c r="AE64" i="1"/>
  <c r="AD64" i="1"/>
  <c r="AC64" i="1"/>
  <c r="AB64" i="1"/>
  <c r="AA64" i="1"/>
  <c r="Z64" i="1"/>
  <c r="Y64" i="1"/>
  <c r="X64" i="1"/>
  <c r="W64" i="1"/>
  <c r="V64" i="1"/>
  <c r="U64" i="1"/>
  <c r="T64" i="1"/>
  <c r="S64" i="1"/>
  <c r="R64" i="1"/>
  <c r="Q64" i="1"/>
  <c r="P64" i="1"/>
  <c r="O64" i="1"/>
  <c r="N64" i="1"/>
  <c r="M64" i="1"/>
  <c r="L64" i="1"/>
  <c r="K64" i="1"/>
  <c r="J64" i="1"/>
  <c r="I64" i="1"/>
  <c r="H64" i="1"/>
  <c r="G64" i="1"/>
  <c r="E64" i="1"/>
  <c r="D64" i="1"/>
  <c r="C64" i="1"/>
  <c r="AM63" i="1"/>
  <c r="AO63" i="1" s="1"/>
  <c r="AK63" i="1"/>
  <c r="AK62" i="1"/>
  <c r="AM62" i="1" s="1"/>
  <c r="AO62" i="1" s="1"/>
  <c r="AK61" i="1"/>
  <c r="F61" i="1"/>
  <c r="AM61" i="1" s="1"/>
  <c r="AO61" i="1" s="1"/>
  <c r="AM60" i="1"/>
  <c r="AO60" i="1" s="1"/>
  <c r="AK60" i="1"/>
  <c r="AM59" i="1"/>
  <c r="AO59" i="1" s="1"/>
  <c r="AK59" i="1"/>
  <c r="AO58" i="1"/>
  <c r="AM58" i="1"/>
  <c r="AK58" i="1"/>
  <c r="AK57" i="1"/>
  <c r="F57" i="1"/>
  <c r="AM57" i="1" s="1"/>
  <c r="AO57" i="1" s="1"/>
  <c r="AK56" i="1"/>
  <c r="F56" i="1"/>
  <c r="AM56" i="1" s="1"/>
  <c r="AO56" i="1" s="1"/>
  <c r="AK55" i="1"/>
  <c r="AM55" i="1" s="1"/>
  <c r="AO55" i="1" s="1"/>
  <c r="AK54" i="1"/>
  <c r="AM54" i="1" s="1"/>
  <c r="AO54" i="1" s="1"/>
  <c r="AK53" i="1"/>
  <c r="AM53" i="1" s="1"/>
  <c r="AO53" i="1" s="1"/>
  <c r="AK52" i="1"/>
  <c r="AM52" i="1" s="1"/>
  <c r="AO52" i="1" s="1"/>
  <c r="AK51" i="1"/>
  <c r="F51" i="1"/>
  <c r="AM51" i="1" s="1"/>
  <c r="AO51" i="1" s="1"/>
  <c r="AK50" i="1"/>
  <c r="AM50" i="1" s="1"/>
  <c r="AO50" i="1" s="1"/>
  <c r="AK49" i="1"/>
  <c r="AM49" i="1" s="1"/>
  <c r="AO49" i="1" s="1"/>
  <c r="AK48" i="1"/>
  <c r="AM48" i="1" s="1"/>
  <c r="AO48" i="1" s="1"/>
  <c r="AK47" i="1"/>
  <c r="AM47" i="1" s="1"/>
  <c r="AO47" i="1" s="1"/>
  <c r="AK46" i="1"/>
  <c r="AM46" i="1" s="1"/>
  <c r="AO46" i="1" s="1"/>
  <c r="AM45" i="1"/>
  <c r="AO45" i="1" s="1"/>
  <c r="AK45" i="1"/>
  <c r="AO44" i="1"/>
  <c r="AM44" i="1"/>
  <c r="AK44" i="1"/>
  <c r="AK43" i="1"/>
  <c r="AM43" i="1" s="1"/>
  <c r="AO43" i="1" s="1"/>
  <c r="AO42" i="1"/>
  <c r="AM42" i="1"/>
  <c r="AK42" i="1"/>
  <c r="AK41" i="1"/>
  <c r="AM41" i="1" s="1"/>
  <c r="AO41" i="1" s="1"/>
  <c r="AK40" i="1"/>
  <c r="AM40" i="1" s="1"/>
  <c r="AO40" i="1" s="1"/>
  <c r="AM39" i="1"/>
  <c r="AO39" i="1" s="1"/>
  <c r="AK39" i="1"/>
  <c r="AM38" i="1"/>
  <c r="AO38" i="1" s="1"/>
  <c r="AK38" i="1"/>
  <c r="AM37" i="1"/>
  <c r="AO37" i="1" s="1"/>
  <c r="AK37" i="1"/>
  <c r="AK36" i="1"/>
  <c r="AM36" i="1" s="1"/>
  <c r="AO36" i="1" s="1"/>
  <c r="AK35" i="1"/>
  <c r="AM35" i="1" s="1"/>
  <c r="AO35" i="1" s="1"/>
  <c r="AK34" i="1"/>
  <c r="AM34" i="1" s="1"/>
  <c r="AO34" i="1" s="1"/>
  <c r="AK33" i="1"/>
  <c r="AM33" i="1" s="1"/>
  <c r="AO33" i="1" s="1"/>
  <c r="AK32" i="1"/>
  <c r="AM32" i="1" s="1"/>
  <c r="AO32" i="1" s="1"/>
  <c r="AK31" i="1"/>
  <c r="AM31" i="1" s="1"/>
  <c r="AO31" i="1" s="1"/>
  <c r="AK30" i="1"/>
  <c r="AM30" i="1" s="1"/>
  <c r="AO30" i="1" s="1"/>
  <c r="AM29" i="1"/>
  <c r="AO29" i="1" s="1"/>
  <c r="AK29" i="1"/>
  <c r="AO28" i="1"/>
  <c r="AM28" i="1"/>
  <c r="AK28" i="1"/>
  <c r="AO27" i="1"/>
  <c r="AM27" i="1"/>
  <c r="AK27" i="1"/>
  <c r="AO26" i="1"/>
  <c r="AM26" i="1"/>
  <c r="AK26" i="1"/>
  <c r="AK25" i="1"/>
  <c r="AM25" i="1" s="1"/>
  <c r="AO25" i="1" s="1"/>
  <c r="AK24" i="1"/>
  <c r="AM24" i="1" s="1"/>
  <c r="AO24" i="1" s="1"/>
  <c r="AM23" i="1"/>
  <c r="AO23" i="1" s="1"/>
  <c r="AK23" i="1"/>
  <c r="AM22" i="1"/>
  <c r="AO22" i="1" s="1"/>
  <c r="AK22" i="1"/>
  <c r="AM21" i="1"/>
  <c r="AO21" i="1" s="1"/>
  <c r="AK21" i="1"/>
  <c r="AK20" i="1"/>
  <c r="AM20" i="1" s="1"/>
  <c r="AO20" i="1" s="1"/>
  <c r="AK19" i="1"/>
  <c r="AM19" i="1" s="1"/>
  <c r="AO19" i="1" s="1"/>
  <c r="AK18" i="1"/>
  <c r="AM18" i="1" s="1"/>
  <c r="AO18" i="1" s="1"/>
  <c r="AK17" i="1"/>
  <c r="F17" i="1"/>
  <c r="F64" i="1" s="1"/>
  <c r="AM16" i="1"/>
  <c r="AO16" i="1" s="1"/>
  <c r="AK16" i="1"/>
  <c r="AK15" i="1"/>
  <c r="AM15" i="1" s="1"/>
  <c r="AO15" i="1" s="1"/>
  <c r="AK14" i="1"/>
  <c r="AM14" i="1" s="1"/>
  <c r="AO14" i="1" s="1"/>
  <c r="AK13" i="1"/>
  <c r="AM13" i="1" s="1"/>
  <c r="AO13" i="1" s="1"/>
  <c r="AK12" i="1"/>
  <c r="AM12" i="1" s="1"/>
  <c r="AO12" i="1" s="1"/>
  <c r="AK11" i="1"/>
  <c r="AM11" i="1" s="1"/>
  <c r="AO11" i="1" s="1"/>
  <c r="AK10" i="1"/>
  <c r="AM10" i="1" s="1"/>
  <c r="AO10" i="1" s="1"/>
  <c r="AK9" i="1"/>
  <c r="AM9" i="1" s="1"/>
  <c r="AO9" i="1" s="1"/>
  <c r="AM8" i="1"/>
  <c r="AO8" i="1" s="1"/>
  <c r="AK8" i="1"/>
  <c r="AO7" i="1"/>
  <c r="AM7" i="1"/>
  <c r="AK7" i="1"/>
  <c r="AO6" i="1"/>
  <c r="AM6" i="1"/>
  <c r="AK6" i="1"/>
  <c r="AO5" i="1"/>
  <c r="AM5" i="1"/>
  <c r="AK5" i="1"/>
  <c r="AK4" i="1"/>
  <c r="AK64" i="1" s="1"/>
  <c r="AM17" i="1" l="1"/>
  <c r="AO17" i="1" s="1"/>
  <c r="AM4" i="1"/>
  <c r="AM64" i="1" l="1"/>
  <c r="AO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F12" authorId="0" shapeId="0" xr:uid="{574D10F6-F21F-415C-A01A-4B4001C72A2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masuk tgl 13 juni 2026</t>
        </r>
      </text>
    </comment>
    <comment ref="F13" authorId="0" shapeId="0" xr:uid="{9AB56B2C-8697-4343-BEA5-06AE15BE40C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masuk tgl 13 juni 2026</t>
        </r>
      </text>
    </comment>
    <comment ref="F17" authorId="0" shapeId="0" xr:uid="{BAA77D0B-B0A7-456A-B76C-599D99EF20BA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6 pcs masuk tgl 19 juni'26
6 pcs masuk tgl 23 juni'26</t>
        </r>
      </text>
    </comment>
    <comment ref="F48" authorId="0" shapeId="0" xr:uid="{0F70BC98-21CA-4E5F-AC0D-BF8814D65DCE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Barang Masuk tgl 17 Juni 2026</t>
        </r>
      </text>
    </comment>
    <comment ref="F49" authorId="0" shapeId="0" xr:uid="{384159DD-DD7E-4AE2-8E85-56FAF63EAFB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24 pcs masuk tgl 26 juni'26</t>
        </r>
      </text>
    </comment>
    <comment ref="F50" authorId="0" shapeId="0" xr:uid="{5390F5A6-CF35-416B-B2A5-3F51B6CAB86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MASUK TGL 3 JUNI (ADJUST)</t>
        </r>
      </text>
    </comment>
    <comment ref="F51" authorId="0" shapeId="0" xr:uid="{E3F4DDF6-C3FA-4BDD-8CBB-1E671D5A4A0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MASUK TGL 3 JUNI (ADJUST)
24 pcs masuk tgl 24 juni'26</t>
        </r>
      </text>
    </comment>
    <comment ref="F56" authorId="0" shapeId="0" xr:uid="{4AB9BCAC-CE3E-4B33-ADCA-BE341AEC8D9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- 33 PCS MASUK TGL 4 JUNI 2026
- 300 PCS MASUK TGL 5 JUNI 2026
300 pcs masuk tgl 25 juni'26</t>
        </r>
      </text>
    </comment>
    <comment ref="F57" authorId="0" shapeId="0" xr:uid="{2A410BDC-A0F8-4271-AA16-DE769D81F39E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24 MASUK TGL 5 JUNI 2026
24 pcs masuk tgl 25 juni'26</t>
        </r>
      </text>
    </comment>
    <comment ref="F58" authorId="0" shapeId="0" xr:uid="{9DB90F4F-C237-40F4-8AD7-7C792D878C3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masuk tgl 2 juni 2026
17 pcs Masuk tgl 17 Juni 2026</t>
        </r>
      </text>
    </comment>
    <comment ref="F59" authorId="0" shapeId="0" xr:uid="{55E6E0D9-02B2-4193-8463-8AC4364BFF5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masuk tgl 19 juni'26</t>
        </r>
      </text>
    </comment>
    <comment ref="F60" authorId="0" shapeId="0" xr:uid="{E7EC61EB-1785-45DE-A25A-959B6E4AA7E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masuk tgl 19 juni'26</t>
        </r>
      </text>
    </comment>
    <comment ref="F61" authorId="0" shapeId="0" xr:uid="{79E5170E-B84D-4821-B62F-9A1D3AAE183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masuk tgl 2 juni 2026
60 pcs masuk tgl 19 juni'26</t>
        </r>
      </text>
    </comment>
    <comment ref="F62" authorId="0" shapeId="0" xr:uid="{128CE735-AE87-45B0-AC3C-DC9D44E4868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36 pcs masuk tgl 23 juni'26</t>
        </r>
      </text>
    </comment>
  </commentList>
</comments>
</file>

<file path=xl/sharedStrings.xml><?xml version="1.0" encoding="utf-8"?>
<sst xmlns="http://schemas.openxmlformats.org/spreadsheetml/2006/main" count="135" uniqueCount="87">
  <si>
    <t>Laporan Stock Opname</t>
  </si>
  <si>
    <t>Group</t>
  </si>
  <si>
    <t>Nama Barang</t>
  </si>
  <si>
    <t>Harga Beli</t>
  </si>
  <si>
    <t>Harga Jual</t>
  </si>
  <si>
    <t>Stok Awal</t>
  </si>
  <si>
    <t>Barang 
Masuk</t>
  </si>
  <si>
    <t>Bulan Juni</t>
  </si>
  <si>
    <t>Penjualan</t>
  </si>
  <si>
    <t>Keluar</t>
  </si>
  <si>
    <t>Stock Akhir</t>
  </si>
  <si>
    <t>Aktual</t>
  </si>
  <si>
    <t>Selisih</t>
  </si>
  <si>
    <t>KAOS KAKI</t>
  </si>
  <si>
    <t>YONEX MEN SOCKS SSM-1855ID-MP6-SR</t>
  </si>
  <si>
    <t>YONEX MEN SOCKS SSM-1255ID-MP6-SR</t>
  </si>
  <si>
    <t>YONEX MEN SOCKS SSM-1284ID-MP6-S</t>
  </si>
  <si>
    <t>YONEX SOCKS SSM-1055ID-MP6-SR</t>
  </si>
  <si>
    <t>YONEX MEN SOCKS SSM-1086ID-MP6-S</t>
  </si>
  <si>
    <t>YONEX MEN SOCKS SSM-1285ID-MP6-S</t>
  </si>
  <si>
    <t>YONEX LADIES SOCKS # SSL-2859R-S</t>
  </si>
  <si>
    <t>YONEX LADIES SOCKS # SSL-2860R-S</t>
  </si>
  <si>
    <t>KAOS KAKI NOX SOCKS LONG</t>
  </si>
  <si>
    <t>KAOS KAKI NOX SOCKS SHORT</t>
  </si>
  <si>
    <t>CELANA PRIA</t>
  </si>
  <si>
    <t>YONEX MENS SHORTS # SM-P061-3085-RW2-S</t>
  </si>
  <si>
    <t>YONEX SHORTS MEN # SM-J035-2906-RW1-S</t>
  </si>
  <si>
    <t>SKORT WANITA</t>
  </si>
  <si>
    <t>YONEX LADIES SKORT #SKL-P061-2846-SOLID-S</t>
  </si>
  <si>
    <t>SKORT PADEL VARIASI</t>
  </si>
  <si>
    <t>BAJU PRIA</t>
  </si>
  <si>
    <t>YONEX POLO MEN # PM-P064-2736-EASY4-S</t>
  </si>
  <si>
    <t>YONEX MEN POLO T-SHIRT # PM-P064-2626-EASY3-S</t>
  </si>
  <si>
    <t>THERMOFLASK</t>
  </si>
  <si>
    <t>YONEX MALAYSIA OPEN THERMO FLASK # TF-Y037-850-004-25-S</t>
  </si>
  <si>
    <t>RAKET PADEL</t>
  </si>
  <si>
    <t>Bullpadel Sniper 2.0 Power Black 2026</t>
  </si>
  <si>
    <t>Bullpadel Sniper 2.0 Power Light Blue 2026</t>
  </si>
  <si>
    <t>Bullpadel Sniper 2.0 Oil Petroleo 2026</t>
  </si>
  <si>
    <t>Bullpadel Indiga Discover PWR 2025</t>
  </si>
  <si>
    <t>Bullpadel Indiga Mundial Argentina LTD 1988</t>
  </si>
  <si>
    <t>Nox X ONE Black</t>
  </si>
  <si>
    <t>Siux Beat Hybrid 2</t>
  </si>
  <si>
    <t>Siux Beat Hybrid Air 2</t>
  </si>
  <si>
    <t>BULLPADEL IONIC CONTROL 25-365-375G NAVY</t>
  </si>
  <si>
    <t>BULLPADEL K2 POWER 25-360-370G NAVY</t>
  </si>
  <si>
    <t>BULLPADEL BP10 EVO 25-360-370G GREY</t>
  </si>
  <si>
    <t>BULLPADEL FLOW LIGHT 25-350-360G RED</t>
  </si>
  <si>
    <t>BULLPADEL INDIGA PWR 25-360-370G WHITE</t>
  </si>
  <si>
    <t>BULLPADEL INDIGA CTR 25-360-370G GREEN</t>
  </si>
  <si>
    <t>BULLPADEL INDIGA W 25-350-360G WHITE</t>
  </si>
  <si>
    <t>BULLPADEL HACK JR 25-335-345G GREEN</t>
  </si>
  <si>
    <t>RAKET BULLPADEL VERTEX 05 JR GIRL 2026</t>
  </si>
  <si>
    <t>BULLPADEL VERTEX JR 25-335-345G BLACK</t>
  </si>
  <si>
    <t>BULLPADEL HACK 04 COMFORT 2026-355-360 GREY/GREEN</t>
  </si>
  <si>
    <t>BULLPADEL VERTEX 05 COMFORT 2026-360-370 BLACK/BLUE</t>
  </si>
  <si>
    <t>BULLPADEL XPLO COMFORT 2026-360-370 BLACK/GREY</t>
  </si>
  <si>
    <t>BULLPADEL FLOW LEGEND 2026-345-350 GREY/WHITE</t>
  </si>
  <si>
    <t>RAKET PADEL ADIDAS 2026 MATCH</t>
  </si>
  <si>
    <t>RAKET BULLPADEL HACK 04 JR 2026</t>
  </si>
  <si>
    <t>GELAS/CUP</t>
  </si>
  <si>
    <t>CUP 22OZ</t>
  </si>
  <si>
    <t>HOT CUP KRAFT 12OZ</t>
  </si>
  <si>
    <t>BOLA PADEL</t>
  </si>
  <si>
    <t>BOLA BULLPADEL PREMIUM PRO ISI 3</t>
  </si>
  <si>
    <t>BOLA ADIDAS SPEED RX ISI 3</t>
  </si>
  <si>
    <t>BOLA PADEL ODEA</t>
  </si>
  <si>
    <t>HEAD PRO ISI 3</t>
  </si>
  <si>
    <t>HEAD PRO S+ ISI 3</t>
  </si>
  <si>
    <t>BOLA AMA PINK ISI 2</t>
  </si>
  <si>
    <t>GRIP</t>
  </si>
  <si>
    <t>YONEX AC102</t>
  </si>
  <si>
    <t>GRIP LI-NING</t>
  </si>
  <si>
    <t>OVERGRIPS WILSON</t>
  </si>
  <si>
    <t>MINUMAN</t>
  </si>
  <si>
    <t>NESTLE PURE LIFE 1500ML</t>
  </si>
  <si>
    <t>NESTLE PURE LIFE 600ML</t>
  </si>
  <si>
    <t>POCARI SWEAT PET 500 ML</t>
  </si>
  <si>
    <t>POCARI SWEAT PET 900ML</t>
  </si>
  <si>
    <t>POCARI ION WATER 500ML</t>
  </si>
  <si>
    <t>SNACK</t>
  </si>
  <si>
    <t>SOY JOY MULTI VARIANT</t>
  </si>
  <si>
    <t>PERMEN HACKER</t>
  </si>
  <si>
    <t>TOPI</t>
  </si>
  <si>
    <t>YONEX  WOMEN CAP SILICON</t>
  </si>
  <si>
    <t>Total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</si>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</sst>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-&quot;Rp&quot;* #,##0_-;\-&quot;Rp&quot;* #,##0_-;_-&quot;Rp&quot;* &quot;-&quot;_-;_-@_-"/>
    <numFmt numFmtId="41" formatCode="_-* #,##0_-;\-* #,##0_-;_-* &quot;-&quot;_-;_-@_-"/>
    <numFmt numFmtId="44" formatCode="_-&quot;Rp&quot;* #,##0.00_-;\-&quot;Rp&quot;* #,##0.00_-;_-&quot;Rp&quot;* &quot;-&quot;??_-;_-@_-"/>
    <numFmt numFmtId="164" formatCode="_-&quot;Rp&quot;* #,##0.00_-;\-&quot;Rp&quot;* #,##0.00_-;_-&quot;Rp&quot;* &quot;-&quot;_-;_-@_-"/>
    <numFmt numFmtId="165" formatCode="_-&quot;Rp&quot;* #,##0.0_-;\-&quot;Rp&quot;* #,##0.0_-;_-&quot;Rp&quot;* &quot;-&quot;_-;_-@_-"/>
  </numFmts>
  <fonts count="7" x14ac:knownFonts="1">
    <font>
      <sz val="12"/>
      <color rgb="FF000000"/>
      <name val="Calibri"/>
    </font>
    <font>
      <b/>
      <sz val="16"/>
      <color rgb="FF000000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12"/>
      <color rgb="FFFF0000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</cellStyleXfs>
  <cellXfs count="61">
    <xf numFmtId="0" fontId="0" fillId="0" borderId="0" xfId="0"/>
    <xf numFmtId="0" fontId="2" fillId="0" borderId="9" xfId="0" applyFont="1" applyBorder="1" applyAlignment="1">
      <alignment horizontal="center" vertical="center"/>
    </xf>
    <xf numFmtId="0" fontId="3" fillId="0" borderId="13" xfId="2" applyBorder="1"/>
    <xf numFmtId="44" fontId="3" fillId="0" borderId="13" xfId="2" applyNumberFormat="1" applyBorder="1"/>
    <xf numFmtId="1" fontId="3" fillId="0" borderId="13" xfId="0" applyNumberFormat="1" applyFont="1" applyBorder="1" applyAlignment="1">
      <alignment horizontal="center"/>
    </xf>
    <xf numFmtId="1" fontId="3" fillId="0" borderId="14" xfId="0" applyNumberFormat="1" applyFont="1" applyBorder="1" applyAlignment="1">
      <alignment horizontal="center"/>
    </xf>
    <xf numFmtId="1" fontId="3" fillId="0" borderId="3" xfId="3" applyNumberFormat="1" applyBorder="1" applyAlignment="1">
      <alignment horizontal="center"/>
    </xf>
    <xf numFmtId="0" fontId="0" fillId="0" borderId="13" xfId="0" applyBorder="1" applyAlignment="1">
      <alignment horizontal="center" vertical="center"/>
    </xf>
    <xf numFmtId="1" fontId="3" fillId="0" borderId="13" xfId="2" applyNumberFormat="1" applyBorder="1" applyAlignment="1">
      <alignment horizontal="center"/>
    </xf>
    <xf numFmtId="0" fontId="3" fillId="0" borderId="15" xfId="2" applyBorder="1"/>
    <xf numFmtId="44" fontId="3" fillId="0" borderId="15" xfId="2" applyNumberFormat="1" applyBorder="1"/>
    <xf numFmtId="1" fontId="3" fillId="0" borderId="15" xfId="0" applyNumberFormat="1" applyFont="1" applyBorder="1" applyAlignment="1">
      <alignment horizontal="center"/>
    </xf>
    <xf numFmtId="0" fontId="0" fillId="0" borderId="15" xfId="0" applyBorder="1" applyAlignment="1">
      <alignment horizontal="center"/>
    </xf>
    <xf numFmtId="1" fontId="3" fillId="0" borderId="15" xfId="2" applyNumberFormat="1" applyBorder="1" applyAlignment="1">
      <alignment horizontal="center"/>
    </xf>
    <xf numFmtId="1" fontId="4" fillId="0" borderId="15" xfId="0" applyNumberFormat="1" applyFont="1" applyBorder="1" applyAlignment="1">
      <alignment horizontal="center"/>
    </xf>
    <xf numFmtId="1" fontId="4" fillId="2" borderId="15" xfId="2" applyNumberFormat="1" applyFont="1" applyFill="1" applyBorder="1" applyAlignment="1">
      <alignment horizontal="center"/>
    </xf>
    <xf numFmtId="0" fontId="3" fillId="0" borderId="0" xfId="0" applyFont="1"/>
    <xf numFmtId="44" fontId="3" fillId="0" borderId="15" xfId="2" applyNumberFormat="1" applyBorder="1" applyAlignment="1">
      <alignment horizontal="center"/>
    </xf>
    <xf numFmtId="164" fontId="3" fillId="0" borderId="15" xfId="1" applyNumberFormat="1" applyFont="1" applyFill="1" applyBorder="1"/>
    <xf numFmtId="42" fontId="3" fillId="0" borderId="15" xfId="1" applyNumberFormat="1" applyFont="1" applyFill="1" applyBorder="1"/>
    <xf numFmtId="165" fontId="3" fillId="0" borderId="15" xfId="1" applyNumberFormat="1" applyFont="1" applyFill="1" applyBorder="1"/>
    <xf numFmtId="42" fontId="3" fillId="0" borderId="15" xfId="2" applyNumberFormat="1" applyBorder="1"/>
    <xf numFmtId="1" fontId="3" fillId="0" borderId="15" xfId="3" applyNumberFormat="1" applyBorder="1" applyAlignment="1">
      <alignment horizontal="center"/>
    </xf>
    <xf numFmtId="1" fontId="3" fillId="0" borderId="2" xfId="3" applyNumberFormat="1" applyBorder="1" applyAlignment="1">
      <alignment horizontal="center"/>
    </xf>
    <xf numFmtId="44" fontId="2" fillId="0" borderId="17" xfId="3" applyNumberFormat="1" applyFont="1" applyBorder="1"/>
    <xf numFmtId="44" fontId="2" fillId="0" borderId="18" xfId="3" applyNumberFormat="1" applyFont="1" applyBorder="1"/>
    <xf numFmtId="1" fontId="2" fillId="0" borderId="17" xfId="3" applyNumberFormat="1" applyFont="1" applyBorder="1" applyAlignment="1">
      <alignment horizontal="center"/>
    </xf>
    <xf numFmtId="0" fontId="0" fillId="0" borderId="15" xfId="0" applyBorder="1"/>
    <xf numFmtId="0" fontId="3" fillId="0" borderId="0" xfId="3"/>
    <xf numFmtId="0" fontId="3" fillId="0" borderId="0" xfId="3" applyAlignment="1">
      <alignment horizontal="center"/>
    </xf>
    <xf numFmtId="0" fontId="0" fillId="0" borderId="0" xfId="0" applyAlignment="1">
      <alignment horizontal="center"/>
    </xf>
    <xf numFmtId="1" fontId="3" fillId="0" borderId="0" xfId="3" applyNumberFormat="1" applyAlignment="1">
      <alignment horizontal="center"/>
    </xf>
    <xf numFmtId="0" fontId="3" fillId="0" borderId="0" xfId="0" applyFont="1" applyAlignment="1">
      <alignment horizontal="center"/>
    </xf>
    <xf numFmtId="0" fontId="2" fillId="0" borderId="5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1" fillId="0" borderId="16" xfId="3" applyFont="1" applyBorder="1" applyAlignment="1">
      <alignment horizontal="center"/>
    </xf>
    <xf numFmtId="0" fontId="1" fillId="0" borderId="17" xfId="3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/>
    </xf>
    <xf numFmtId="1" fontId="3" fillId="2" borderId="13" xfId="0" applyNumberFormat="1" applyFont="1" applyFill="1" applyBorder="1" applyAlignment="1">
      <alignment horizontal="center"/>
    </xf>
    <xf numFmtId="1" fontId="3" fillId="2" borderId="15" xfId="0" applyNumberFormat="1" applyFont="1" applyFill="1" applyBorder="1" applyAlignment="1">
      <alignment horizontal="center"/>
    </xf>
    <xf numFmtId="1" fontId="3" fillId="2" borderId="15" xfId="3" applyNumberFormat="1" applyFill="1" applyBorder="1" applyAlignment="1">
      <alignment horizontal="center"/>
    </xf>
    <xf numFmtId="1" fontId="3" fillId="2" borderId="2" xfId="3" applyNumberFormat="1" applyFill="1" applyBorder="1" applyAlignment="1">
      <alignment horizontal="center"/>
    </xf>
    <xf numFmtId="0" fontId="2" fillId="2" borderId="16" xfId="3" applyFont="1" applyFill="1" applyBorder="1" applyAlignment="1">
      <alignment horizontal="center"/>
    </xf>
    <xf numFmtId="1" fontId="2" fillId="2" borderId="17" xfId="3" applyNumberFormat="1" applyFont="1" applyFill="1" applyBorder="1" applyAlignment="1">
      <alignment horizontal="center"/>
    </xf>
    <xf numFmtId="0" fontId="0" fillId="2" borderId="0" xfId="0" applyFill="1"/>
    <xf numFmtId="0" fontId="3" fillId="2" borderId="0" xfId="3" applyFill="1"/>
    <xf numFmtId="0" fontId="0" fillId="2" borderId="0" xfId="0" applyFill="1" applyAlignment="1">
      <alignment horizontal="center"/>
    </xf>
  </cellXfs>
  <cellStyles count="4">
    <cellStyle name="Comma [0]" xfId="1" builtinId="6"/>
    <cellStyle name="Normal" xfId="0" builtinId="0"/>
    <cellStyle name="Normal 2" xfId="2" xr:uid="{1C8F89FC-F390-4334-AB01-9D4B87FADB9E}"/>
    <cellStyle name="Normal 3" xfId="3" xr:uid="{7EB0032C-2CAA-45AD-8EA3-BBD484F27DC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64D07-E268-4488-B66D-5F849290454E}">
  <sheetPr>
    <tabColor theme="2" tint="-0.89999084444715716"/>
  </sheetPr>
  <dimension ref="A1:AP91"/>
  <sheetViews>
    <sheetView tabSelected="1" zoomScale="70" zoomScaleNormal="70" workbookViewId="0">
      <pane xSplit="4" ySplit="3" topLeftCell="E30" activePane="bottomRight" state="frozen"/>
      <selection pane="topRight" activeCell="E1" sqref="E1"/>
      <selection pane="bottomLeft" activeCell="A4" sqref="A4"/>
      <selection pane="bottomRight" activeCell="R10" sqref="R10"/>
    </sheetView>
  </sheetViews>
  <sheetFormatPr defaultColWidth="8.6875" defaultRowHeight="15.75" x14ac:dyDescent="0.5"/>
  <cols>
    <col min="1" max="1" width="13.0625" customWidth="1"/>
    <col min="2" max="2" width="37.0625" customWidth="1"/>
    <col min="3" max="4" width="16.8125" hidden="1" customWidth="1"/>
    <col min="5" max="5" width="9.3125" style="58" bestFit="1" customWidth="1"/>
    <col min="6" max="6" width="6.8125" style="58" bestFit="1" customWidth="1"/>
    <col min="7" max="7" width="4.0625" style="30" customWidth="1"/>
    <col min="8" max="10" width="4.3125" style="30" customWidth="1"/>
    <col min="11" max="11" width="4.75" style="30" customWidth="1"/>
    <col min="12" max="12" width="5.3125" style="30" customWidth="1"/>
    <col min="13" max="13" width="4.75" style="30" customWidth="1"/>
    <col min="14" max="14" width="4.25" style="30" customWidth="1"/>
    <col min="15" max="15" width="4.3125" style="30" customWidth="1"/>
    <col min="16" max="16" width="4.25" style="30" customWidth="1"/>
    <col min="17" max="17" width="4" style="30" customWidth="1"/>
    <col min="18" max="18" width="3.3125" style="30" customWidth="1"/>
    <col min="19" max="19" width="3.5625" style="30" customWidth="1"/>
    <col min="20" max="26" width="3.3125" style="30" customWidth="1"/>
    <col min="27" max="27" width="3.5625" style="30" customWidth="1"/>
    <col min="28" max="28" width="3.3125" style="30" customWidth="1"/>
    <col min="29" max="29" width="3.25" style="30" customWidth="1"/>
    <col min="30" max="30" width="3.5625" style="30" customWidth="1"/>
    <col min="31" max="31" width="3.3125" style="30" customWidth="1"/>
    <col min="32" max="32" width="3.75" style="30" customWidth="1"/>
    <col min="33" max="36" width="4.3125" style="30" customWidth="1"/>
    <col min="37" max="38" width="12.3125" style="30" customWidth="1"/>
    <col min="39" max="39" width="13.5625" style="30" customWidth="1"/>
    <col min="40" max="40" width="8.6875" style="30"/>
  </cols>
  <sheetData>
    <row r="1" spans="1:41" ht="39" customHeight="1" x14ac:dyDescent="0.5">
      <c r="A1" s="41" t="s">
        <v>0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  <c r="AA1" s="42"/>
      <c r="AB1" s="42"/>
      <c r="AC1" s="42"/>
      <c r="AD1" s="42"/>
      <c r="AE1" s="42"/>
      <c r="AF1" s="42"/>
      <c r="AG1" s="42"/>
      <c r="AH1" s="42"/>
      <c r="AI1" s="42"/>
      <c r="AJ1" s="42"/>
      <c r="AK1" s="42"/>
      <c r="AL1" s="42"/>
      <c r="AM1" s="42"/>
      <c r="AN1" s="42"/>
      <c r="AO1" s="42"/>
    </row>
    <row r="2" spans="1:41" ht="24.75" customHeight="1" x14ac:dyDescent="0.5">
      <c r="A2" s="43" t="s">
        <v>1</v>
      </c>
      <c r="B2" s="43" t="s">
        <v>2</v>
      </c>
      <c r="C2" s="43" t="s">
        <v>3</v>
      </c>
      <c r="D2" s="43" t="s">
        <v>4</v>
      </c>
      <c r="E2" s="49" t="s">
        <v>5</v>
      </c>
      <c r="F2" s="50" t="s">
        <v>6</v>
      </c>
      <c r="G2" s="46" t="s">
        <v>7</v>
      </c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  <c r="AA2" s="47"/>
      <c r="AB2" s="47"/>
      <c r="AC2" s="47"/>
      <c r="AD2" s="47"/>
      <c r="AE2" s="47"/>
      <c r="AF2" s="47"/>
      <c r="AG2" s="47"/>
      <c r="AH2" s="47"/>
      <c r="AI2" s="47"/>
      <c r="AJ2" s="47"/>
      <c r="AK2" s="45" t="s">
        <v>8</v>
      </c>
      <c r="AL2" s="45" t="s">
        <v>9</v>
      </c>
      <c r="AM2" s="33" t="s">
        <v>10</v>
      </c>
      <c r="AN2" s="35" t="s">
        <v>11</v>
      </c>
      <c r="AO2" s="37" t="s">
        <v>12</v>
      </c>
    </row>
    <row r="3" spans="1:41" ht="16.149999999999999" thickBot="1" x14ac:dyDescent="0.55000000000000004">
      <c r="A3" s="44"/>
      <c r="B3" s="44"/>
      <c r="C3" s="44"/>
      <c r="D3" s="44"/>
      <c r="E3" s="51"/>
      <c r="F3" s="51"/>
      <c r="G3" s="1">
        <v>1</v>
      </c>
      <c r="H3" s="1">
        <v>2</v>
      </c>
      <c r="I3" s="1">
        <v>3</v>
      </c>
      <c r="J3" s="1">
        <v>4</v>
      </c>
      <c r="K3" s="1">
        <v>5</v>
      </c>
      <c r="L3" s="1">
        <v>6</v>
      </c>
      <c r="M3" s="1">
        <v>7</v>
      </c>
      <c r="N3" s="1">
        <v>8</v>
      </c>
      <c r="O3" s="1">
        <v>9</v>
      </c>
      <c r="P3" s="1">
        <v>10</v>
      </c>
      <c r="Q3" s="1">
        <v>11</v>
      </c>
      <c r="R3" s="1">
        <v>12</v>
      </c>
      <c r="S3" s="1">
        <v>13</v>
      </c>
      <c r="T3" s="1">
        <v>14</v>
      </c>
      <c r="U3" s="1">
        <v>15</v>
      </c>
      <c r="V3" s="1">
        <v>16</v>
      </c>
      <c r="W3" s="1">
        <v>17</v>
      </c>
      <c r="X3" s="1">
        <v>18</v>
      </c>
      <c r="Y3" s="1">
        <v>19</v>
      </c>
      <c r="Z3" s="1">
        <v>20</v>
      </c>
      <c r="AA3" s="1">
        <v>21</v>
      </c>
      <c r="AB3" s="1">
        <v>22</v>
      </c>
      <c r="AC3" s="1">
        <v>23</v>
      </c>
      <c r="AD3" s="1">
        <v>24</v>
      </c>
      <c r="AE3" s="1">
        <v>25</v>
      </c>
      <c r="AF3" s="1">
        <v>26</v>
      </c>
      <c r="AG3" s="1">
        <v>27</v>
      </c>
      <c r="AH3" s="1">
        <v>28</v>
      </c>
      <c r="AI3" s="1">
        <v>29</v>
      </c>
      <c r="AJ3" s="1">
        <v>30</v>
      </c>
      <c r="AK3" s="48"/>
      <c r="AL3" s="48"/>
      <c r="AM3" s="34"/>
      <c r="AN3" s="36"/>
      <c r="AO3" s="38"/>
    </row>
    <row r="4" spans="1:41" ht="16.149999999999999" thickTop="1" x14ac:dyDescent="0.5">
      <c r="A4" s="2" t="s">
        <v>13</v>
      </c>
      <c r="B4" s="2" t="s">
        <v>14</v>
      </c>
      <c r="C4" s="3">
        <v>39597.300000000003</v>
      </c>
      <c r="D4" s="3">
        <v>70000</v>
      </c>
      <c r="E4" s="52">
        <v>25</v>
      </c>
      <c r="F4" s="52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>
        <v>1</v>
      </c>
      <c r="AE4" s="4"/>
      <c r="AF4" s="4"/>
      <c r="AG4" s="4"/>
      <c r="AH4" s="4"/>
      <c r="AI4" s="4"/>
      <c r="AJ4" s="4"/>
      <c r="AK4" s="4">
        <f t="shared" ref="AK4:AK38" si="0">SUM(G4:AJ4)</f>
        <v>1</v>
      </c>
      <c r="AL4" s="5"/>
      <c r="AM4" s="6">
        <f t="shared" ref="AM4:AM63" si="1">(E4+F4)-(AK4+AL4)</f>
        <v>24</v>
      </c>
      <c r="AN4" s="7">
        <v>24</v>
      </c>
      <c r="AO4" s="8">
        <f>AN4-AM4</f>
        <v>0</v>
      </c>
    </row>
    <row r="5" spans="1:41" x14ac:dyDescent="0.5">
      <c r="A5" s="9" t="s">
        <v>13</v>
      </c>
      <c r="B5" s="9" t="s">
        <v>15</v>
      </c>
      <c r="C5" s="10">
        <v>33505.4</v>
      </c>
      <c r="D5" s="10">
        <v>65000</v>
      </c>
      <c r="E5" s="53">
        <v>1</v>
      </c>
      <c r="F5" s="53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>
        <v>1</v>
      </c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4">
        <f t="shared" si="0"/>
        <v>1</v>
      </c>
      <c r="AL5" s="5"/>
      <c r="AM5" s="6">
        <f t="shared" si="1"/>
        <v>0</v>
      </c>
      <c r="AN5" s="12">
        <v>0</v>
      </c>
      <c r="AO5" s="13">
        <f>AN5-AM5</f>
        <v>0</v>
      </c>
    </row>
    <row r="6" spans="1:41" x14ac:dyDescent="0.5">
      <c r="A6" s="9" t="s">
        <v>13</v>
      </c>
      <c r="B6" s="9" t="s">
        <v>16</v>
      </c>
      <c r="C6" s="10">
        <v>33505.4</v>
      </c>
      <c r="D6" s="10">
        <v>65000</v>
      </c>
      <c r="E6" s="53">
        <v>29</v>
      </c>
      <c r="F6" s="53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>
        <v>1</v>
      </c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>
        <v>1</v>
      </c>
      <c r="AJ6" s="11"/>
      <c r="AK6" s="4">
        <f t="shared" si="0"/>
        <v>2</v>
      </c>
      <c r="AL6" s="5"/>
      <c r="AM6" s="6">
        <f t="shared" si="1"/>
        <v>27</v>
      </c>
      <c r="AN6" s="12">
        <v>27</v>
      </c>
      <c r="AO6" s="13">
        <f t="shared" ref="AO6:AO63" si="2">AN6-AM6</f>
        <v>0</v>
      </c>
    </row>
    <row r="7" spans="1:41" x14ac:dyDescent="0.5">
      <c r="A7" s="9" t="s">
        <v>13</v>
      </c>
      <c r="B7" s="9" t="s">
        <v>17</v>
      </c>
      <c r="C7" s="10">
        <v>30459.5</v>
      </c>
      <c r="D7" s="10">
        <v>65000</v>
      </c>
      <c r="E7" s="53">
        <v>20</v>
      </c>
      <c r="F7" s="53"/>
      <c r="G7" s="11"/>
      <c r="H7" s="11"/>
      <c r="I7" s="11"/>
      <c r="J7" s="11"/>
      <c r="K7" s="11"/>
      <c r="L7" s="11"/>
      <c r="M7" s="11"/>
      <c r="N7" s="11"/>
      <c r="O7" s="11">
        <v>2</v>
      </c>
      <c r="P7" s="11">
        <v>1</v>
      </c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4">
        <f t="shared" si="0"/>
        <v>3</v>
      </c>
      <c r="AL7" s="5"/>
      <c r="AM7" s="6">
        <f t="shared" si="1"/>
        <v>17</v>
      </c>
      <c r="AN7" s="12">
        <v>17</v>
      </c>
      <c r="AO7" s="13">
        <f t="shared" si="2"/>
        <v>0</v>
      </c>
    </row>
    <row r="8" spans="1:41" x14ac:dyDescent="0.5">
      <c r="A8" s="9" t="s">
        <v>13</v>
      </c>
      <c r="B8" s="9" t="s">
        <v>18</v>
      </c>
      <c r="C8" s="10">
        <v>30259.5</v>
      </c>
      <c r="D8" s="10">
        <v>60000</v>
      </c>
      <c r="E8" s="53">
        <v>10</v>
      </c>
      <c r="F8" s="53"/>
      <c r="G8" s="11"/>
      <c r="H8" s="11"/>
      <c r="I8" s="11"/>
      <c r="J8" s="11">
        <v>1</v>
      </c>
      <c r="K8" s="11">
        <v>1</v>
      </c>
      <c r="L8" s="11"/>
      <c r="M8" s="11"/>
      <c r="N8" s="11"/>
      <c r="O8" s="11"/>
      <c r="P8" s="14"/>
      <c r="Q8" s="11"/>
      <c r="R8" s="11"/>
      <c r="S8" s="11"/>
      <c r="T8" s="11">
        <v>1</v>
      </c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4">
        <f t="shared" si="0"/>
        <v>3</v>
      </c>
      <c r="AL8" s="5"/>
      <c r="AM8" s="6">
        <f t="shared" si="1"/>
        <v>7</v>
      </c>
      <c r="AN8" s="12">
        <v>7</v>
      </c>
      <c r="AO8" s="13">
        <f t="shared" si="2"/>
        <v>0</v>
      </c>
    </row>
    <row r="9" spans="1:41" x14ac:dyDescent="0.5">
      <c r="A9" s="9" t="s">
        <v>13</v>
      </c>
      <c r="B9" s="9" t="s">
        <v>19</v>
      </c>
      <c r="C9" s="10">
        <v>33504.400000000001</v>
      </c>
      <c r="D9" s="10">
        <v>65000</v>
      </c>
      <c r="E9" s="53">
        <v>13</v>
      </c>
      <c r="F9" s="53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>
        <v>1</v>
      </c>
      <c r="AF9" s="11"/>
      <c r="AG9" s="11">
        <v>1</v>
      </c>
      <c r="AH9" s="11">
        <v>1</v>
      </c>
      <c r="AI9" s="11"/>
      <c r="AJ9" s="11"/>
      <c r="AK9" s="4">
        <f t="shared" si="0"/>
        <v>3</v>
      </c>
      <c r="AL9" s="5"/>
      <c r="AM9" s="6">
        <f t="shared" si="1"/>
        <v>10</v>
      </c>
      <c r="AN9" s="12">
        <v>9</v>
      </c>
      <c r="AO9" s="15">
        <f t="shared" si="2"/>
        <v>-1</v>
      </c>
    </row>
    <row r="10" spans="1:41" x14ac:dyDescent="0.5">
      <c r="A10" s="9" t="s">
        <v>13</v>
      </c>
      <c r="B10" s="9" t="s">
        <v>20</v>
      </c>
      <c r="C10" s="10">
        <v>42643.199999999997</v>
      </c>
      <c r="D10" s="10">
        <v>60000</v>
      </c>
      <c r="E10" s="53">
        <v>8</v>
      </c>
      <c r="F10" s="53"/>
      <c r="G10" s="11"/>
      <c r="H10" s="11">
        <v>1</v>
      </c>
      <c r="I10" s="11"/>
      <c r="J10" s="11"/>
      <c r="K10" s="11"/>
      <c r="L10" s="11"/>
      <c r="M10" s="11"/>
      <c r="N10" s="11"/>
      <c r="O10" s="11"/>
      <c r="P10" s="11"/>
      <c r="Q10" s="11">
        <v>1</v>
      </c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4">
        <f t="shared" si="0"/>
        <v>2</v>
      </c>
      <c r="AL10" s="5"/>
      <c r="AM10" s="6">
        <f t="shared" si="1"/>
        <v>6</v>
      </c>
      <c r="AN10" s="12">
        <v>6</v>
      </c>
      <c r="AO10" s="13">
        <f t="shared" si="2"/>
        <v>0</v>
      </c>
    </row>
    <row r="11" spans="1:41" x14ac:dyDescent="0.5">
      <c r="A11" s="9" t="s">
        <v>13</v>
      </c>
      <c r="B11" s="9" t="s">
        <v>21</v>
      </c>
      <c r="C11" s="10">
        <v>39597.25</v>
      </c>
      <c r="D11" s="10">
        <v>60000</v>
      </c>
      <c r="E11" s="53">
        <v>4</v>
      </c>
      <c r="F11" s="53"/>
      <c r="G11" s="11"/>
      <c r="H11" s="11"/>
      <c r="I11" s="11"/>
      <c r="J11" s="11"/>
      <c r="K11" s="11"/>
      <c r="L11" s="11"/>
      <c r="M11" s="11">
        <v>1</v>
      </c>
      <c r="N11" s="11"/>
      <c r="O11" s="11"/>
      <c r="P11" s="11"/>
      <c r="Q11" s="11">
        <v>1</v>
      </c>
      <c r="R11" s="11"/>
      <c r="S11" s="11"/>
      <c r="T11" s="11"/>
      <c r="U11" s="11">
        <v>1</v>
      </c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4">
        <f t="shared" si="0"/>
        <v>3</v>
      </c>
      <c r="AL11" s="5"/>
      <c r="AM11" s="6">
        <f t="shared" si="1"/>
        <v>1</v>
      </c>
      <c r="AN11" s="12">
        <v>1</v>
      </c>
      <c r="AO11" s="13">
        <f t="shared" si="2"/>
        <v>0</v>
      </c>
    </row>
    <row r="12" spans="1:41" x14ac:dyDescent="0.5">
      <c r="A12" s="9" t="s">
        <v>13</v>
      </c>
      <c r="B12" s="9" t="s">
        <v>22</v>
      </c>
      <c r="C12" s="10"/>
      <c r="D12" s="10"/>
      <c r="E12" s="53"/>
      <c r="F12" s="53">
        <v>10</v>
      </c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>
        <v>1</v>
      </c>
      <c r="T12" s="11"/>
      <c r="U12" s="11"/>
      <c r="V12" s="11"/>
      <c r="W12" s="11"/>
      <c r="X12" s="11"/>
      <c r="Y12" s="11"/>
      <c r="Z12" s="11"/>
      <c r="AA12" s="11"/>
      <c r="AB12" s="11"/>
      <c r="AC12" s="11">
        <v>1</v>
      </c>
      <c r="AD12" s="11"/>
      <c r="AE12" s="11"/>
      <c r="AF12" s="11"/>
      <c r="AG12" s="11"/>
      <c r="AH12" s="11"/>
      <c r="AI12" s="11"/>
      <c r="AJ12" s="11"/>
      <c r="AK12" s="4">
        <f t="shared" ref="AK12:AK13" si="3">SUM(G12:AJ12)</f>
        <v>2</v>
      </c>
      <c r="AL12" s="5"/>
      <c r="AM12" s="6">
        <f t="shared" si="1"/>
        <v>8</v>
      </c>
      <c r="AN12" s="12">
        <v>8</v>
      </c>
      <c r="AO12" s="13">
        <f t="shared" si="2"/>
        <v>0</v>
      </c>
    </row>
    <row r="13" spans="1:41" x14ac:dyDescent="0.5">
      <c r="A13" s="9" t="s">
        <v>13</v>
      </c>
      <c r="B13" s="9" t="s">
        <v>23</v>
      </c>
      <c r="C13" s="10"/>
      <c r="D13" s="10"/>
      <c r="E13" s="53"/>
      <c r="F13" s="53">
        <v>2</v>
      </c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4">
        <f t="shared" si="3"/>
        <v>0</v>
      </c>
      <c r="AL13" s="5"/>
      <c r="AM13" s="6">
        <f t="shared" si="1"/>
        <v>2</v>
      </c>
      <c r="AN13" s="12">
        <v>2</v>
      </c>
      <c r="AO13" s="13">
        <f t="shared" si="2"/>
        <v>0</v>
      </c>
    </row>
    <row r="14" spans="1:41" x14ac:dyDescent="0.5">
      <c r="A14" s="9" t="s">
        <v>24</v>
      </c>
      <c r="B14" s="9" t="s">
        <v>25</v>
      </c>
      <c r="C14" s="10">
        <v>78585.42</v>
      </c>
      <c r="D14" s="10">
        <v>120000</v>
      </c>
      <c r="E14" s="53">
        <v>3</v>
      </c>
      <c r="F14" s="53"/>
      <c r="G14" s="11"/>
      <c r="H14" s="11"/>
      <c r="I14" s="11"/>
      <c r="J14" s="11"/>
      <c r="K14" s="11"/>
      <c r="L14" s="11"/>
      <c r="M14" s="11">
        <v>1</v>
      </c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>
        <v>1</v>
      </c>
      <c r="AC14" s="11"/>
      <c r="AD14" s="11">
        <v>1</v>
      </c>
      <c r="AE14" s="11"/>
      <c r="AF14" s="11"/>
      <c r="AG14" s="11"/>
      <c r="AH14" s="11"/>
      <c r="AI14" s="11"/>
      <c r="AJ14" s="11"/>
      <c r="AK14" s="4">
        <f t="shared" si="0"/>
        <v>3</v>
      </c>
      <c r="AL14" s="5"/>
      <c r="AM14" s="6">
        <f t="shared" si="1"/>
        <v>0</v>
      </c>
      <c r="AN14" s="12">
        <v>0</v>
      </c>
      <c r="AO14" s="13">
        <f t="shared" si="2"/>
        <v>0</v>
      </c>
    </row>
    <row r="15" spans="1:41" x14ac:dyDescent="0.5">
      <c r="A15" s="9" t="s">
        <v>24</v>
      </c>
      <c r="B15" s="9" t="s">
        <v>26</v>
      </c>
      <c r="C15" s="10">
        <v>78585.42</v>
      </c>
      <c r="D15" s="10">
        <v>120000</v>
      </c>
      <c r="E15" s="53">
        <v>4</v>
      </c>
      <c r="F15" s="53"/>
      <c r="G15" s="11"/>
      <c r="H15" s="11"/>
      <c r="I15" s="11"/>
      <c r="J15" s="11">
        <v>2</v>
      </c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>
        <v>1</v>
      </c>
      <c r="AE15" s="11"/>
      <c r="AF15" s="11"/>
      <c r="AG15" s="11"/>
      <c r="AH15" s="11"/>
      <c r="AI15" s="11"/>
      <c r="AJ15" s="11"/>
      <c r="AK15" s="4">
        <f t="shared" si="0"/>
        <v>3</v>
      </c>
      <c r="AL15" s="5"/>
      <c r="AM15" s="6">
        <f t="shared" si="1"/>
        <v>1</v>
      </c>
      <c r="AN15" s="12">
        <v>1</v>
      </c>
      <c r="AO15" s="13">
        <f t="shared" si="2"/>
        <v>0</v>
      </c>
    </row>
    <row r="16" spans="1:41" x14ac:dyDescent="0.5">
      <c r="A16" s="9" t="s">
        <v>27</v>
      </c>
      <c r="B16" s="9" t="s">
        <v>28</v>
      </c>
      <c r="C16" s="10">
        <v>187503.31</v>
      </c>
      <c r="D16" s="10">
        <v>260000</v>
      </c>
      <c r="E16" s="53">
        <v>23</v>
      </c>
      <c r="F16" s="53"/>
      <c r="G16" s="11"/>
      <c r="H16" s="11"/>
      <c r="I16" s="11">
        <v>1</v>
      </c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>
        <v>1</v>
      </c>
      <c r="V16" s="11"/>
      <c r="W16" s="11"/>
      <c r="X16" s="11"/>
      <c r="Y16" s="11"/>
      <c r="Z16" s="11"/>
      <c r="AA16" s="11"/>
      <c r="AB16" s="11"/>
      <c r="AC16" s="11"/>
      <c r="AD16" s="11">
        <v>2</v>
      </c>
      <c r="AE16" s="11"/>
      <c r="AF16" s="11"/>
      <c r="AG16" s="11"/>
      <c r="AH16" s="11"/>
      <c r="AI16" s="11"/>
      <c r="AJ16" s="11"/>
      <c r="AK16" s="4">
        <f t="shared" si="0"/>
        <v>4</v>
      </c>
      <c r="AL16" s="5"/>
      <c r="AM16" s="6">
        <f t="shared" si="1"/>
        <v>19</v>
      </c>
      <c r="AN16" s="12">
        <v>19</v>
      </c>
      <c r="AO16" s="13">
        <f t="shared" si="2"/>
        <v>0</v>
      </c>
    </row>
    <row r="17" spans="1:41" x14ac:dyDescent="0.5">
      <c r="A17" s="9" t="s">
        <v>27</v>
      </c>
      <c r="B17" s="9" t="s">
        <v>29</v>
      </c>
      <c r="C17" s="10"/>
      <c r="D17" s="10"/>
      <c r="E17" s="53"/>
      <c r="F17" s="53">
        <f>6+6</f>
        <v>12</v>
      </c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>
        <v>2</v>
      </c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4">
        <f t="shared" ref="AK17" si="4">SUM(G17:AJ17)</f>
        <v>2</v>
      </c>
      <c r="AL17" s="5"/>
      <c r="AM17" s="6">
        <f t="shared" si="1"/>
        <v>10</v>
      </c>
      <c r="AN17" s="12">
        <v>10</v>
      </c>
      <c r="AO17" s="13">
        <f t="shared" si="2"/>
        <v>0</v>
      </c>
    </row>
    <row r="18" spans="1:41" x14ac:dyDescent="0.5">
      <c r="A18" s="9" t="s">
        <v>30</v>
      </c>
      <c r="B18" s="9" t="s">
        <v>31</v>
      </c>
      <c r="C18" s="10">
        <v>151688</v>
      </c>
      <c r="D18" s="10">
        <v>210000</v>
      </c>
      <c r="E18" s="53">
        <v>13</v>
      </c>
      <c r="F18" s="53"/>
      <c r="G18" s="11"/>
      <c r="H18" s="11"/>
      <c r="I18" s="11"/>
      <c r="J18" s="11"/>
      <c r="K18" s="11"/>
      <c r="L18" s="11"/>
      <c r="M18" s="11">
        <v>1</v>
      </c>
      <c r="N18" s="11"/>
      <c r="O18" s="11"/>
      <c r="P18" s="11"/>
      <c r="Q18" s="11"/>
      <c r="R18" s="11"/>
      <c r="S18" s="11"/>
      <c r="T18" s="11"/>
      <c r="U18" s="11">
        <v>1</v>
      </c>
      <c r="V18" s="11"/>
      <c r="W18" s="11"/>
      <c r="X18" s="11"/>
      <c r="Y18" s="11"/>
      <c r="Z18" s="11">
        <v>1</v>
      </c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4">
        <f t="shared" si="0"/>
        <v>3</v>
      </c>
      <c r="AL18" s="5"/>
      <c r="AM18" s="6">
        <f t="shared" si="1"/>
        <v>10</v>
      </c>
      <c r="AN18" s="12">
        <v>10</v>
      </c>
      <c r="AO18" s="13">
        <f t="shared" si="2"/>
        <v>0</v>
      </c>
    </row>
    <row r="19" spans="1:41" x14ac:dyDescent="0.5">
      <c r="A19" s="9" t="s">
        <v>30</v>
      </c>
      <c r="B19" s="9" t="s">
        <v>32</v>
      </c>
      <c r="C19" s="10">
        <v>151688</v>
      </c>
      <c r="D19" s="10">
        <v>210000</v>
      </c>
      <c r="E19" s="53">
        <v>15</v>
      </c>
      <c r="F19" s="53"/>
      <c r="G19" s="11"/>
      <c r="H19" s="11">
        <v>1</v>
      </c>
      <c r="I19" s="11"/>
      <c r="J19" s="11"/>
      <c r="K19" s="11"/>
      <c r="L19" s="11"/>
      <c r="M19" s="11">
        <v>1</v>
      </c>
      <c r="N19" s="11"/>
      <c r="O19" s="11"/>
      <c r="P19" s="11"/>
      <c r="Q19" s="11"/>
      <c r="R19" s="11"/>
      <c r="S19" s="11"/>
      <c r="T19" s="11"/>
      <c r="U19" s="11"/>
      <c r="V19" s="11">
        <v>1</v>
      </c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4">
        <f t="shared" si="0"/>
        <v>3</v>
      </c>
      <c r="AL19" s="5"/>
      <c r="AM19" s="6">
        <f t="shared" si="1"/>
        <v>12</v>
      </c>
      <c r="AN19" s="12">
        <v>12</v>
      </c>
      <c r="AO19" s="13">
        <f t="shared" si="2"/>
        <v>0</v>
      </c>
    </row>
    <row r="20" spans="1:41" x14ac:dyDescent="0.5">
      <c r="A20" s="9" t="s">
        <v>33</v>
      </c>
      <c r="B20" s="9" t="s">
        <v>34</v>
      </c>
      <c r="C20" s="10">
        <v>121228.63</v>
      </c>
      <c r="D20" s="10">
        <v>180000</v>
      </c>
      <c r="E20" s="53">
        <v>28</v>
      </c>
      <c r="F20" s="53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4">
        <f t="shared" si="0"/>
        <v>0</v>
      </c>
      <c r="AL20" s="5"/>
      <c r="AM20" s="6">
        <f t="shared" si="1"/>
        <v>28</v>
      </c>
      <c r="AN20" s="12">
        <v>28</v>
      </c>
      <c r="AO20" s="13">
        <f t="shared" si="2"/>
        <v>0</v>
      </c>
    </row>
    <row r="21" spans="1:41" x14ac:dyDescent="0.5">
      <c r="A21" s="9" t="s">
        <v>35</v>
      </c>
      <c r="B21" s="9" t="s">
        <v>36</v>
      </c>
      <c r="C21" s="10">
        <v>992335.56</v>
      </c>
      <c r="D21" s="10">
        <v>1350000</v>
      </c>
      <c r="E21" s="53">
        <v>0</v>
      </c>
      <c r="F21" s="53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4">
        <f t="shared" si="0"/>
        <v>0</v>
      </c>
      <c r="AL21" s="5"/>
      <c r="AM21" s="6">
        <f t="shared" si="1"/>
        <v>0</v>
      </c>
      <c r="AN21" s="12">
        <v>0</v>
      </c>
      <c r="AO21" s="13">
        <f t="shared" si="2"/>
        <v>0</v>
      </c>
    </row>
    <row r="22" spans="1:41" x14ac:dyDescent="0.5">
      <c r="A22" s="9" t="s">
        <v>35</v>
      </c>
      <c r="B22" s="9" t="s">
        <v>37</v>
      </c>
      <c r="C22" s="10">
        <v>992335.56</v>
      </c>
      <c r="D22" s="10">
        <v>1350000</v>
      </c>
      <c r="E22" s="53">
        <v>2</v>
      </c>
      <c r="F22" s="53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4">
        <f t="shared" si="0"/>
        <v>0</v>
      </c>
      <c r="AL22" s="5"/>
      <c r="AM22" s="6">
        <f t="shared" si="1"/>
        <v>2</v>
      </c>
      <c r="AN22" s="12">
        <v>2</v>
      </c>
      <c r="AO22" s="13">
        <f t="shared" si="2"/>
        <v>0</v>
      </c>
    </row>
    <row r="23" spans="1:41" x14ac:dyDescent="0.5">
      <c r="A23" s="9" t="s">
        <v>35</v>
      </c>
      <c r="B23" s="9" t="s">
        <v>38</v>
      </c>
      <c r="C23" s="10">
        <v>992335.56</v>
      </c>
      <c r="D23" s="10">
        <v>1350000</v>
      </c>
      <c r="E23" s="53">
        <v>1</v>
      </c>
      <c r="F23" s="53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4">
        <f t="shared" si="0"/>
        <v>0</v>
      </c>
      <c r="AL23" s="5"/>
      <c r="AM23" s="6">
        <f t="shared" si="1"/>
        <v>1</v>
      </c>
      <c r="AN23" s="12">
        <v>1</v>
      </c>
      <c r="AO23" s="13">
        <f t="shared" si="2"/>
        <v>0</v>
      </c>
    </row>
    <row r="24" spans="1:41" x14ac:dyDescent="0.5">
      <c r="A24" s="9" t="s">
        <v>35</v>
      </c>
      <c r="B24" s="9" t="s">
        <v>39</v>
      </c>
      <c r="C24" s="10">
        <v>992335.56</v>
      </c>
      <c r="D24" s="10">
        <v>1350000</v>
      </c>
      <c r="E24" s="53">
        <v>0</v>
      </c>
      <c r="F24" s="53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4">
        <f t="shared" si="0"/>
        <v>0</v>
      </c>
      <c r="AL24" s="5"/>
      <c r="AM24" s="6">
        <f t="shared" si="1"/>
        <v>0</v>
      </c>
      <c r="AN24" s="12">
        <v>0</v>
      </c>
      <c r="AO24" s="13">
        <f t="shared" si="2"/>
        <v>0</v>
      </c>
    </row>
    <row r="25" spans="1:41" x14ac:dyDescent="0.5">
      <c r="A25" s="9" t="s">
        <v>35</v>
      </c>
      <c r="B25" s="9" t="s">
        <v>40</v>
      </c>
      <c r="C25" s="10">
        <v>1291327.55</v>
      </c>
      <c r="D25" s="10">
        <v>1800000</v>
      </c>
      <c r="E25" s="53">
        <v>2</v>
      </c>
      <c r="F25" s="53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>
        <v>1</v>
      </c>
      <c r="AG25" s="11"/>
      <c r="AH25" s="11"/>
      <c r="AI25" s="11"/>
      <c r="AJ25" s="11"/>
      <c r="AK25" s="4">
        <f t="shared" si="0"/>
        <v>1</v>
      </c>
      <c r="AL25" s="5"/>
      <c r="AM25" s="6">
        <f t="shared" si="1"/>
        <v>1</v>
      </c>
      <c r="AN25" s="12">
        <v>1</v>
      </c>
      <c r="AO25" s="13">
        <f t="shared" si="2"/>
        <v>0</v>
      </c>
    </row>
    <row r="26" spans="1:41" x14ac:dyDescent="0.5">
      <c r="A26" s="9" t="s">
        <v>35</v>
      </c>
      <c r="B26" s="9" t="s">
        <v>41</v>
      </c>
      <c r="C26" s="10">
        <v>992335.56</v>
      </c>
      <c r="D26" s="10">
        <v>1350000</v>
      </c>
      <c r="E26" s="53">
        <v>1</v>
      </c>
      <c r="F26" s="53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4">
        <f t="shared" si="0"/>
        <v>0</v>
      </c>
      <c r="AL26" s="5"/>
      <c r="AM26" s="6">
        <f t="shared" si="1"/>
        <v>1</v>
      </c>
      <c r="AN26" s="12">
        <v>1</v>
      </c>
      <c r="AO26" s="13">
        <f t="shared" si="2"/>
        <v>0</v>
      </c>
    </row>
    <row r="27" spans="1:41" x14ac:dyDescent="0.5">
      <c r="A27" s="9" t="s">
        <v>35</v>
      </c>
      <c r="B27" s="9" t="s">
        <v>42</v>
      </c>
      <c r="C27" s="10">
        <v>1290334.22</v>
      </c>
      <c r="D27" s="10">
        <v>1800000</v>
      </c>
      <c r="E27" s="53">
        <v>0</v>
      </c>
      <c r="F27" s="53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4">
        <f t="shared" si="0"/>
        <v>0</v>
      </c>
      <c r="AL27" s="5"/>
      <c r="AM27" s="6">
        <f t="shared" si="1"/>
        <v>0</v>
      </c>
      <c r="AN27" s="12">
        <v>0</v>
      </c>
      <c r="AO27" s="13">
        <f t="shared" si="2"/>
        <v>0</v>
      </c>
    </row>
    <row r="28" spans="1:41" x14ac:dyDescent="0.5">
      <c r="A28" s="9" t="s">
        <v>35</v>
      </c>
      <c r="B28" s="9" t="s">
        <v>43</v>
      </c>
      <c r="C28" s="10">
        <v>1290334.22</v>
      </c>
      <c r="D28" s="10">
        <v>1800000</v>
      </c>
      <c r="E28" s="53">
        <v>0</v>
      </c>
      <c r="F28" s="53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4">
        <f t="shared" si="0"/>
        <v>0</v>
      </c>
      <c r="AL28" s="5"/>
      <c r="AM28" s="6">
        <f t="shared" si="1"/>
        <v>0</v>
      </c>
      <c r="AN28" s="12">
        <v>0</v>
      </c>
      <c r="AO28" s="13">
        <f t="shared" si="2"/>
        <v>0</v>
      </c>
    </row>
    <row r="29" spans="1:41" x14ac:dyDescent="0.5">
      <c r="A29" s="9" t="s">
        <v>35</v>
      </c>
      <c r="B29" s="9" t="s">
        <v>44</v>
      </c>
      <c r="C29" s="10">
        <v>2624250</v>
      </c>
      <c r="D29" s="10">
        <v>3500000</v>
      </c>
      <c r="E29" s="53">
        <v>1</v>
      </c>
      <c r="F29" s="53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4">
        <f t="shared" si="0"/>
        <v>0</v>
      </c>
      <c r="AL29" s="5"/>
      <c r="AM29" s="6">
        <f t="shared" si="1"/>
        <v>1</v>
      </c>
      <c r="AN29" s="12">
        <v>1</v>
      </c>
      <c r="AO29" s="13">
        <f t="shared" si="2"/>
        <v>0</v>
      </c>
    </row>
    <row r="30" spans="1:41" x14ac:dyDescent="0.5">
      <c r="A30" s="9" t="s">
        <v>35</v>
      </c>
      <c r="B30" s="9" t="s">
        <v>45</v>
      </c>
      <c r="C30" s="10">
        <v>1724250</v>
      </c>
      <c r="D30" s="10">
        <v>2300000</v>
      </c>
      <c r="E30" s="53">
        <v>1</v>
      </c>
      <c r="F30" s="53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4">
        <f t="shared" si="0"/>
        <v>0</v>
      </c>
      <c r="AL30" s="5"/>
      <c r="AM30" s="6">
        <f t="shared" si="1"/>
        <v>1</v>
      </c>
      <c r="AN30" s="12">
        <v>1</v>
      </c>
      <c r="AO30" s="13">
        <f t="shared" si="2"/>
        <v>0</v>
      </c>
    </row>
    <row r="31" spans="1:41" x14ac:dyDescent="0.5">
      <c r="A31" s="9" t="s">
        <v>35</v>
      </c>
      <c r="B31" s="9" t="s">
        <v>46</v>
      </c>
      <c r="C31" s="10">
        <v>2099250</v>
      </c>
      <c r="D31" s="10">
        <v>2800000</v>
      </c>
      <c r="E31" s="53">
        <v>1</v>
      </c>
      <c r="F31" s="53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4">
        <f t="shared" si="0"/>
        <v>0</v>
      </c>
      <c r="AL31" s="5"/>
      <c r="AM31" s="6">
        <f t="shared" si="1"/>
        <v>1</v>
      </c>
      <c r="AN31" s="12">
        <v>1</v>
      </c>
      <c r="AO31" s="13">
        <f t="shared" si="2"/>
        <v>0</v>
      </c>
    </row>
    <row r="32" spans="1:41" x14ac:dyDescent="0.5">
      <c r="A32" s="9" t="s">
        <v>35</v>
      </c>
      <c r="B32" s="9" t="s">
        <v>47</v>
      </c>
      <c r="C32" s="10">
        <v>2099250</v>
      </c>
      <c r="D32" s="10">
        <v>2800000</v>
      </c>
      <c r="E32" s="53">
        <v>1</v>
      </c>
      <c r="F32" s="53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4">
        <f t="shared" si="0"/>
        <v>0</v>
      </c>
      <c r="AL32" s="5"/>
      <c r="AM32" s="6">
        <f t="shared" si="1"/>
        <v>1</v>
      </c>
      <c r="AN32" s="12">
        <v>1</v>
      </c>
      <c r="AO32" s="13">
        <f t="shared" si="2"/>
        <v>0</v>
      </c>
    </row>
    <row r="33" spans="1:42" x14ac:dyDescent="0.5">
      <c r="A33" s="9" t="s">
        <v>35</v>
      </c>
      <c r="B33" s="9" t="s">
        <v>48</v>
      </c>
      <c r="C33" s="10">
        <v>1499250</v>
      </c>
      <c r="D33" s="10">
        <v>2000000</v>
      </c>
      <c r="E33" s="53">
        <v>1</v>
      </c>
      <c r="F33" s="53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4">
        <f t="shared" si="0"/>
        <v>0</v>
      </c>
      <c r="AL33" s="5"/>
      <c r="AM33" s="6">
        <f t="shared" si="1"/>
        <v>1</v>
      </c>
      <c r="AN33" s="12">
        <v>1</v>
      </c>
      <c r="AO33" s="13">
        <f t="shared" si="2"/>
        <v>0</v>
      </c>
    </row>
    <row r="34" spans="1:42" x14ac:dyDescent="0.5">
      <c r="A34" s="9" t="s">
        <v>35</v>
      </c>
      <c r="B34" s="9" t="s">
        <v>49</v>
      </c>
      <c r="C34" s="10">
        <v>1499250</v>
      </c>
      <c r="D34" s="10">
        <v>2000000</v>
      </c>
      <c r="E34" s="53">
        <v>1</v>
      </c>
      <c r="F34" s="53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4">
        <f t="shared" si="0"/>
        <v>0</v>
      </c>
      <c r="AL34" s="5"/>
      <c r="AM34" s="6">
        <f t="shared" si="1"/>
        <v>1</v>
      </c>
      <c r="AN34" s="12">
        <v>1</v>
      </c>
      <c r="AO34" s="13">
        <f t="shared" si="2"/>
        <v>0</v>
      </c>
    </row>
    <row r="35" spans="1:42" x14ac:dyDescent="0.5">
      <c r="A35" s="9" t="s">
        <v>35</v>
      </c>
      <c r="B35" s="9" t="s">
        <v>50</v>
      </c>
      <c r="C35" s="10">
        <v>1499250</v>
      </c>
      <c r="D35" s="10">
        <v>2000000</v>
      </c>
      <c r="E35" s="53">
        <v>0</v>
      </c>
      <c r="F35" s="53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4">
        <f t="shared" si="0"/>
        <v>0</v>
      </c>
      <c r="AL35" s="5"/>
      <c r="AM35" s="6">
        <f t="shared" si="1"/>
        <v>0</v>
      </c>
      <c r="AN35" s="12">
        <v>0</v>
      </c>
      <c r="AO35" s="13">
        <f t="shared" si="2"/>
        <v>0</v>
      </c>
    </row>
    <row r="36" spans="1:42" x14ac:dyDescent="0.5">
      <c r="A36" s="9" t="s">
        <v>35</v>
      </c>
      <c r="B36" s="9" t="s">
        <v>51</v>
      </c>
      <c r="C36" s="10">
        <v>1349250</v>
      </c>
      <c r="D36" s="10">
        <v>1800000</v>
      </c>
      <c r="E36" s="53">
        <v>1</v>
      </c>
      <c r="F36" s="53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4">
        <f t="shared" si="0"/>
        <v>0</v>
      </c>
      <c r="AL36" s="5"/>
      <c r="AM36" s="6">
        <f t="shared" si="1"/>
        <v>1</v>
      </c>
      <c r="AN36" s="12">
        <v>1</v>
      </c>
      <c r="AO36" s="13">
        <f t="shared" si="2"/>
        <v>0</v>
      </c>
    </row>
    <row r="37" spans="1:42" x14ac:dyDescent="0.5">
      <c r="A37" s="9" t="s">
        <v>35</v>
      </c>
      <c r="B37" s="9" t="s">
        <v>52</v>
      </c>
      <c r="C37" s="10">
        <v>1424000</v>
      </c>
      <c r="D37" s="10">
        <v>2000000</v>
      </c>
      <c r="E37" s="53">
        <v>0</v>
      </c>
      <c r="F37" s="53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4">
        <f t="shared" si="0"/>
        <v>0</v>
      </c>
      <c r="AL37" s="5"/>
      <c r="AM37" s="6">
        <f t="shared" si="1"/>
        <v>0</v>
      </c>
      <c r="AN37" s="12">
        <v>0</v>
      </c>
      <c r="AO37" s="13">
        <f t="shared" si="2"/>
        <v>0</v>
      </c>
    </row>
    <row r="38" spans="1:42" x14ac:dyDescent="0.5">
      <c r="A38" s="9" t="s">
        <v>35</v>
      </c>
      <c r="B38" s="9" t="s">
        <v>53</v>
      </c>
      <c r="C38" s="10">
        <v>1349250</v>
      </c>
      <c r="D38" s="10">
        <v>1800000</v>
      </c>
      <c r="E38" s="53">
        <v>1</v>
      </c>
      <c r="F38" s="53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4">
        <f t="shared" si="0"/>
        <v>0</v>
      </c>
      <c r="AL38" s="5"/>
      <c r="AM38" s="6">
        <f t="shared" si="1"/>
        <v>1</v>
      </c>
      <c r="AN38" s="12">
        <v>1</v>
      </c>
      <c r="AO38" s="13">
        <f t="shared" si="2"/>
        <v>0</v>
      </c>
      <c r="AP38" s="16"/>
    </row>
    <row r="39" spans="1:42" x14ac:dyDescent="0.5">
      <c r="A39" s="9" t="s">
        <v>35</v>
      </c>
      <c r="B39" s="9" t="s">
        <v>54</v>
      </c>
      <c r="C39" s="10">
        <v>3749250</v>
      </c>
      <c r="D39" s="10">
        <v>5000000</v>
      </c>
      <c r="E39" s="53">
        <v>1</v>
      </c>
      <c r="F39" s="53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4">
        <f t="shared" ref="AK39:AK63" si="5">SUM(G39:AJ39)</f>
        <v>0</v>
      </c>
      <c r="AL39" s="5"/>
      <c r="AM39" s="6">
        <f t="shared" si="1"/>
        <v>1</v>
      </c>
      <c r="AN39" s="12">
        <v>1</v>
      </c>
      <c r="AO39" s="13">
        <f t="shared" si="2"/>
        <v>0</v>
      </c>
      <c r="AP39" s="16"/>
    </row>
    <row r="40" spans="1:42" x14ac:dyDescent="0.5">
      <c r="A40" s="9" t="s">
        <v>35</v>
      </c>
      <c r="B40" s="9" t="s">
        <v>55</v>
      </c>
      <c r="C40" s="10">
        <v>3749250</v>
      </c>
      <c r="D40" s="10">
        <v>5000000</v>
      </c>
      <c r="E40" s="53">
        <v>0</v>
      </c>
      <c r="F40" s="53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4">
        <f t="shared" si="5"/>
        <v>0</v>
      </c>
      <c r="AL40" s="5"/>
      <c r="AM40" s="6">
        <f t="shared" si="1"/>
        <v>0</v>
      </c>
      <c r="AN40" s="12">
        <v>0</v>
      </c>
      <c r="AO40" s="13">
        <f t="shared" si="2"/>
        <v>0</v>
      </c>
    </row>
    <row r="41" spans="1:42" x14ac:dyDescent="0.5">
      <c r="A41" s="9" t="s">
        <v>35</v>
      </c>
      <c r="B41" s="9" t="s">
        <v>56</v>
      </c>
      <c r="C41" s="10">
        <v>3749250</v>
      </c>
      <c r="D41" s="10">
        <v>5000000</v>
      </c>
      <c r="E41" s="53">
        <v>1</v>
      </c>
      <c r="F41" s="53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4">
        <f t="shared" si="5"/>
        <v>0</v>
      </c>
      <c r="AL41" s="5"/>
      <c r="AM41" s="6">
        <f t="shared" si="1"/>
        <v>1</v>
      </c>
      <c r="AN41" s="12">
        <v>1</v>
      </c>
      <c r="AO41" s="13">
        <f t="shared" si="2"/>
        <v>0</v>
      </c>
    </row>
    <row r="42" spans="1:42" x14ac:dyDescent="0.5">
      <c r="A42" s="9" t="s">
        <v>35</v>
      </c>
      <c r="B42" s="9" t="s">
        <v>57</v>
      </c>
      <c r="C42" s="10">
        <v>3749250</v>
      </c>
      <c r="D42" s="10">
        <v>5000000</v>
      </c>
      <c r="E42" s="53">
        <v>1</v>
      </c>
      <c r="F42" s="53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4">
        <f t="shared" si="5"/>
        <v>0</v>
      </c>
      <c r="AL42" s="5"/>
      <c r="AM42" s="6">
        <f t="shared" si="1"/>
        <v>1</v>
      </c>
      <c r="AN42" s="12">
        <v>1</v>
      </c>
      <c r="AO42" s="13">
        <f t="shared" si="2"/>
        <v>0</v>
      </c>
    </row>
    <row r="43" spans="1:42" x14ac:dyDescent="0.5">
      <c r="A43" s="9" t="s">
        <v>35</v>
      </c>
      <c r="B43" s="9" t="s">
        <v>58</v>
      </c>
      <c r="C43" s="10">
        <v>1350000</v>
      </c>
      <c r="D43" s="10">
        <v>1800000</v>
      </c>
      <c r="E43" s="53">
        <v>4</v>
      </c>
      <c r="F43" s="53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4">
        <f t="shared" si="5"/>
        <v>0</v>
      </c>
      <c r="AL43" s="5"/>
      <c r="AM43" s="6">
        <f t="shared" si="1"/>
        <v>4</v>
      </c>
      <c r="AN43" s="12">
        <v>4</v>
      </c>
      <c r="AO43" s="13">
        <f t="shared" si="2"/>
        <v>0</v>
      </c>
    </row>
    <row r="44" spans="1:42" x14ac:dyDescent="0.5">
      <c r="A44" s="9" t="s">
        <v>35</v>
      </c>
      <c r="B44" s="9" t="s">
        <v>59</v>
      </c>
      <c r="C44" s="10">
        <v>1424000</v>
      </c>
      <c r="D44" s="10">
        <v>2000000</v>
      </c>
      <c r="E44" s="53">
        <v>5</v>
      </c>
      <c r="F44" s="53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4">
        <f t="shared" si="5"/>
        <v>0</v>
      </c>
      <c r="AL44" s="5"/>
      <c r="AM44" s="6">
        <f t="shared" si="1"/>
        <v>5</v>
      </c>
      <c r="AN44" s="12">
        <v>5</v>
      </c>
      <c r="AO44" s="13">
        <f t="shared" si="2"/>
        <v>0</v>
      </c>
    </row>
    <row r="45" spans="1:42" hidden="1" x14ac:dyDescent="0.5">
      <c r="A45" s="9" t="s">
        <v>60</v>
      </c>
      <c r="B45" s="9" t="s">
        <v>61</v>
      </c>
      <c r="C45" s="17">
        <v>1200</v>
      </c>
      <c r="D45" s="17"/>
      <c r="E45" s="53">
        <v>1000</v>
      </c>
      <c r="F45" s="53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>
        <f t="shared" si="5"/>
        <v>0</v>
      </c>
      <c r="AL45" s="11"/>
      <c r="AM45" s="6">
        <f t="shared" si="1"/>
        <v>1000</v>
      </c>
      <c r="AN45" s="12"/>
      <c r="AO45" s="13">
        <f t="shared" si="2"/>
        <v>-1000</v>
      </c>
    </row>
    <row r="46" spans="1:42" hidden="1" x14ac:dyDescent="0.5">
      <c r="A46" s="9" t="s">
        <v>60</v>
      </c>
      <c r="B46" s="9" t="s">
        <v>62</v>
      </c>
      <c r="C46" s="17">
        <v>1600</v>
      </c>
      <c r="D46" s="17"/>
      <c r="E46" s="53">
        <v>1000</v>
      </c>
      <c r="F46" s="53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>
        <f t="shared" si="5"/>
        <v>0</v>
      </c>
      <c r="AL46" s="11"/>
      <c r="AM46" s="6">
        <f t="shared" si="1"/>
        <v>1000</v>
      </c>
      <c r="AN46" s="12"/>
      <c r="AO46" s="13">
        <f t="shared" si="2"/>
        <v>-1000</v>
      </c>
    </row>
    <row r="47" spans="1:42" x14ac:dyDescent="0.5">
      <c r="A47" s="9" t="s">
        <v>63</v>
      </c>
      <c r="B47" s="9" t="s">
        <v>64</v>
      </c>
      <c r="C47" s="17"/>
      <c r="D47" s="17"/>
      <c r="E47" s="53">
        <v>43</v>
      </c>
      <c r="F47" s="53"/>
      <c r="G47" s="11"/>
      <c r="H47" s="11">
        <v>1</v>
      </c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>
        <v>1</v>
      </c>
      <c r="AI47" s="11"/>
      <c r="AJ47" s="11"/>
      <c r="AK47" s="4">
        <f t="shared" si="5"/>
        <v>2</v>
      </c>
      <c r="AL47" s="5"/>
      <c r="AM47" s="6">
        <f t="shared" si="1"/>
        <v>41</v>
      </c>
      <c r="AN47" s="12">
        <v>41</v>
      </c>
      <c r="AO47" s="13">
        <f t="shared" si="2"/>
        <v>0</v>
      </c>
    </row>
    <row r="48" spans="1:42" x14ac:dyDescent="0.5">
      <c r="A48" s="9" t="s">
        <v>63</v>
      </c>
      <c r="B48" s="9" t="s">
        <v>65</v>
      </c>
      <c r="C48" s="17">
        <v>115000</v>
      </c>
      <c r="D48" s="17">
        <v>40000</v>
      </c>
      <c r="E48" s="53">
        <v>8</v>
      </c>
      <c r="F48" s="53">
        <v>24</v>
      </c>
      <c r="G48" s="11"/>
      <c r="H48" s="11"/>
      <c r="I48" s="11"/>
      <c r="J48" s="11"/>
      <c r="K48" s="11"/>
      <c r="L48" s="11"/>
      <c r="M48" s="11"/>
      <c r="N48" s="11"/>
      <c r="O48" s="11">
        <v>1</v>
      </c>
      <c r="P48" s="11"/>
      <c r="Q48" s="11">
        <v>1</v>
      </c>
      <c r="R48" s="11"/>
      <c r="S48" s="11">
        <v>1</v>
      </c>
      <c r="T48" s="11">
        <v>1</v>
      </c>
      <c r="U48" s="11"/>
      <c r="V48" s="11"/>
      <c r="W48" s="11">
        <v>2</v>
      </c>
      <c r="X48" s="11"/>
      <c r="Y48" s="11"/>
      <c r="Z48" s="11">
        <v>1</v>
      </c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4">
        <f t="shared" si="5"/>
        <v>7</v>
      </c>
      <c r="AL48" s="5"/>
      <c r="AM48" s="6">
        <f t="shared" si="1"/>
        <v>25</v>
      </c>
      <c r="AN48" s="12">
        <v>25</v>
      </c>
      <c r="AO48" s="13">
        <f t="shared" si="2"/>
        <v>0</v>
      </c>
    </row>
    <row r="49" spans="1:42" x14ac:dyDescent="0.5">
      <c r="A49" s="9" t="s">
        <v>63</v>
      </c>
      <c r="B49" s="9" t="s">
        <v>66</v>
      </c>
      <c r="C49" s="10">
        <v>48000</v>
      </c>
      <c r="D49" s="10">
        <v>80000</v>
      </c>
      <c r="E49" s="53">
        <v>45</v>
      </c>
      <c r="F49" s="53">
        <v>24</v>
      </c>
      <c r="G49" s="11">
        <v>1</v>
      </c>
      <c r="H49" s="11">
        <v>1</v>
      </c>
      <c r="I49" s="11">
        <v>3</v>
      </c>
      <c r="J49" s="11">
        <v>2</v>
      </c>
      <c r="K49" s="11"/>
      <c r="L49" s="11">
        <v>2</v>
      </c>
      <c r="M49" s="12">
        <v>5</v>
      </c>
      <c r="N49" s="11">
        <v>2</v>
      </c>
      <c r="O49" s="11"/>
      <c r="P49" s="11">
        <v>3</v>
      </c>
      <c r="Q49" s="11">
        <v>1</v>
      </c>
      <c r="R49" s="11">
        <v>4</v>
      </c>
      <c r="S49" s="11">
        <v>2</v>
      </c>
      <c r="T49" s="11">
        <v>3</v>
      </c>
      <c r="U49" s="11"/>
      <c r="V49" s="11"/>
      <c r="W49" s="11"/>
      <c r="X49" s="11">
        <v>1</v>
      </c>
      <c r="Y49" s="11"/>
      <c r="Z49" s="11">
        <v>2</v>
      </c>
      <c r="AA49" s="11">
        <v>3</v>
      </c>
      <c r="AB49" s="11">
        <v>1</v>
      </c>
      <c r="AC49" s="11">
        <v>1</v>
      </c>
      <c r="AD49" s="11">
        <v>2</v>
      </c>
      <c r="AE49" s="11">
        <v>2</v>
      </c>
      <c r="AF49" s="11">
        <v>1</v>
      </c>
      <c r="AG49" s="11">
        <v>2</v>
      </c>
      <c r="AH49" s="11">
        <v>2</v>
      </c>
      <c r="AI49" s="11"/>
      <c r="AJ49" s="11"/>
      <c r="AK49" s="4">
        <f t="shared" si="5"/>
        <v>46</v>
      </c>
      <c r="AL49" s="5">
        <v>2</v>
      </c>
      <c r="AM49" s="6">
        <f t="shared" si="1"/>
        <v>21</v>
      </c>
      <c r="AN49" s="12">
        <v>21</v>
      </c>
      <c r="AO49" s="13">
        <f t="shared" si="2"/>
        <v>0</v>
      </c>
    </row>
    <row r="50" spans="1:42" x14ac:dyDescent="0.5">
      <c r="A50" s="9" t="s">
        <v>63</v>
      </c>
      <c r="B50" s="9" t="s">
        <v>67</v>
      </c>
      <c r="C50" s="10">
        <v>90000</v>
      </c>
      <c r="D50" s="10">
        <v>125000</v>
      </c>
      <c r="E50" s="53">
        <v>2</v>
      </c>
      <c r="F50" s="53">
        <v>2</v>
      </c>
      <c r="G50" s="11"/>
      <c r="H50" s="11"/>
      <c r="I50" s="11"/>
      <c r="J50" s="11"/>
      <c r="K50" s="11"/>
      <c r="L50" s="11"/>
      <c r="M50" s="12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>
        <v>1</v>
      </c>
      <c r="AI50" s="11"/>
      <c r="AJ50" s="11"/>
      <c r="AK50" s="4">
        <f t="shared" si="5"/>
        <v>1</v>
      </c>
      <c r="AL50" s="5"/>
      <c r="AM50" s="6">
        <f t="shared" si="1"/>
        <v>3</v>
      </c>
      <c r="AN50" s="12">
        <v>2</v>
      </c>
      <c r="AO50" s="15">
        <f t="shared" si="2"/>
        <v>-1</v>
      </c>
    </row>
    <row r="51" spans="1:42" x14ac:dyDescent="0.5">
      <c r="A51" s="9" t="s">
        <v>63</v>
      </c>
      <c r="B51" s="9" t="s">
        <v>68</v>
      </c>
      <c r="C51" s="10">
        <v>100000</v>
      </c>
      <c r="D51" s="10">
        <v>125000</v>
      </c>
      <c r="E51" s="53">
        <v>4</v>
      </c>
      <c r="F51" s="53">
        <f>2+24</f>
        <v>26</v>
      </c>
      <c r="G51" s="11"/>
      <c r="H51" s="11"/>
      <c r="I51" s="11"/>
      <c r="J51" s="11"/>
      <c r="K51" s="11"/>
      <c r="L51" s="11"/>
      <c r="M51" s="12">
        <v>1</v>
      </c>
      <c r="N51" s="11"/>
      <c r="O51" s="11"/>
      <c r="P51" s="11"/>
      <c r="Q51" s="11"/>
      <c r="R51" s="11"/>
      <c r="S51" s="11"/>
      <c r="T51" s="11">
        <v>1</v>
      </c>
      <c r="U51" s="11"/>
      <c r="V51" s="11">
        <v>1</v>
      </c>
      <c r="W51" s="11"/>
      <c r="X51" s="11"/>
      <c r="Y51" s="11"/>
      <c r="Z51" s="11"/>
      <c r="AA51" s="11"/>
      <c r="AB51" s="11"/>
      <c r="AC51" s="11"/>
      <c r="AD51" s="11"/>
      <c r="AE51" s="11">
        <v>1</v>
      </c>
      <c r="AF51" s="11"/>
      <c r="AG51" s="11"/>
      <c r="AH51" s="11"/>
      <c r="AI51" s="11"/>
      <c r="AJ51" s="11"/>
      <c r="AK51" s="4">
        <f t="shared" si="5"/>
        <v>4</v>
      </c>
      <c r="AL51" s="5"/>
      <c r="AM51" s="6">
        <f t="shared" si="1"/>
        <v>26</v>
      </c>
      <c r="AN51" s="12">
        <v>27</v>
      </c>
      <c r="AO51" s="15">
        <f t="shared" si="2"/>
        <v>1</v>
      </c>
      <c r="AP51" s="16"/>
    </row>
    <row r="52" spans="1:42" x14ac:dyDescent="0.5">
      <c r="A52" s="9" t="s">
        <v>63</v>
      </c>
      <c r="B52" s="9" t="s">
        <v>69</v>
      </c>
      <c r="C52" s="10">
        <v>45000</v>
      </c>
      <c r="D52" s="10">
        <v>80000</v>
      </c>
      <c r="E52" s="53">
        <v>15</v>
      </c>
      <c r="F52" s="53"/>
      <c r="G52" s="11">
        <v>1</v>
      </c>
      <c r="H52" s="11"/>
      <c r="I52" s="11"/>
      <c r="J52" s="11"/>
      <c r="K52" s="11"/>
      <c r="L52" s="11"/>
      <c r="M52" s="12"/>
      <c r="N52" s="11">
        <v>1</v>
      </c>
      <c r="O52" s="11"/>
      <c r="P52" s="11">
        <v>1</v>
      </c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4">
        <f t="shared" si="5"/>
        <v>3</v>
      </c>
      <c r="AL52" s="5"/>
      <c r="AM52" s="6">
        <f t="shared" si="1"/>
        <v>12</v>
      </c>
      <c r="AN52" s="12">
        <v>12</v>
      </c>
      <c r="AO52" s="13">
        <f t="shared" si="2"/>
        <v>0</v>
      </c>
      <c r="AP52" s="16"/>
    </row>
    <row r="53" spans="1:42" x14ac:dyDescent="0.5">
      <c r="A53" s="9" t="s">
        <v>70</v>
      </c>
      <c r="B53" s="9" t="s">
        <v>71</v>
      </c>
      <c r="C53" s="10">
        <v>25000</v>
      </c>
      <c r="D53" s="10">
        <v>35000</v>
      </c>
      <c r="E53" s="53">
        <v>19</v>
      </c>
      <c r="F53" s="53"/>
      <c r="G53" s="11"/>
      <c r="H53" s="11"/>
      <c r="I53" s="11">
        <v>2</v>
      </c>
      <c r="J53" s="11"/>
      <c r="K53" s="11"/>
      <c r="L53" s="11"/>
      <c r="M53" s="12"/>
      <c r="N53" s="11">
        <v>1</v>
      </c>
      <c r="O53" s="11"/>
      <c r="P53" s="11"/>
      <c r="Q53" s="11">
        <v>1</v>
      </c>
      <c r="R53" s="11"/>
      <c r="S53" s="11"/>
      <c r="T53" s="11"/>
      <c r="U53" s="11"/>
      <c r="V53" s="11"/>
      <c r="W53" s="11"/>
      <c r="X53" s="11">
        <v>1</v>
      </c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4">
        <f t="shared" si="5"/>
        <v>5</v>
      </c>
      <c r="AL53" s="5"/>
      <c r="AM53" s="6">
        <f t="shared" si="1"/>
        <v>14</v>
      </c>
      <c r="AN53" s="12">
        <v>14</v>
      </c>
      <c r="AO53" s="13">
        <f t="shared" si="2"/>
        <v>0</v>
      </c>
      <c r="AP53" s="16"/>
    </row>
    <row r="54" spans="1:42" x14ac:dyDescent="0.5">
      <c r="A54" s="9" t="s">
        <v>70</v>
      </c>
      <c r="B54" s="9" t="s">
        <v>72</v>
      </c>
      <c r="C54" s="10">
        <v>30000</v>
      </c>
      <c r="D54" s="10">
        <v>40000</v>
      </c>
      <c r="E54" s="53">
        <v>18</v>
      </c>
      <c r="F54" s="53"/>
      <c r="G54" s="11">
        <v>2</v>
      </c>
      <c r="H54" s="11"/>
      <c r="I54" s="11">
        <v>1</v>
      </c>
      <c r="J54" s="11"/>
      <c r="K54" s="11">
        <v>1</v>
      </c>
      <c r="L54" s="11">
        <v>2</v>
      </c>
      <c r="M54" s="12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>
        <v>3</v>
      </c>
      <c r="Y54" s="11"/>
      <c r="Z54" s="11"/>
      <c r="AA54" s="11"/>
      <c r="AB54" s="11">
        <v>2</v>
      </c>
      <c r="AC54" s="11"/>
      <c r="AD54" s="11"/>
      <c r="AE54" s="11">
        <v>1</v>
      </c>
      <c r="AF54" s="11"/>
      <c r="AG54" s="11"/>
      <c r="AH54" s="11"/>
      <c r="AI54" s="11"/>
      <c r="AJ54" s="11"/>
      <c r="AK54" s="4">
        <f t="shared" si="5"/>
        <v>12</v>
      </c>
      <c r="AL54" s="5">
        <v>1</v>
      </c>
      <c r="AM54" s="6">
        <f t="shared" si="1"/>
        <v>5</v>
      </c>
      <c r="AN54" s="12">
        <v>5</v>
      </c>
      <c r="AO54" s="13">
        <f t="shared" si="2"/>
        <v>0</v>
      </c>
      <c r="AP54" s="16"/>
    </row>
    <row r="55" spans="1:42" x14ac:dyDescent="0.5">
      <c r="A55" s="9" t="s">
        <v>70</v>
      </c>
      <c r="B55" s="9" t="s">
        <v>73</v>
      </c>
      <c r="C55" s="10">
        <v>25000</v>
      </c>
      <c r="D55" s="10">
        <v>35000</v>
      </c>
      <c r="E55" s="53">
        <v>93</v>
      </c>
      <c r="F55" s="53">
        <v>2</v>
      </c>
      <c r="G55" s="11">
        <v>6</v>
      </c>
      <c r="H55" s="11"/>
      <c r="I55" s="11">
        <v>4</v>
      </c>
      <c r="J55" s="11"/>
      <c r="K55" s="11">
        <v>1</v>
      </c>
      <c r="L55" s="11">
        <v>2</v>
      </c>
      <c r="M55" s="12"/>
      <c r="N55" s="11"/>
      <c r="O55" s="11"/>
      <c r="P55" s="11">
        <v>2</v>
      </c>
      <c r="Q55" s="11">
        <v>1</v>
      </c>
      <c r="R55" s="11">
        <v>1</v>
      </c>
      <c r="S55" s="11"/>
      <c r="T55" s="11"/>
      <c r="U55" s="11"/>
      <c r="V55" s="11">
        <v>2</v>
      </c>
      <c r="W55" s="11">
        <v>3</v>
      </c>
      <c r="X55" s="11"/>
      <c r="Y55" s="11">
        <v>2</v>
      </c>
      <c r="Z55" s="11">
        <v>3</v>
      </c>
      <c r="AA55" s="11">
        <v>4</v>
      </c>
      <c r="AB55" s="11">
        <v>2</v>
      </c>
      <c r="AC55" s="11">
        <v>1</v>
      </c>
      <c r="AD55" s="11">
        <v>1</v>
      </c>
      <c r="AE55" s="11"/>
      <c r="AF55" s="11"/>
      <c r="AG55" s="11">
        <v>2</v>
      </c>
      <c r="AH55" s="11">
        <v>2</v>
      </c>
      <c r="AI55" s="11">
        <v>2</v>
      </c>
      <c r="AJ55" s="11">
        <v>2</v>
      </c>
      <c r="AK55" s="4">
        <f t="shared" si="5"/>
        <v>43</v>
      </c>
      <c r="AL55" s="5"/>
      <c r="AM55" s="6">
        <f t="shared" si="1"/>
        <v>52</v>
      </c>
      <c r="AN55" s="12">
        <v>51</v>
      </c>
      <c r="AO55" s="15">
        <f t="shared" si="2"/>
        <v>-1</v>
      </c>
      <c r="AP55" s="16"/>
    </row>
    <row r="56" spans="1:42" x14ac:dyDescent="0.5">
      <c r="A56" s="9" t="s">
        <v>74</v>
      </c>
      <c r="B56" s="9" t="s">
        <v>75</v>
      </c>
      <c r="C56" s="18">
        <v>4558.67</v>
      </c>
      <c r="D56" s="19">
        <v>15000</v>
      </c>
      <c r="E56" s="53">
        <v>59</v>
      </c>
      <c r="F56" s="53">
        <f>33+300+300</f>
        <v>633</v>
      </c>
      <c r="G56" s="11">
        <v>10</v>
      </c>
      <c r="H56" s="11">
        <v>20</v>
      </c>
      <c r="I56" s="11">
        <v>10</v>
      </c>
      <c r="J56" s="11">
        <v>17</v>
      </c>
      <c r="K56" s="11">
        <v>11</v>
      </c>
      <c r="L56" s="11">
        <v>19</v>
      </c>
      <c r="M56" s="12">
        <v>17</v>
      </c>
      <c r="N56" s="11">
        <v>16</v>
      </c>
      <c r="O56" s="11">
        <v>10</v>
      </c>
      <c r="P56" s="11">
        <v>15</v>
      </c>
      <c r="Q56" s="11">
        <v>8</v>
      </c>
      <c r="R56" s="11">
        <v>9</v>
      </c>
      <c r="S56" s="11">
        <v>9</v>
      </c>
      <c r="T56" s="11">
        <v>25</v>
      </c>
      <c r="U56" s="11">
        <v>20</v>
      </c>
      <c r="V56" s="11">
        <v>14</v>
      </c>
      <c r="W56" s="11">
        <v>10</v>
      </c>
      <c r="X56" s="11">
        <v>26</v>
      </c>
      <c r="Y56" s="11">
        <v>8</v>
      </c>
      <c r="Z56" s="11">
        <v>11</v>
      </c>
      <c r="AA56" s="11">
        <v>17</v>
      </c>
      <c r="AB56" s="11">
        <v>10</v>
      </c>
      <c r="AC56" s="11">
        <v>10</v>
      </c>
      <c r="AD56" s="11">
        <v>7</v>
      </c>
      <c r="AE56" s="11">
        <v>15</v>
      </c>
      <c r="AF56" s="11">
        <v>11</v>
      </c>
      <c r="AG56" s="11">
        <v>21</v>
      </c>
      <c r="AH56" s="12">
        <v>26</v>
      </c>
      <c r="AI56" s="11">
        <v>16</v>
      </c>
      <c r="AJ56" s="11">
        <v>8</v>
      </c>
      <c r="AK56" s="4">
        <f t="shared" si="5"/>
        <v>426</v>
      </c>
      <c r="AL56" s="5">
        <v>12</v>
      </c>
      <c r="AM56" s="6">
        <f t="shared" si="1"/>
        <v>254</v>
      </c>
      <c r="AN56" s="12">
        <v>251</v>
      </c>
      <c r="AO56" s="15">
        <f t="shared" si="2"/>
        <v>-3</v>
      </c>
    </row>
    <row r="57" spans="1:42" x14ac:dyDescent="0.5">
      <c r="A57" s="9" t="s">
        <v>74</v>
      </c>
      <c r="B57" s="9" t="s">
        <v>76</v>
      </c>
      <c r="C57" s="20">
        <v>2116.6</v>
      </c>
      <c r="D57" s="19">
        <v>10000</v>
      </c>
      <c r="E57" s="53">
        <v>402</v>
      </c>
      <c r="F57" s="53">
        <f>24+24</f>
        <v>48</v>
      </c>
      <c r="G57" s="11">
        <v>12</v>
      </c>
      <c r="H57" s="11">
        <v>6</v>
      </c>
      <c r="I57" s="11">
        <v>5</v>
      </c>
      <c r="J57" s="11">
        <v>8</v>
      </c>
      <c r="K57" s="11">
        <v>14</v>
      </c>
      <c r="L57" s="11">
        <v>10</v>
      </c>
      <c r="M57" s="12">
        <v>15</v>
      </c>
      <c r="N57" s="11">
        <v>9</v>
      </c>
      <c r="O57" s="11">
        <v>2</v>
      </c>
      <c r="P57" s="11">
        <v>16</v>
      </c>
      <c r="Q57" s="11">
        <v>15</v>
      </c>
      <c r="R57" s="11">
        <v>7</v>
      </c>
      <c r="S57" s="11">
        <v>7</v>
      </c>
      <c r="T57" s="11">
        <v>16</v>
      </c>
      <c r="U57" s="11">
        <v>10</v>
      </c>
      <c r="V57" s="11">
        <v>11</v>
      </c>
      <c r="W57" s="11">
        <v>7</v>
      </c>
      <c r="X57" s="11">
        <v>12</v>
      </c>
      <c r="Y57" s="11">
        <v>13</v>
      </c>
      <c r="Z57" s="11">
        <v>8</v>
      </c>
      <c r="AA57" s="11">
        <v>23</v>
      </c>
      <c r="AB57" s="11">
        <v>4</v>
      </c>
      <c r="AC57" s="11">
        <v>2</v>
      </c>
      <c r="AD57" s="11">
        <v>9</v>
      </c>
      <c r="AE57" s="11">
        <v>2</v>
      </c>
      <c r="AF57" s="11">
        <v>11</v>
      </c>
      <c r="AG57" s="11">
        <v>11</v>
      </c>
      <c r="AH57" s="12">
        <v>16</v>
      </c>
      <c r="AI57" s="11">
        <v>11</v>
      </c>
      <c r="AJ57" s="11">
        <v>6</v>
      </c>
      <c r="AK57" s="4">
        <f t="shared" si="5"/>
        <v>298</v>
      </c>
      <c r="AL57" s="5">
        <v>9</v>
      </c>
      <c r="AM57" s="6">
        <f t="shared" si="1"/>
        <v>143</v>
      </c>
      <c r="AN57" s="12">
        <v>142</v>
      </c>
      <c r="AO57" s="15">
        <f t="shared" si="2"/>
        <v>-1</v>
      </c>
      <c r="AP57" s="16"/>
    </row>
    <row r="58" spans="1:42" x14ac:dyDescent="0.5">
      <c r="A58" s="9" t="s">
        <v>74</v>
      </c>
      <c r="B58" s="9" t="s">
        <v>77</v>
      </c>
      <c r="C58" s="21">
        <v>6250</v>
      </c>
      <c r="D58" s="21">
        <v>12000</v>
      </c>
      <c r="E58" s="53">
        <v>27</v>
      </c>
      <c r="F58" s="53">
        <v>617</v>
      </c>
      <c r="G58" s="11">
        <v>10</v>
      </c>
      <c r="H58" s="11">
        <v>6</v>
      </c>
      <c r="I58" s="11">
        <v>5</v>
      </c>
      <c r="J58" s="11">
        <v>4</v>
      </c>
      <c r="K58" s="11">
        <v>5</v>
      </c>
      <c r="L58" s="11">
        <v>9</v>
      </c>
      <c r="M58" s="12">
        <v>6</v>
      </c>
      <c r="N58" s="11">
        <v>3</v>
      </c>
      <c r="O58" s="11">
        <v>9</v>
      </c>
      <c r="P58" s="11">
        <v>8</v>
      </c>
      <c r="Q58" s="11">
        <v>3</v>
      </c>
      <c r="R58" s="11">
        <v>4</v>
      </c>
      <c r="S58" s="11">
        <v>4</v>
      </c>
      <c r="T58" s="11">
        <v>3</v>
      </c>
      <c r="U58" s="11">
        <v>7</v>
      </c>
      <c r="V58" s="11">
        <v>11</v>
      </c>
      <c r="W58" s="11">
        <v>3</v>
      </c>
      <c r="X58" s="11">
        <v>7</v>
      </c>
      <c r="Y58" s="11">
        <v>4</v>
      </c>
      <c r="Z58" s="11">
        <v>5</v>
      </c>
      <c r="AA58" s="11">
        <v>14</v>
      </c>
      <c r="AB58" s="11">
        <v>5</v>
      </c>
      <c r="AC58" s="11">
        <v>5</v>
      </c>
      <c r="AD58" s="11">
        <v>3</v>
      </c>
      <c r="AE58" s="11">
        <v>5</v>
      </c>
      <c r="AF58" s="11">
        <v>4</v>
      </c>
      <c r="AG58" s="11">
        <v>8</v>
      </c>
      <c r="AH58" s="12">
        <v>3</v>
      </c>
      <c r="AI58" s="11">
        <v>8</v>
      </c>
      <c r="AJ58" s="11">
        <v>1</v>
      </c>
      <c r="AK58" s="4">
        <f t="shared" si="5"/>
        <v>172</v>
      </c>
      <c r="AL58" s="5">
        <v>1</v>
      </c>
      <c r="AM58" s="6">
        <f t="shared" si="1"/>
        <v>471</v>
      </c>
      <c r="AN58" s="12">
        <v>471</v>
      </c>
      <c r="AO58" s="13">
        <f t="shared" si="2"/>
        <v>0</v>
      </c>
      <c r="AP58" s="16"/>
    </row>
    <row r="59" spans="1:42" x14ac:dyDescent="0.5">
      <c r="A59" s="9" t="s">
        <v>74</v>
      </c>
      <c r="B59" s="9" t="s">
        <v>78</v>
      </c>
      <c r="C59" s="21">
        <v>10250</v>
      </c>
      <c r="D59" s="21">
        <v>20000</v>
      </c>
      <c r="E59" s="53">
        <v>118</v>
      </c>
      <c r="F59" s="53">
        <v>150</v>
      </c>
      <c r="G59" s="11">
        <v>4</v>
      </c>
      <c r="H59" s="11">
        <v>3</v>
      </c>
      <c r="I59" s="11">
        <v>6</v>
      </c>
      <c r="J59" s="11">
        <v>4</v>
      </c>
      <c r="K59" s="11">
        <v>4</v>
      </c>
      <c r="L59" s="11">
        <v>5</v>
      </c>
      <c r="M59" s="12">
        <v>4</v>
      </c>
      <c r="N59" s="11">
        <v>2</v>
      </c>
      <c r="O59" s="11">
        <v>4</v>
      </c>
      <c r="P59" s="11">
        <v>2</v>
      </c>
      <c r="Q59" s="11">
        <v>4</v>
      </c>
      <c r="R59" s="11">
        <v>1</v>
      </c>
      <c r="S59" s="11">
        <v>2</v>
      </c>
      <c r="T59" s="11">
        <v>3</v>
      </c>
      <c r="U59" s="11">
        <v>2</v>
      </c>
      <c r="V59" s="11">
        <v>2</v>
      </c>
      <c r="W59" s="11">
        <v>1</v>
      </c>
      <c r="X59" s="11">
        <v>4</v>
      </c>
      <c r="Y59" s="11">
        <v>5</v>
      </c>
      <c r="Z59" s="11">
        <v>2</v>
      </c>
      <c r="AA59" s="11">
        <v>8</v>
      </c>
      <c r="AB59" s="11">
        <v>3</v>
      </c>
      <c r="AC59" s="11">
        <v>3</v>
      </c>
      <c r="AD59" s="11">
        <v>2</v>
      </c>
      <c r="AE59" s="11"/>
      <c r="AF59" s="11">
        <v>3</v>
      </c>
      <c r="AG59" s="11">
        <v>2</v>
      </c>
      <c r="AH59" s="12">
        <v>4</v>
      </c>
      <c r="AI59" s="11">
        <v>3</v>
      </c>
      <c r="AJ59" s="11"/>
      <c r="AK59" s="4">
        <f t="shared" si="5"/>
        <v>92</v>
      </c>
      <c r="AL59" s="5">
        <v>16</v>
      </c>
      <c r="AM59" s="6">
        <f t="shared" si="1"/>
        <v>160</v>
      </c>
      <c r="AN59" s="12">
        <v>160</v>
      </c>
      <c r="AO59" s="13">
        <f t="shared" si="2"/>
        <v>0</v>
      </c>
    </row>
    <row r="60" spans="1:42" x14ac:dyDescent="0.5">
      <c r="A60" s="9" t="s">
        <v>74</v>
      </c>
      <c r="B60" s="9" t="s">
        <v>79</v>
      </c>
      <c r="C60" s="21">
        <v>6250</v>
      </c>
      <c r="D60" s="21">
        <v>12000</v>
      </c>
      <c r="E60" s="54">
        <v>207</v>
      </c>
      <c r="F60" s="54">
        <v>240</v>
      </c>
      <c r="G60" s="22">
        <v>12</v>
      </c>
      <c r="H60" s="22">
        <v>7</v>
      </c>
      <c r="I60" s="22">
        <v>4</v>
      </c>
      <c r="J60" s="22">
        <v>11</v>
      </c>
      <c r="K60" s="22">
        <v>5</v>
      </c>
      <c r="L60" s="22">
        <v>11</v>
      </c>
      <c r="M60" s="12">
        <v>10</v>
      </c>
      <c r="N60" s="22">
        <v>5</v>
      </c>
      <c r="O60" s="22">
        <v>9</v>
      </c>
      <c r="P60" s="22">
        <v>4</v>
      </c>
      <c r="Q60" s="22">
        <v>4</v>
      </c>
      <c r="R60" s="22"/>
      <c r="S60" s="22">
        <v>6</v>
      </c>
      <c r="T60" s="22">
        <v>5</v>
      </c>
      <c r="U60" s="22">
        <v>4</v>
      </c>
      <c r="V60" s="22">
        <v>4</v>
      </c>
      <c r="W60" s="22">
        <v>1</v>
      </c>
      <c r="X60" s="22">
        <v>3</v>
      </c>
      <c r="Y60" s="22">
        <v>1</v>
      </c>
      <c r="Z60" s="22">
        <v>7</v>
      </c>
      <c r="AA60" s="22">
        <v>13</v>
      </c>
      <c r="AB60" s="22">
        <v>1</v>
      </c>
      <c r="AC60" s="22">
        <v>6</v>
      </c>
      <c r="AD60" s="22">
        <v>3</v>
      </c>
      <c r="AE60" s="22">
        <v>4</v>
      </c>
      <c r="AF60" s="22">
        <v>6</v>
      </c>
      <c r="AG60" s="22">
        <v>9</v>
      </c>
      <c r="AH60" s="12">
        <v>4</v>
      </c>
      <c r="AI60" s="22">
        <v>3</v>
      </c>
      <c r="AJ60" s="22"/>
      <c r="AK60" s="4">
        <f t="shared" si="5"/>
        <v>162</v>
      </c>
      <c r="AL60" s="5">
        <v>5</v>
      </c>
      <c r="AM60" s="6">
        <f t="shared" si="1"/>
        <v>280</v>
      </c>
      <c r="AN60" s="12">
        <v>278</v>
      </c>
      <c r="AO60" s="15">
        <f t="shared" si="2"/>
        <v>-2</v>
      </c>
    </row>
    <row r="61" spans="1:42" x14ac:dyDescent="0.5">
      <c r="A61" s="9" t="s">
        <v>80</v>
      </c>
      <c r="B61" s="9" t="s">
        <v>81</v>
      </c>
      <c r="C61" s="21">
        <v>7950</v>
      </c>
      <c r="D61" s="21">
        <v>15000</v>
      </c>
      <c r="E61" s="55">
        <v>25</v>
      </c>
      <c r="F61" s="55">
        <f>30+60</f>
        <v>90</v>
      </c>
      <c r="G61" s="23">
        <v>1</v>
      </c>
      <c r="H61" s="23"/>
      <c r="I61" s="23"/>
      <c r="J61" s="23">
        <v>2</v>
      </c>
      <c r="K61" s="23">
        <v>1</v>
      </c>
      <c r="L61" s="23">
        <v>2</v>
      </c>
      <c r="M61" s="12">
        <v>5</v>
      </c>
      <c r="N61" s="23">
        <v>1</v>
      </c>
      <c r="O61" s="23">
        <v>3</v>
      </c>
      <c r="P61" s="23">
        <v>2</v>
      </c>
      <c r="Q61" s="23">
        <v>5</v>
      </c>
      <c r="R61" s="23">
        <v>1</v>
      </c>
      <c r="S61" s="23"/>
      <c r="T61" s="23"/>
      <c r="U61" s="23">
        <v>1</v>
      </c>
      <c r="V61" s="23">
        <v>8</v>
      </c>
      <c r="W61" s="23"/>
      <c r="X61" s="23">
        <v>4</v>
      </c>
      <c r="Y61" s="23">
        <v>1</v>
      </c>
      <c r="Z61" s="23"/>
      <c r="AA61" s="23">
        <v>1</v>
      </c>
      <c r="AB61" s="23">
        <v>2</v>
      </c>
      <c r="AC61" s="23">
        <v>2</v>
      </c>
      <c r="AD61" s="23">
        <v>3</v>
      </c>
      <c r="AE61" s="23">
        <v>1</v>
      </c>
      <c r="AF61" s="23">
        <v>1</v>
      </c>
      <c r="AG61" s="23">
        <v>1</v>
      </c>
      <c r="AH61" s="12">
        <v>3</v>
      </c>
      <c r="AI61" s="23">
        <v>1</v>
      </c>
      <c r="AJ61" s="23">
        <v>1</v>
      </c>
      <c r="AK61" s="4">
        <f t="shared" si="5"/>
        <v>53</v>
      </c>
      <c r="AL61" s="5"/>
      <c r="AM61" s="6">
        <f t="shared" si="1"/>
        <v>62</v>
      </c>
      <c r="AN61" s="12">
        <v>62</v>
      </c>
      <c r="AO61" s="13">
        <f t="shared" si="2"/>
        <v>0</v>
      </c>
    </row>
    <row r="62" spans="1:42" x14ac:dyDescent="0.5">
      <c r="A62" s="9" t="s">
        <v>80</v>
      </c>
      <c r="B62" s="9" t="s">
        <v>82</v>
      </c>
      <c r="C62" s="21">
        <v>0</v>
      </c>
      <c r="D62" s="21">
        <v>15000</v>
      </c>
      <c r="E62" s="55">
        <v>8</v>
      </c>
      <c r="F62" s="55">
        <v>36</v>
      </c>
      <c r="G62" s="23"/>
      <c r="H62" s="23">
        <v>1</v>
      </c>
      <c r="I62" s="23"/>
      <c r="J62" s="23">
        <v>2</v>
      </c>
      <c r="K62" s="23"/>
      <c r="L62" s="23"/>
      <c r="M62" s="23"/>
      <c r="N62" s="23"/>
      <c r="O62" s="23"/>
      <c r="P62" s="23">
        <v>1</v>
      </c>
      <c r="Q62" s="23"/>
      <c r="R62" s="23"/>
      <c r="S62" s="23"/>
      <c r="T62" s="23"/>
      <c r="U62" s="23"/>
      <c r="V62" s="23"/>
      <c r="W62" s="23">
        <v>1</v>
      </c>
      <c r="X62" s="23"/>
      <c r="Y62" s="23">
        <v>1</v>
      </c>
      <c r="Z62" s="23"/>
      <c r="AA62" s="23">
        <v>1</v>
      </c>
      <c r="AB62" s="23">
        <v>1</v>
      </c>
      <c r="AC62" s="23"/>
      <c r="AD62" s="23">
        <v>1</v>
      </c>
      <c r="AE62" s="23">
        <v>1</v>
      </c>
      <c r="AF62" s="23">
        <v>7</v>
      </c>
      <c r="AG62" s="23"/>
      <c r="AH62" s="23">
        <v>1</v>
      </c>
      <c r="AI62" s="23">
        <v>1</v>
      </c>
      <c r="AJ62" s="23"/>
      <c r="AK62" s="4">
        <f t="shared" si="5"/>
        <v>19</v>
      </c>
      <c r="AL62" s="5"/>
      <c r="AM62" s="6">
        <f t="shared" si="1"/>
        <v>25</v>
      </c>
      <c r="AN62" s="12">
        <v>25</v>
      </c>
      <c r="AO62" s="13">
        <f t="shared" si="2"/>
        <v>0</v>
      </c>
    </row>
    <row r="63" spans="1:42" ht="16.149999999999999" thickBot="1" x14ac:dyDescent="0.55000000000000004">
      <c r="A63" s="9" t="s">
        <v>83</v>
      </c>
      <c r="B63" s="9" t="s">
        <v>84</v>
      </c>
      <c r="C63" s="10">
        <v>109044.87</v>
      </c>
      <c r="D63" s="10">
        <v>150000</v>
      </c>
      <c r="E63" s="55">
        <v>53</v>
      </c>
      <c r="F63" s="55"/>
      <c r="G63" s="23"/>
      <c r="H63" s="23"/>
      <c r="I63" s="23"/>
      <c r="J63" s="23"/>
      <c r="K63" s="23">
        <v>2</v>
      </c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3"/>
      <c r="AH63" s="23"/>
      <c r="AI63" s="23"/>
      <c r="AJ63" s="23"/>
      <c r="AK63" s="4">
        <f t="shared" si="5"/>
        <v>2</v>
      </c>
      <c r="AL63" s="5"/>
      <c r="AM63" s="6">
        <f t="shared" si="1"/>
        <v>51</v>
      </c>
      <c r="AN63" s="12">
        <v>51</v>
      </c>
      <c r="AO63" s="13">
        <f t="shared" si="2"/>
        <v>0</v>
      </c>
    </row>
    <row r="64" spans="1:42" ht="21.4" thickBot="1" x14ac:dyDescent="0.7">
      <c r="A64" s="39" t="s">
        <v>85</v>
      </c>
      <c r="B64" s="40"/>
      <c r="C64" s="24">
        <f t="shared" ref="C64:AN64" si="6">SUM(C4:C63)</f>
        <v>45451494.660000004</v>
      </c>
      <c r="D64" s="25">
        <f t="shared" si="6"/>
        <v>61369000</v>
      </c>
      <c r="E64" s="56">
        <f t="shared" si="6"/>
        <v>3368</v>
      </c>
      <c r="F64" s="57">
        <f t="shared" si="6"/>
        <v>1916</v>
      </c>
      <c r="G64" s="26">
        <f t="shared" si="6"/>
        <v>59</v>
      </c>
      <c r="H64" s="26">
        <f t="shared" si="6"/>
        <v>47</v>
      </c>
      <c r="I64" s="26">
        <f t="shared" si="6"/>
        <v>41</v>
      </c>
      <c r="J64" s="26">
        <f t="shared" si="6"/>
        <v>53</v>
      </c>
      <c r="K64" s="26">
        <f t="shared" si="6"/>
        <v>45</v>
      </c>
      <c r="L64" s="26">
        <f t="shared" si="6"/>
        <v>62</v>
      </c>
      <c r="M64" s="26">
        <f t="shared" si="6"/>
        <v>67</v>
      </c>
      <c r="N64" s="26">
        <f t="shared" si="6"/>
        <v>40</v>
      </c>
      <c r="O64" s="26">
        <f t="shared" si="6"/>
        <v>40</v>
      </c>
      <c r="P64" s="26">
        <f t="shared" si="6"/>
        <v>55</v>
      </c>
      <c r="Q64" s="26">
        <f t="shared" si="6"/>
        <v>45</v>
      </c>
      <c r="R64" s="26">
        <f t="shared" si="6"/>
        <v>27</v>
      </c>
      <c r="S64" s="26">
        <f t="shared" si="6"/>
        <v>33</v>
      </c>
      <c r="T64" s="26">
        <f t="shared" si="6"/>
        <v>59</v>
      </c>
      <c r="U64" s="26">
        <f t="shared" si="6"/>
        <v>47</v>
      </c>
      <c r="V64" s="26">
        <f t="shared" si="6"/>
        <v>54</v>
      </c>
      <c r="W64" s="26">
        <f t="shared" si="6"/>
        <v>28</v>
      </c>
      <c r="X64" s="26">
        <f t="shared" si="6"/>
        <v>61</v>
      </c>
      <c r="Y64" s="26">
        <f t="shared" si="6"/>
        <v>37</v>
      </c>
      <c r="Z64" s="26">
        <f t="shared" si="6"/>
        <v>40</v>
      </c>
      <c r="AA64" s="26">
        <f t="shared" si="6"/>
        <v>84</v>
      </c>
      <c r="AB64" s="26">
        <f t="shared" si="6"/>
        <v>32</v>
      </c>
      <c r="AC64" s="26">
        <f t="shared" si="6"/>
        <v>31</v>
      </c>
      <c r="AD64" s="26">
        <f t="shared" si="6"/>
        <v>36</v>
      </c>
      <c r="AE64" s="26">
        <f t="shared" si="6"/>
        <v>33</v>
      </c>
      <c r="AF64" s="26">
        <f t="shared" si="6"/>
        <v>45</v>
      </c>
      <c r="AG64" s="26">
        <f t="shared" si="6"/>
        <v>57</v>
      </c>
      <c r="AH64" s="26">
        <f t="shared" si="6"/>
        <v>64</v>
      </c>
      <c r="AI64" s="26">
        <f t="shared" si="6"/>
        <v>46</v>
      </c>
      <c r="AJ64" s="26"/>
      <c r="AK64" s="26">
        <f t="shared" si="6"/>
        <v>1386</v>
      </c>
      <c r="AL64" s="26"/>
      <c r="AM64" s="26">
        <f t="shared" si="6"/>
        <v>3852</v>
      </c>
      <c r="AN64" s="26">
        <f t="shared" si="6"/>
        <v>1844</v>
      </c>
      <c r="AO64" s="27"/>
    </row>
    <row r="65" spans="1:39" x14ac:dyDescent="0.5">
      <c r="F65" s="5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  <c r="AB65" s="29"/>
      <c r="AC65" s="29"/>
      <c r="AD65" s="29"/>
      <c r="AE65" s="29"/>
      <c r="AF65" s="29"/>
      <c r="AG65" s="29"/>
      <c r="AH65" s="29"/>
      <c r="AI65" s="29"/>
      <c r="AJ65" s="29"/>
      <c r="AK65" s="29"/>
      <c r="AL65" s="29"/>
      <c r="AM65" s="29"/>
    </row>
    <row r="66" spans="1:39" x14ac:dyDescent="0.5">
      <c r="A66" s="28"/>
      <c r="B66" s="28"/>
      <c r="C66" s="28"/>
      <c r="D66" s="28"/>
      <c r="E66" s="59"/>
      <c r="F66" s="5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  <c r="AB66" s="29"/>
      <c r="AC66" s="29"/>
      <c r="AD66" s="29"/>
      <c r="AE66" s="29"/>
      <c r="AF66" s="29"/>
      <c r="AG66" s="29"/>
      <c r="AH66" s="29"/>
      <c r="AI66" s="29"/>
      <c r="AJ66" s="29"/>
      <c r="AK66" s="29"/>
      <c r="AL66" s="29"/>
      <c r="AM66" s="29"/>
    </row>
    <row r="67" spans="1:39" x14ac:dyDescent="0.5">
      <c r="A67" s="28"/>
      <c r="B67" s="28"/>
      <c r="C67" s="28"/>
      <c r="D67" s="28"/>
      <c r="E67" s="59"/>
      <c r="F67" s="59"/>
      <c r="G67" s="29"/>
      <c r="H67" s="29"/>
      <c r="I67" s="29"/>
      <c r="J67" s="29"/>
      <c r="K67" s="31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  <c r="AB67" s="29"/>
      <c r="AC67" s="29"/>
      <c r="AD67" s="29"/>
      <c r="AE67" s="29"/>
      <c r="AF67" s="29"/>
      <c r="AG67" s="29"/>
      <c r="AH67" s="29"/>
      <c r="AI67" s="29"/>
      <c r="AJ67" s="29"/>
      <c r="AK67" s="29"/>
      <c r="AL67" s="29"/>
      <c r="AM67" s="29"/>
    </row>
    <row r="68" spans="1:39" x14ac:dyDescent="0.5">
      <c r="A68" s="28"/>
      <c r="B68" s="28"/>
      <c r="C68" s="28"/>
      <c r="D68" s="28"/>
      <c r="E68" s="59"/>
      <c r="F68" s="5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  <c r="AB68" s="29"/>
      <c r="AC68" s="29"/>
      <c r="AD68" s="29"/>
      <c r="AE68" s="29"/>
      <c r="AF68" s="29"/>
      <c r="AG68" s="29"/>
      <c r="AH68" s="29"/>
      <c r="AI68" s="29"/>
      <c r="AJ68" s="29"/>
      <c r="AK68" s="29"/>
      <c r="AL68" s="29"/>
      <c r="AM68" s="29"/>
    </row>
    <row r="69" spans="1:39" x14ac:dyDescent="0.5">
      <c r="A69" s="28"/>
      <c r="B69" s="28"/>
      <c r="C69" s="28"/>
      <c r="D69" s="28"/>
      <c r="E69" s="59"/>
      <c r="F69" s="5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  <c r="AA69" s="29"/>
      <c r="AB69" s="29"/>
      <c r="AC69" s="29"/>
      <c r="AD69" s="29"/>
      <c r="AE69" s="29"/>
      <c r="AF69" s="29"/>
      <c r="AG69" s="29"/>
      <c r="AH69" s="29"/>
      <c r="AI69" s="29"/>
      <c r="AJ69" s="29"/>
      <c r="AK69" s="29"/>
      <c r="AL69" s="29"/>
      <c r="AM69" s="29"/>
    </row>
    <row r="70" spans="1:39" x14ac:dyDescent="0.5">
      <c r="A70" s="28"/>
      <c r="B70" s="28"/>
      <c r="C70" s="28"/>
      <c r="D70" s="28"/>
      <c r="E70" s="59"/>
      <c r="F70" s="5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  <c r="AB70" s="29"/>
      <c r="AC70" s="29"/>
      <c r="AD70" s="29"/>
      <c r="AE70" s="29"/>
      <c r="AF70" s="29"/>
      <c r="AG70" s="29"/>
      <c r="AH70" s="29"/>
      <c r="AI70" s="29"/>
      <c r="AJ70" s="29"/>
      <c r="AK70" s="29"/>
      <c r="AL70" s="29"/>
      <c r="AM70" s="29"/>
    </row>
    <row r="71" spans="1:39" x14ac:dyDescent="0.5">
      <c r="A71" s="28"/>
      <c r="B71" s="28"/>
      <c r="C71" s="28"/>
      <c r="D71" s="28"/>
      <c r="E71" s="59"/>
      <c r="F71" s="5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  <c r="AB71" s="29"/>
      <c r="AC71" s="29"/>
      <c r="AD71" s="29"/>
      <c r="AE71" s="29"/>
      <c r="AF71" s="29"/>
      <c r="AG71" s="29"/>
      <c r="AH71" s="29"/>
      <c r="AI71" s="29"/>
      <c r="AJ71" s="29"/>
      <c r="AK71" s="29"/>
      <c r="AL71" s="29"/>
      <c r="AM71" s="29"/>
    </row>
    <row r="72" spans="1:39" x14ac:dyDescent="0.5">
      <c r="A72" s="28"/>
      <c r="B72" s="28"/>
      <c r="C72" s="28"/>
      <c r="D72" s="28"/>
      <c r="E72" s="59"/>
      <c r="F72" s="5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29"/>
      <c r="AB72" s="29"/>
      <c r="AC72" s="29"/>
      <c r="AD72" s="29"/>
      <c r="AE72" s="29"/>
      <c r="AF72" s="29"/>
      <c r="AG72" s="29"/>
      <c r="AH72" s="29"/>
      <c r="AI72" s="29"/>
      <c r="AJ72" s="29"/>
      <c r="AK72" s="29"/>
      <c r="AL72" s="29"/>
      <c r="AM72" s="29"/>
    </row>
    <row r="74" spans="1:39" ht="36.75" customHeight="1" x14ac:dyDescent="0.5"/>
    <row r="76" spans="1:39" x14ac:dyDescent="0.5">
      <c r="B76" s="30"/>
      <c r="C76" s="30"/>
      <c r="D76" s="30"/>
      <c r="E76" s="60"/>
      <c r="F76" s="60"/>
      <c r="AG76"/>
      <c r="AH76"/>
      <c r="AI76"/>
      <c r="AJ76"/>
      <c r="AK76"/>
      <c r="AL76"/>
      <c r="AM76"/>
    </row>
    <row r="77" spans="1:39" x14ac:dyDescent="0.5">
      <c r="B77" s="30"/>
      <c r="C77" s="30"/>
      <c r="D77" s="30"/>
      <c r="E77" s="60"/>
      <c r="F77" s="60"/>
      <c r="AG77"/>
      <c r="AH77"/>
      <c r="AI77"/>
      <c r="AJ77"/>
      <c r="AK77"/>
      <c r="AL77"/>
      <c r="AM77"/>
    </row>
    <row r="78" spans="1:39" x14ac:dyDescent="0.5">
      <c r="B78" s="30"/>
      <c r="C78" s="30"/>
      <c r="D78" s="30"/>
      <c r="E78" s="60"/>
      <c r="F78" s="60"/>
      <c r="AG78"/>
      <c r="AH78"/>
      <c r="AI78"/>
      <c r="AJ78"/>
      <c r="AK78"/>
      <c r="AL78"/>
      <c r="AM78"/>
    </row>
    <row r="79" spans="1:39" x14ac:dyDescent="0.5">
      <c r="B79" s="30"/>
      <c r="C79" s="30"/>
      <c r="D79" s="30"/>
      <c r="E79" s="60"/>
      <c r="F79" s="60"/>
      <c r="AG79"/>
      <c r="AH79"/>
      <c r="AI79"/>
      <c r="AJ79"/>
      <c r="AK79"/>
      <c r="AL79"/>
      <c r="AM79"/>
    </row>
    <row r="80" spans="1:39" x14ac:dyDescent="0.5">
      <c r="B80" s="30"/>
      <c r="C80" s="30"/>
      <c r="D80" s="30"/>
      <c r="E80" s="60"/>
      <c r="F80" s="60"/>
      <c r="AG80"/>
      <c r="AH80"/>
      <c r="AI80"/>
      <c r="AJ80"/>
      <c r="AK80"/>
      <c r="AL80"/>
      <c r="AM80"/>
    </row>
    <row r="81" spans="2:39" x14ac:dyDescent="0.5">
      <c r="B81" s="30"/>
      <c r="C81" s="30"/>
      <c r="D81" s="30"/>
      <c r="E81" s="60"/>
      <c r="F81" s="60"/>
      <c r="AG81"/>
      <c r="AH81"/>
      <c r="AI81"/>
      <c r="AJ81"/>
      <c r="AK81"/>
      <c r="AL81"/>
      <c r="AM81"/>
    </row>
    <row r="82" spans="2:39" x14ac:dyDescent="0.5">
      <c r="B82" s="30"/>
      <c r="C82" s="30"/>
      <c r="D82" s="30"/>
      <c r="E82" s="60"/>
      <c r="F82" s="60"/>
      <c r="AG82"/>
      <c r="AH82"/>
      <c r="AI82"/>
      <c r="AJ82"/>
      <c r="AK82"/>
      <c r="AL82"/>
      <c r="AM82"/>
    </row>
    <row r="83" spans="2:39" x14ac:dyDescent="0.5">
      <c r="B83" s="30"/>
      <c r="C83" s="30"/>
      <c r="D83" s="30"/>
      <c r="E83" s="60"/>
      <c r="F83" s="60"/>
      <c r="AG83"/>
      <c r="AH83"/>
      <c r="AI83"/>
      <c r="AJ83"/>
      <c r="AK83"/>
      <c r="AL83"/>
      <c r="AM83"/>
    </row>
    <row r="84" spans="2:39" x14ac:dyDescent="0.5">
      <c r="B84" s="30"/>
      <c r="C84" s="30"/>
      <c r="D84" s="30"/>
      <c r="E84" s="60"/>
      <c r="F84" s="60"/>
      <c r="AG84"/>
      <c r="AH84"/>
      <c r="AI84"/>
      <c r="AJ84"/>
      <c r="AK84"/>
      <c r="AL84"/>
      <c r="AM84"/>
    </row>
    <row r="85" spans="2:39" x14ac:dyDescent="0.5">
      <c r="B85" s="30"/>
      <c r="C85" s="30"/>
      <c r="D85" s="30"/>
      <c r="E85" s="60"/>
      <c r="F85" s="60"/>
      <c r="AG85"/>
      <c r="AH85"/>
      <c r="AI85"/>
      <c r="AJ85"/>
      <c r="AK85"/>
      <c r="AL85"/>
      <c r="AM85"/>
    </row>
    <row r="86" spans="2:39" x14ac:dyDescent="0.5">
      <c r="B86" s="30"/>
      <c r="C86" s="30"/>
      <c r="D86" s="30"/>
      <c r="E86" s="60"/>
      <c r="F86" s="60"/>
      <c r="AG86"/>
      <c r="AH86"/>
      <c r="AI86"/>
      <c r="AJ86"/>
      <c r="AK86"/>
      <c r="AL86"/>
      <c r="AM86"/>
    </row>
    <row r="87" spans="2:39" ht="14.25" customHeight="1" x14ac:dyDescent="0.5">
      <c r="B87" s="30"/>
      <c r="C87" s="30"/>
      <c r="D87" s="30"/>
      <c r="E87" s="60"/>
      <c r="F87" s="60"/>
      <c r="AG87"/>
      <c r="AH87"/>
      <c r="AI87"/>
      <c r="AJ87"/>
      <c r="AK87"/>
      <c r="AL87"/>
      <c r="AM87"/>
    </row>
    <row r="88" spans="2:39" x14ac:dyDescent="0.5">
      <c r="B88" s="30"/>
      <c r="C88" s="30"/>
      <c r="D88" s="30"/>
      <c r="E88" s="60"/>
      <c r="F88" s="60"/>
      <c r="N88" s="32" t="s">
        <v>86</v>
      </c>
      <c r="AG88"/>
      <c r="AH88"/>
      <c r="AI88"/>
      <c r="AJ88"/>
      <c r="AK88"/>
      <c r="AL88"/>
      <c r="AM88"/>
    </row>
    <row r="89" spans="2:39" x14ac:dyDescent="0.5">
      <c r="B89" s="30"/>
      <c r="C89" s="30"/>
      <c r="D89" s="30"/>
      <c r="E89" s="60"/>
      <c r="F89" s="60"/>
      <c r="AG89"/>
      <c r="AH89"/>
      <c r="AI89"/>
      <c r="AJ89"/>
      <c r="AK89"/>
      <c r="AL89"/>
      <c r="AM89"/>
    </row>
    <row r="90" spans="2:39" x14ac:dyDescent="0.5">
      <c r="B90" s="30"/>
      <c r="C90" s="30"/>
      <c r="D90" s="30"/>
      <c r="E90" s="60"/>
      <c r="F90" s="60"/>
      <c r="AG90"/>
      <c r="AH90"/>
      <c r="AI90"/>
      <c r="AJ90"/>
      <c r="AK90"/>
      <c r="AL90"/>
      <c r="AM90"/>
    </row>
    <row r="91" spans="2:39" x14ac:dyDescent="0.5">
      <c r="B91" s="30"/>
      <c r="C91" s="30"/>
      <c r="D91" s="30"/>
      <c r="E91" s="60"/>
      <c r="F91" s="60"/>
      <c r="AG91"/>
      <c r="AH91"/>
      <c r="AI91"/>
      <c r="AJ91"/>
      <c r="AK91"/>
      <c r="AL91"/>
      <c r="AM91"/>
    </row>
  </sheetData>
  <autoFilter ref="A2:B64" xr:uid="{00000000-0009-0000-0000-000000000000}"/>
  <mergeCells count="14">
    <mergeCell ref="AM2:AM3"/>
    <mergeCell ref="AN2:AN3"/>
    <mergeCell ref="AO2:AO3"/>
    <mergeCell ref="A64:B64"/>
    <mergeCell ref="A1:AO1"/>
    <mergeCell ref="A2:A3"/>
    <mergeCell ref="B2:B3"/>
    <mergeCell ref="C2:C3"/>
    <mergeCell ref="D2:D3"/>
    <mergeCell ref="E2:E3"/>
    <mergeCell ref="F2:F3"/>
    <mergeCell ref="G2:AJ2"/>
    <mergeCell ref="AK2:AK3"/>
    <mergeCell ref="AL2:AL3"/>
  </mergeCells>
  <pageMargins left="0" right="0" top="0.74803149606299213" bottom="0.74803149606299213" header="0.31496062992125984" footer="0.31496062992125984"/>
  <pageSetup paperSize="9" scale="54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JUNI'26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2026-07-20T03:19:08Z</dcterms:created>
  <dcterms:modified xsi:type="dcterms:W3CDTF">2026-07-20T10:59:51Z</dcterms:modified>
</cp:coreProperties>
</file>