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RIBKA\DATA BC PADEL\Laporan Omset AYO\"/>
    </mc:Choice>
  </mc:AlternateContent>
  <bookViews>
    <workbookView xWindow="0" yWindow="0" windowWidth="19200" windowHeight="7310" activeTab="3"/>
  </bookViews>
  <sheets>
    <sheet name="Summary Juni'26" sheetId="1" r:id="rId1"/>
    <sheet name="Walk In Juni" sheetId="2" r:id="rId2"/>
    <sheet name="AYO-Juni" sheetId="3" r:id="rId3"/>
    <sheet name="ALL-Juni" sheetId="4" r:id="rId4"/>
  </sheets>
  <externalReferences>
    <externalReference r:id="rId5"/>
  </externalReferences>
  <definedNames>
    <definedName name="_xlnm._FilterDatabase" localSheetId="3" hidden="1">'ALL-Juni'!$A$4:$AB$4</definedName>
    <definedName name="_xlnm._FilterDatabase" localSheetId="2" hidden="1">'AYO-Juni'!$A$4:$AD$4</definedName>
    <definedName name="_xlnm._FilterDatabase" localSheetId="1" hidden="1">'Walk In Juni'!$A$4:$AB$4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51" i="4" l="1"/>
  <c r="Y51" i="4"/>
  <c r="X51" i="4"/>
  <c r="W51" i="4"/>
  <c r="V51" i="4"/>
  <c r="U51" i="4"/>
  <c r="T51" i="4"/>
  <c r="S51" i="4"/>
  <c r="R51" i="4"/>
  <c r="Q51" i="4"/>
  <c r="P51" i="4"/>
  <c r="O51" i="4"/>
  <c r="N51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A2" i="4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K36" i="1"/>
  <c r="I40" i="1" s="1"/>
  <c r="J36" i="1"/>
  <c r="I39" i="1" s="1"/>
  <c r="I41" i="1" s="1"/>
  <c r="I42" i="1" s="1"/>
  <c r="I36" i="1"/>
  <c r="H36" i="1"/>
  <c r="G36" i="1"/>
  <c r="F36" i="1"/>
  <c r="E36" i="1"/>
  <c r="D36" i="1"/>
  <c r="C36" i="1"/>
  <c r="B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L6" i="1"/>
  <c r="O52" i="4" l="1"/>
  <c r="W52" i="4"/>
  <c r="T52" i="4"/>
  <c r="Q52" i="4"/>
  <c r="U52" i="4"/>
  <c r="Y52" i="4"/>
  <c r="S52" i="4"/>
  <c r="P52" i="4"/>
  <c r="X52" i="4"/>
  <c r="H40" i="1"/>
  <c r="J40" i="1" s="1"/>
  <c r="N52" i="4"/>
  <c r="R52" i="4"/>
  <c r="V52" i="4"/>
  <c r="Z52" i="4"/>
  <c r="H39" i="1"/>
  <c r="H41" i="1" s="1"/>
  <c r="L36" i="1"/>
  <c r="J39" i="1" l="1"/>
  <c r="H42" i="1"/>
  <c r="J41" i="1"/>
</calcChain>
</file>

<file path=xl/sharedStrings.xml><?xml version="1.0" encoding="utf-8"?>
<sst xmlns="http://schemas.openxmlformats.org/spreadsheetml/2006/main" count="1847" uniqueCount="303">
  <si>
    <t>SUMMARY LAPANGAN PADEL &amp; PICKLE</t>
  </si>
  <si>
    <t>Bulan: JUNI 2026</t>
  </si>
  <si>
    <t>Date of 
Booking</t>
  </si>
  <si>
    <t>Court 1</t>
  </si>
  <si>
    <t>Court 2</t>
  </si>
  <si>
    <t>Court 3</t>
  </si>
  <si>
    <t>Court 4</t>
  </si>
  <si>
    <t>Pickle Court</t>
  </si>
  <si>
    <t>TOTAL</t>
  </si>
  <si>
    <t>AYO</t>
  </si>
  <si>
    <t>Walk In</t>
  </si>
  <si>
    <t>PADEL</t>
  </si>
  <si>
    <t>PICKLE</t>
  </si>
  <si>
    <t>Selisih OLSERA - AYO</t>
  </si>
  <si>
    <t>Olsera</t>
  </si>
  <si>
    <t>WALK IN</t>
  </si>
  <si>
    <t>Average</t>
  </si>
  <si>
    <t>OMSET SEWA LAPANGAN (Walk In)</t>
  </si>
  <si>
    <t>Laporan Periode JUNI 2026</t>
  </si>
  <si>
    <t>Booking ID</t>
  </si>
  <si>
    <t>Venue</t>
  </si>
  <si>
    <t>Court</t>
  </si>
  <si>
    <t>Court ID</t>
  </si>
  <si>
    <t>Sports 
Category</t>
  </si>
  <si>
    <t>Customer
Name</t>
  </si>
  <si>
    <t>Customer Email</t>
  </si>
  <si>
    <t>Customer Phone</t>
  </si>
  <si>
    <t>Username Customer</t>
  </si>
  <si>
    <t>Booking Period 
Start Time</t>
  </si>
  <si>
    <t>Booking Period End Time</t>
  </si>
  <si>
    <t>Session 
Length</t>
  </si>
  <si>
    <t>Price</t>
  </si>
  <si>
    <t>Payment ID</t>
  </si>
  <si>
    <t>Payment 
Method</t>
  </si>
  <si>
    <t>Total Booking 
Amount</t>
  </si>
  <si>
    <t>Discount</t>
  </si>
  <si>
    <t>Ayo Discount</t>
  </si>
  <si>
    <t>Voucher</t>
  </si>
  <si>
    <t>Net Booking 
Amount</t>
  </si>
  <si>
    <t>First/Down 
Payment</t>
  </si>
  <si>
    <t>Pelunasan Online</t>
  </si>
  <si>
    <t>Pelunasan Offline</t>
  </si>
  <si>
    <t>Status</t>
  </si>
  <si>
    <t>Revenue 
Venue</t>
  </si>
  <si>
    <t>Date Revenue 
Processed</t>
  </si>
  <si>
    <t>Note</t>
  </si>
  <si>
    <t>BC Padel Club</t>
  </si>
  <si>
    <t>Court No 2</t>
  </si>
  <si>
    <t>Padel</t>
  </si>
  <si>
    <t>-</t>
  </si>
  <si>
    <t>07:00:00</t>
  </si>
  <si>
    <t>08:00:00</t>
  </si>
  <si>
    <t>60 Minute(s)</t>
  </si>
  <si>
    <t>MANUAL - QRIS</t>
  </si>
  <si>
    <t>FINISHED</t>
  </si>
  <si>
    <t>asyfa ovilia isfil</t>
  </si>
  <si>
    <t>Court No 1</t>
  </si>
  <si>
    <t>Court No 3</t>
  </si>
  <si>
    <t>09:00:00</t>
  </si>
  <si>
    <t>SUBANDI</t>
  </si>
  <si>
    <t>10:00:00</t>
  </si>
  <si>
    <t xml:space="preserve"> 62</t>
  </si>
  <si>
    <t>11:00:00</t>
  </si>
  <si>
    <t>Court No 4</t>
  </si>
  <si>
    <t xml:space="preserve"> +62 811-7003-555</t>
  </si>
  <si>
    <t>19:00:00</t>
  </si>
  <si>
    <t>20:00:00</t>
  </si>
  <si>
    <t>21:00:00</t>
  </si>
  <si>
    <t>Pickleball Court No 1</t>
  </si>
  <si>
    <t>Pickleball</t>
  </si>
  <si>
    <t>sena</t>
  </si>
  <si>
    <t>22:00:00</t>
  </si>
  <si>
    <t>16:00:00</t>
  </si>
  <si>
    <t>17:00:00</t>
  </si>
  <si>
    <t>18:00:00</t>
  </si>
  <si>
    <t>12:00:00</t>
  </si>
  <si>
    <t>13:00:00</t>
  </si>
  <si>
    <t>14:00:00</t>
  </si>
  <si>
    <t>william 40jam</t>
  </si>
  <si>
    <t>15:00:00</t>
  </si>
  <si>
    <t>MN/2428/260601/0001727</t>
  </si>
  <si>
    <t>pipi</t>
  </si>
  <si>
    <t xml:space="preserve"> 6281935105481</t>
  </si>
  <si>
    <t>2026-06-08</t>
  </si>
  <si>
    <t>2026-06-02 17:13:42</t>
  </si>
  <si>
    <t>2026-06-01 13:47:28</t>
  </si>
  <si>
    <t>MN/2428/260601/0001730</t>
  </si>
  <si>
    <t>vina mellisa</t>
  </si>
  <si>
    <t xml:space="preserve"> 082391051000</t>
  </si>
  <si>
    <t>2026-06-01 20:45:28</t>
  </si>
  <si>
    <t>2026-06-08 16:22:46</t>
  </si>
  <si>
    <t>MN/2428/260601/0001728</t>
  </si>
  <si>
    <t>2026-06-02 17:13:51</t>
  </si>
  <si>
    <t>MN/2428/260608/0001886</t>
  </si>
  <si>
    <t>alex</t>
  </si>
  <si>
    <t>2026-06-08 16:10:21</t>
  </si>
  <si>
    <t>2026-06-08 12:39:13</t>
  </si>
  <si>
    <t>MN/2428/260604/0001784</t>
  </si>
  <si>
    <t>wili</t>
  </si>
  <si>
    <t>2026-06-04 09:58:18</t>
  </si>
  <si>
    <t>2026-06-04 09:57:45</t>
  </si>
  <si>
    <t>2026-06-08 16:23:04</t>
  </si>
  <si>
    <t>MN/2428/260524/0001556</t>
  </si>
  <si>
    <t>2026-05-26 14:11:38</t>
  </si>
  <si>
    <t>2026-05-24 22:58:11</t>
  </si>
  <si>
    <t>2026-05-26 15:21:06</t>
  </si>
  <si>
    <t>MN/2428/260524/0001554</t>
  </si>
  <si>
    <t>2026-05-26 14:11:14</t>
  </si>
  <si>
    <t>2026-05-24 22:57:16</t>
  </si>
  <si>
    <t>2026-05-26 15:20:57</t>
  </si>
  <si>
    <t>MN/2428/260524/0001552</t>
  </si>
  <si>
    <t>2026-05-26 14:10:55</t>
  </si>
  <si>
    <t>2026-05-24 22:53:58</t>
  </si>
  <si>
    <t>2026-05-26 15:20:36</t>
  </si>
  <si>
    <t>MN/2428/260524/0001549</t>
  </si>
  <si>
    <t>2026-05-26 14:10:35</t>
  </si>
  <si>
    <t>2026-05-24 22:53:45</t>
  </si>
  <si>
    <t>2026-05-26 15:20:26</t>
  </si>
  <si>
    <t>MN/2428/260607/0001862</t>
  </si>
  <si>
    <t xml:space="preserve"> +62 857-6385-1238</t>
  </si>
  <si>
    <t>2026-06-07 13:16:56</t>
  </si>
  <si>
    <t>MN/2428/260524/0001555</t>
  </si>
  <si>
    <t>2026-05-26 14:11:27</t>
  </si>
  <si>
    <t>MN/2428/260524/0001553</t>
  </si>
  <si>
    <t>2026-05-26 14:11:05</t>
  </si>
  <si>
    <t>MN/2428/260524/0001551</t>
  </si>
  <si>
    <t>2026-05-26 14:10:45</t>
  </si>
  <si>
    <t>2026-05-24 22:57:29</t>
  </si>
  <si>
    <t>MN/2428/260524/0001550</t>
  </si>
  <si>
    <t>2026-05-26 14:10:23</t>
  </si>
  <si>
    <t>2026-05-24 22:57:43</t>
  </si>
  <si>
    <t>MN/2428/260607/0001863</t>
  </si>
  <si>
    <t>MN/2428/260608/0001905</t>
  </si>
  <si>
    <t>raymond</t>
  </si>
  <si>
    <t xml:space="preserve"> +60 11-2706 6282</t>
  </si>
  <si>
    <t>2026-06-08 21:12:24</t>
  </si>
  <si>
    <t>2026-06-08 15:11:47</t>
  </si>
  <si>
    <t>OMSET SEWA LAPANGAN (AYO)</t>
  </si>
  <si>
    <t>Reschedule</t>
  </si>
  <si>
    <t>Payment Fail</t>
  </si>
  <si>
    <t>Laporan Periode Juni 1, 2026 - Juni 30, 2026</t>
  </si>
  <si>
    <t>No</t>
  </si>
  <si>
    <t>Booking Oleh</t>
  </si>
  <si>
    <t>Tanggal dan 
Waktu Booking</t>
  </si>
  <si>
    <t>Reschedule Oleh</t>
  </si>
  <si>
    <t>Tanggal dan 
Waktu Reschedule</t>
  </si>
  <si>
    <t>Dibatalkan Oleh</t>
  </si>
  <si>
    <t>Tanggal dan Waktu 
Pembatalan</t>
  </si>
  <si>
    <t>Alasan Pembatalan</t>
  </si>
  <si>
    <t>BAYAR LUNAS</t>
  </si>
  <si>
    <t>dandy wibowo</t>
  </si>
  <si>
    <t>dandywibowoo2111@gmail.com</t>
  </si>
  <si>
    <t xml:space="preserve"> 6282315154775</t>
  </si>
  <si>
    <t>dandy.wibowo</t>
  </si>
  <si>
    <t>junny lie</t>
  </si>
  <si>
    <t>junnylie@gmail.com</t>
  </si>
  <si>
    <t xml:space="preserve"> 6281270272668</t>
  </si>
  <si>
    <t>junny.lie</t>
  </si>
  <si>
    <t>Ria Loh</t>
  </si>
  <si>
    <t>ms.rialoh@gmail.com</t>
  </si>
  <si>
    <t xml:space="preserve"> 628117775958</t>
  </si>
  <si>
    <t>rl.5958</t>
  </si>
  <si>
    <t>Alvin leonardo</t>
  </si>
  <si>
    <t>alvinleonardo1111@gmail.com</t>
  </si>
  <si>
    <t xml:space="preserve"> 6281928426006</t>
  </si>
  <si>
    <t>Wedopadel</t>
  </si>
  <si>
    <t>Na Young</t>
  </si>
  <si>
    <t>susisusanti1197@gmail.com</t>
  </si>
  <si>
    <t xml:space="preserve"> 6282283570430</t>
  </si>
  <si>
    <t>sushii.shu</t>
  </si>
  <si>
    <t>Rezty</t>
  </si>
  <si>
    <t>rezty.adli@hotmail.com</t>
  </si>
  <si>
    <t xml:space="preserve"> 6281268159349</t>
  </si>
  <si>
    <t>rezty.2</t>
  </si>
  <si>
    <t>BK/2428/260606/0003823</t>
  </si>
  <si>
    <t>AYOIN2606060007610</t>
  </si>
  <si>
    <t>2026-06-08 08:30:43</t>
  </si>
  <si>
    <t>2026-06-06 17:37:15</t>
  </si>
  <si>
    <t>BK/2428/260602/0003646</t>
  </si>
  <si>
    <t>shirley djapri</t>
  </si>
  <si>
    <t>shirleyleeqianhui@hotmail.com</t>
  </si>
  <si>
    <t xml:space="preserve"> 628117001277</t>
  </si>
  <si>
    <t>shirley.djapri</t>
  </si>
  <si>
    <t>AYOIN2606020000708</t>
  </si>
  <si>
    <t>2026-06-08 09:30:30</t>
  </si>
  <si>
    <t>2026-06-02 07:48:12</t>
  </si>
  <si>
    <t>BK/2428/260602/0003647</t>
  </si>
  <si>
    <t>2026-06-08 09:30:31</t>
  </si>
  <si>
    <t>BK/2428/260606/0003824</t>
  </si>
  <si>
    <t>2026-06-08 09:31:42</t>
  </si>
  <si>
    <t>BK/2428/260607/0003857</t>
  </si>
  <si>
    <t>yunnika</t>
  </si>
  <si>
    <t>maxboygoku@gmail.com</t>
  </si>
  <si>
    <t xml:space="preserve"> 628113920088</t>
  </si>
  <si>
    <t>AYOIN2606070008280</t>
  </si>
  <si>
    <t>2026-06-08 09:32:35</t>
  </si>
  <si>
    <t>2026-06-07 20:22:17</t>
  </si>
  <si>
    <t>BK/2428/260531/0003587</t>
  </si>
  <si>
    <t>Joice</t>
  </si>
  <si>
    <t>joice_you06@hotmail.com</t>
  </si>
  <si>
    <t xml:space="preserve"> 6282391049012</t>
  </si>
  <si>
    <t>joice.6</t>
  </si>
  <si>
    <t>AYOIN2605310004842</t>
  </si>
  <si>
    <t>2026-06-08 10:30:46</t>
  </si>
  <si>
    <t>2026-05-31 13:59:45</t>
  </si>
  <si>
    <t>BK/2428/260602/0003648</t>
  </si>
  <si>
    <t>2026-06-08 10:31:03</t>
  </si>
  <si>
    <t>BK/2428/260602/0003649</t>
  </si>
  <si>
    <t>2026-06-08 10:31:04</t>
  </si>
  <si>
    <t>BK/2428/260607/0003850</t>
  </si>
  <si>
    <t>Vivia elamaya sari</t>
  </si>
  <si>
    <t>vivia.elamaya.sari@gmail.com</t>
  </si>
  <si>
    <t xml:space="preserve"> 6281364083180</t>
  </si>
  <si>
    <t>vivia.elamaya.sari</t>
  </si>
  <si>
    <t>AYOIN2606070006240</t>
  </si>
  <si>
    <t>2026-06-08 11:32:30</t>
  </si>
  <si>
    <t>2026-06-07 16:55:36</t>
  </si>
  <si>
    <t>BK/2428/260604/0003761</t>
  </si>
  <si>
    <t>AYOIN2606040005198</t>
  </si>
  <si>
    <t>2026-06-08 13:30:29</t>
  </si>
  <si>
    <t>2026-06-04 14:21:33</t>
  </si>
  <si>
    <t>BK/2428/260605/0003788</t>
  </si>
  <si>
    <t>AYOIN2606050005875</t>
  </si>
  <si>
    <t>2026-06-08 13:30:33</t>
  </si>
  <si>
    <t>2026-06-05 14:55:11</t>
  </si>
  <si>
    <t>BK/2428/260603/0003738</t>
  </si>
  <si>
    <t>AYOIN2606030010028</t>
  </si>
  <si>
    <t>2026-06-08 14:30:21</t>
  </si>
  <si>
    <t>2026-06-03 21:12:34</t>
  </si>
  <si>
    <t>BK/2428/260605/0003791</t>
  </si>
  <si>
    <t>Sella Rizty</t>
  </si>
  <si>
    <t>sellarizty99@gmail.com</t>
  </si>
  <si>
    <t xml:space="preserve"> 6281261021173</t>
  </si>
  <si>
    <t>sella.rizty</t>
  </si>
  <si>
    <t>AYOIN2606050007061</t>
  </si>
  <si>
    <t>2026-06-08 14:30:32</t>
  </si>
  <si>
    <t>2026-06-05 16:25:51</t>
  </si>
  <si>
    <t>BK/2428/260603/0003739</t>
  </si>
  <si>
    <t>2026-06-08 15:30:26</t>
  </si>
  <si>
    <t>BK/2428/260605/0003792</t>
  </si>
  <si>
    <t>2026-06-08 15:30:37</t>
  </si>
  <si>
    <t>BK/2428/260608/0003889</t>
  </si>
  <si>
    <t>Hianwi fardiman</t>
  </si>
  <si>
    <t>hianwi21@gmail.com</t>
  </si>
  <si>
    <t xml:space="preserve"> 6281277656296</t>
  </si>
  <si>
    <t>hianwi.fardiman</t>
  </si>
  <si>
    <t>AYOIN2606080003167</t>
  </si>
  <si>
    <t>2026-06-08 15:31:49</t>
  </si>
  <si>
    <t>2026-06-08 11:50:17</t>
  </si>
  <si>
    <t>BK/2428/260608/0003872</t>
  </si>
  <si>
    <t>yana kurniawan</t>
  </si>
  <si>
    <t>yanakurniawan903@gmail.com</t>
  </si>
  <si>
    <t xml:space="preserve"> 6281369981995</t>
  </si>
  <si>
    <t>yana.kurniawan</t>
  </si>
  <si>
    <t>AYOIN2606080000131</t>
  </si>
  <si>
    <t>2026-06-08 15:31:22</t>
  </si>
  <si>
    <t>2026-06-08 00:48:40</t>
  </si>
  <si>
    <t>BK/2428/260608/0003873</t>
  </si>
  <si>
    <t>2026-06-08 16:31:48</t>
  </si>
  <si>
    <t>BK/2428/260608/0003891</t>
  </si>
  <si>
    <t>Susanti Ariyantika</t>
  </si>
  <si>
    <t>ariyantikasusanti@gmail.com</t>
  </si>
  <si>
    <t xml:space="preserve"> 62895385167737</t>
  </si>
  <si>
    <t>susanti.ariyantika</t>
  </si>
  <si>
    <t>AYOIN2606080003335</t>
  </si>
  <si>
    <t>2026-06-08 16:32:21</t>
  </si>
  <si>
    <t>2026-06-08 12:03:42</t>
  </si>
  <si>
    <t>BK/2428/260608/0003897</t>
  </si>
  <si>
    <t>AYOIN2606080004714</t>
  </si>
  <si>
    <t>2026-06-08 16:32:39</t>
  </si>
  <si>
    <t>2026-06-08 13:43:45</t>
  </si>
  <si>
    <t>BK/2428/260607/0003858</t>
  </si>
  <si>
    <t>daniel ong</t>
  </si>
  <si>
    <t>6b5rfyfzxj@privaterelay.appleid.com</t>
  </si>
  <si>
    <t xml:space="preserve"> 6285763188808</t>
  </si>
  <si>
    <t>daniel.ong.24</t>
  </si>
  <si>
    <t>AYOIN2606070008725</t>
  </si>
  <si>
    <t>2026-06-08 17:32:11</t>
  </si>
  <si>
    <t>2026-06-07 21:11:45</t>
  </si>
  <si>
    <t>BK/2428/260607/0003854</t>
  </si>
  <si>
    <t>jordan</t>
  </si>
  <si>
    <t>jordanchristian.jcs2010@gmail.com</t>
  </si>
  <si>
    <t xml:space="preserve"> 62819617070</t>
  </si>
  <si>
    <t>jordan.41</t>
  </si>
  <si>
    <t>AYOIN2606070007098</t>
  </si>
  <si>
    <t>2026-06-08 17:31:56</t>
  </si>
  <si>
    <t>2026-06-07 18:20:24</t>
  </si>
  <si>
    <t>BK/2428/260607/0003855</t>
  </si>
  <si>
    <t>2026-06-08 18:32:22</t>
  </si>
  <si>
    <t>BK/2428/260607/0003837</t>
  </si>
  <si>
    <t>AYOIN2606070003049</t>
  </si>
  <si>
    <t>2026-06-08 18:32:04</t>
  </si>
  <si>
    <t>2026-06-07 11:52:38</t>
  </si>
  <si>
    <t>BK/2428/260608/0003901</t>
  </si>
  <si>
    <t>AYOIN2606080005912</t>
  </si>
  <si>
    <t>2026-06-08 19:35:02</t>
  </si>
  <si>
    <t>2026-06-08 15:12:33</t>
  </si>
  <si>
    <t>BK/2428/260607/0003839</t>
  </si>
  <si>
    <t>AYOIN2606070003085</t>
  </si>
  <si>
    <t>2026-06-08 19:33:01</t>
  </si>
  <si>
    <t>2026-06-07 12:01:42</t>
  </si>
  <si>
    <t>OMSET SEWA LAPANGAN (ALL)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</si>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</sst>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8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</cellStyleXfs>
  <cellXfs count="116"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 applyAlignment="1">
      <alignment horizontal="center"/>
    </xf>
    <xf numFmtId="41" fontId="0" fillId="0" borderId="0" xfId="1" applyFont="1"/>
    <xf numFmtId="0" fontId="2" fillId="0" borderId="1" xfId="2" applyFont="1" applyBorder="1" applyAlignment="1">
      <alignment horizontal="center" vertical="center" wrapText="1"/>
    </xf>
    <xf numFmtId="41" fontId="2" fillId="0" borderId="2" xfId="1" applyFont="1" applyBorder="1" applyAlignment="1">
      <alignment horizontal="center" vertical="center"/>
    </xf>
    <xf numFmtId="41" fontId="2" fillId="0" borderId="3" xfId="1" applyFont="1" applyBorder="1" applyAlignment="1">
      <alignment horizontal="center" vertical="center"/>
    </xf>
    <xf numFmtId="41" fontId="2" fillId="0" borderId="4" xfId="1" applyFont="1" applyBorder="1" applyAlignment="1">
      <alignment horizontal="center" vertical="center"/>
    </xf>
    <xf numFmtId="41" fontId="2" fillId="0" borderId="5" xfId="1" applyFont="1" applyBorder="1" applyAlignment="1">
      <alignment horizontal="center" vertical="center"/>
    </xf>
    <xf numFmtId="41" fontId="2" fillId="0" borderId="6" xfId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7" xfId="1" applyFont="1" applyBorder="1" applyAlignment="1">
      <alignment horizontal="center" vertical="center"/>
    </xf>
    <xf numFmtId="41" fontId="2" fillId="0" borderId="7" xfId="1" applyFont="1" applyFill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41" fontId="2" fillId="0" borderId="2" xfId="1" applyFont="1" applyBorder="1" applyAlignment="1">
      <alignment horizontal="center" vertical="center"/>
    </xf>
    <xf numFmtId="41" fontId="2" fillId="0" borderId="3" xfId="1" applyFont="1" applyBorder="1" applyAlignment="1">
      <alignment horizontal="center" vertical="center"/>
    </xf>
    <xf numFmtId="41" fontId="2" fillId="0" borderId="4" xfId="1" applyFont="1" applyBorder="1" applyAlignment="1">
      <alignment horizontal="center" vertical="center"/>
    </xf>
    <xf numFmtId="41" fontId="2" fillId="0" borderId="9" xfId="1" applyFont="1" applyFill="1" applyBorder="1" applyAlignment="1">
      <alignment horizontal="center" vertical="center"/>
    </xf>
    <xf numFmtId="15" fontId="1" fillId="0" borderId="10" xfId="2" applyNumberFormat="1" applyFont="1" applyBorder="1" applyAlignment="1">
      <alignment horizontal="center"/>
    </xf>
    <xf numFmtId="41" fontId="0" fillId="0" borderId="11" xfId="1" applyFont="1" applyFill="1" applyBorder="1"/>
    <xf numFmtId="41" fontId="0" fillId="0" borderId="0" xfId="1" applyFont="1" applyFill="1" applyBorder="1"/>
    <xf numFmtId="41" fontId="0" fillId="0" borderId="0" xfId="1" applyFont="1" applyFill="1"/>
    <xf numFmtId="41" fontId="0" fillId="0" borderId="11" xfId="1" applyFont="1" applyBorder="1"/>
    <xf numFmtId="41" fontId="0" fillId="0" borderId="0" xfId="1" applyFont="1" applyBorder="1"/>
    <xf numFmtId="41" fontId="0" fillId="0" borderId="10" xfId="1" applyFont="1" applyFill="1" applyBorder="1"/>
    <xf numFmtId="15" fontId="1" fillId="0" borderId="12" xfId="2" applyNumberFormat="1" applyFont="1" applyBorder="1" applyAlignment="1">
      <alignment horizontal="center"/>
    </xf>
    <xf numFmtId="41" fontId="0" fillId="0" borderId="12" xfId="1" applyFont="1" applyFill="1" applyBorder="1"/>
    <xf numFmtId="0" fontId="2" fillId="0" borderId="13" xfId="2" applyFont="1" applyBorder="1" applyAlignment="1">
      <alignment horizontal="center"/>
    </xf>
    <xf numFmtId="41" fontId="0" fillId="0" borderId="2" xfId="1" applyFont="1" applyBorder="1"/>
    <xf numFmtId="41" fontId="0" fillId="0" borderId="4" xfId="1" applyFont="1" applyBorder="1"/>
    <xf numFmtId="41" fontId="2" fillId="0" borderId="13" xfId="1" applyFont="1" applyBorder="1"/>
    <xf numFmtId="0" fontId="2" fillId="0" borderId="0" xfId="2" applyFont="1" applyBorder="1" applyAlignment="1">
      <alignment horizontal="center"/>
    </xf>
    <xf numFmtId="41" fontId="2" fillId="0" borderId="0" xfId="1" applyFont="1" applyBorder="1"/>
    <xf numFmtId="0" fontId="1" fillId="0" borderId="0" xfId="2" applyAlignment="1">
      <alignment horizontal="center"/>
    </xf>
    <xf numFmtId="41" fontId="3" fillId="0" borderId="0" xfId="1" applyFont="1"/>
    <xf numFmtId="41" fontId="2" fillId="0" borderId="2" xfId="1" applyFont="1" applyBorder="1" applyAlignment="1">
      <alignment horizontal="center"/>
    </xf>
    <xf numFmtId="41" fontId="2" fillId="0" borderId="13" xfId="1" applyFont="1" applyBorder="1" applyAlignment="1">
      <alignment horizontal="center"/>
    </xf>
    <xf numFmtId="41" fontId="2" fillId="0" borderId="0" xfId="1" applyFont="1" applyBorder="1" applyAlignment="1">
      <alignment horizontal="center"/>
    </xf>
    <xf numFmtId="41" fontId="2" fillId="0" borderId="0" xfId="1" applyFont="1" applyAlignment="1">
      <alignment horizontal="center"/>
    </xf>
    <xf numFmtId="41" fontId="2" fillId="0" borderId="0" xfId="1" applyFont="1" applyAlignment="1">
      <alignment horizontal="left" vertical="center"/>
    </xf>
    <xf numFmtId="41" fontId="2" fillId="0" borderId="14" xfId="1" applyFont="1" applyBorder="1" applyAlignment="1">
      <alignment horizontal="center"/>
    </xf>
    <xf numFmtId="41" fontId="2" fillId="0" borderId="10" xfId="1" applyFont="1" applyBorder="1" applyAlignment="1">
      <alignment horizontal="center"/>
    </xf>
    <xf numFmtId="41" fontId="2" fillId="0" borderId="12" xfId="1" applyFont="1" applyBorder="1"/>
    <xf numFmtId="41" fontId="4" fillId="0" borderId="12" xfId="1" applyFont="1" applyBorder="1" applyAlignment="1">
      <alignment horizontal="center" vertical="center"/>
    </xf>
    <xf numFmtId="41" fontId="5" fillId="0" borderId="0" xfId="1" applyFont="1"/>
    <xf numFmtId="41" fontId="2" fillId="0" borderId="12" xfId="1" applyFont="1" applyBorder="1" applyAlignment="1">
      <alignment horizontal="center"/>
    </xf>
    <xf numFmtId="41" fontId="2" fillId="0" borderId="15" xfId="1" applyFont="1" applyBorder="1"/>
    <xf numFmtId="41" fontId="4" fillId="0" borderId="15" xfId="1" applyFont="1" applyBorder="1" applyAlignment="1">
      <alignment horizontal="center" vertical="center"/>
    </xf>
    <xf numFmtId="41" fontId="2" fillId="0" borderId="10" xfId="1" applyFont="1" applyBorder="1"/>
    <xf numFmtId="41" fontId="2" fillId="0" borderId="11" xfId="1" applyFont="1" applyBorder="1"/>
    <xf numFmtId="43" fontId="2" fillId="0" borderId="16" xfId="1" applyNumberFormat="1" applyFont="1" applyBorder="1"/>
    <xf numFmtId="43" fontId="2" fillId="0" borderId="15" xfId="1" applyNumberFormat="1" applyFont="1" applyBorder="1"/>
    <xf numFmtId="0" fontId="2" fillId="0" borderId="0" xfId="0" applyFont="1"/>
    <xf numFmtId="0" fontId="0" fillId="0" borderId="0" xfId="0" applyFill="1"/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41" fontId="2" fillId="0" borderId="17" xfId="1" applyFont="1" applyBorder="1" applyAlignment="1">
      <alignment vertical="center"/>
    </xf>
    <xf numFmtId="41" fontId="2" fillId="0" borderId="17" xfId="1" applyFont="1" applyFill="1" applyBorder="1" applyAlignment="1">
      <alignment horizontal="center" vertical="center" wrapText="1"/>
    </xf>
    <xf numFmtId="41" fontId="2" fillId="0" borderId="17" xfId="1" applyFont="1" applyBorder="1" applyAlignment="1">
      <alignment horizontal="center" vertical="top" wrapText="1"/>
    </xf>
    <xf numFmtId="41" fontId="2" fillId="0" borderId="17" xfId="1" applyFont="1" applyBorder="1" applyAlignment="1">
      <alignment horizontal="center" vertical="center" wrapText="1"/>
    </xf>
    <xf numFmtId="41" fontId="2" fillId="3" borderId="17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1" fontId="1" fillId="0" borderId="17" xfId="1" applyBorder="1"/>
    <xf numFmtId="0" fontId="1" fillId="0" borderId="0" xfId="2"/>
    <xf numFmtId="41" fontId="2" fillId="4" borderId="0" xfId="0" applyNumberFormat="1" applyFont="1" applyFill="1"/>
    <xf numFmtId="0" fontId="2" fillId="0" borderId="0" xfId="2" applyFont="1"/>
    <xf numFmtId="0" fontId="1" fillId="0" borderId="0" xfId="2" applyFill="1"/>
    <xf numFmtId="0" fontId="6" fillId="3" borderId="0" xfId="2" applyFont="1" applyFill="1" applyAlignment="1">
      <alignment horizontal="center"/>
    </xf>
    <xf numFmtId="0" fontId="7" fillId="5" borderId="0" xfId="2" applyFont="1" applyFill="1"/>
    <xf numFmtId="0" fontId="1" fillId="0" borderId="0" xfId="2"/>
    <xf numFmtId="0" fontId="1" fillId="0" borderId="0" xfId="2" applyAlignment="1">
      <alignment vertical="center"/>
    </xf>
    <xf numFmtId="0" fontId="2" fillId="0" borderId="17" xfId="2" applyFont="1" applyFill="1" applyBorder="1" applyAlignment="1">
      <alignment vertical="center"/>
    </xf>
    <xf numFmtId="0" fontId="2" fillId="0" borderId="17" xfId="2" applyFont="1" applyBorder="1" applyAlignment="1">
      <alignment vertical="center"/>
    </xf>
    <xf numFmtId="0" fontId="2" fillId="0" borderId="17" xfId="2" applyFont="1" applyBorder="1" applyAlignment="1">
      <alignment horizontal="center" wrapText="1"/>
    </xf>
    <xf numFmtId="0" fontId="2" fillId="0" borderId="17" xfId="2" applyFont="1" applyBorder="1" applyAlignment="1">
      <alignment horizontal="center" vertical="center" wrapText="1"/>
    </xf>
    <xf numFmtId="0" fontId="2" fillId="0" borderId="17" xfId="2" applyFont="1" applyFill="1" applyBorder="1" applyAlignment="1">
      <alignment horizontal="center" vertical="center" wrapText="1"/>
    </xf>
    <xf numFmtId="0" fontId="2" fillId="0" borderId="17" xfId="2" applyFont="1" applyBorder="1" applyAlignment="1">
      <alignment horizontal="center" vertical="center"/>
    </xf>
    <xf numFmtId="41" fontId="1" fillId="6" borderId="17" xfId="1" applyFill="1" applyBorder="1"/>
    <xf numFmtId="41" fontId="2" fillId="4" borderId="18" xfId="1" applyFont="1" applyFill="1" applyBorder="1"/>
    <xf numFmtId="0" fontId="1" fillId="0" borderId="0" xfId="3"/>
    <xf numFmtId="0" fontId="1" fillId="0" borderId="0" xfId="3" applyAlignment="1">
      <alignment horizontal="left"/>
    </xf>
    <xf numFmtId="41" fontId="1" fillId="0" borderId="0" xfId="1"/>
    <xf numFmtId="0" fontId="2" fillId="0" borderId="0" xfId="3" applyFont="1"/>
    <xf numFmtId="0" fontId="2" fillId="0" borderId="19" xfId="3" applyFont="1" applyBorder="1" applyAlignment="1">
      <alignment vertical="center"/>
    </xf>
    <xf numFmtId="0" fontId="2" fillId="0" borderId="19" xfId="3" applyFont="1" applyBorder="1" applyAlignment="1">
      <alignment horizontal="center" wrapText="1"/>
    </xf>
    <xf numFmtId="0" fontId="2" fillId="0" borderId="19" xfId="3" applyFont="1" applyBorder="1" applyAlignment="1">
      <alignment horizontal="center" vertical="center" wrapText="1"/>
    </xf>
    <xf numFmtId="0" fontId="2" fillId="0" borderId="19" xfId="3" applyFont="1" applyBorder="1" applyAlignment="1">
      <alignment horizontal="left" vertical="center" wrapText="1"/>
    </xf>
    <xf numFmtId="41" fontId="2" fillId="0" borderId="19" xfId="1" applyFont="1" applyBorder="1" applyAlignment="1">
      <alignment vertical="center"/>
    </xf>
    <xf numFmtId="41" fontId="2" fillId="0" borderId="19" xfId="1" applyFont="1" applyBorder="1" applyAlignment="1">
      <alignment horizontal="center" vertical="center" wrapText="1"/>
    </xf>
    <xf numFmtId="41" fontId="2" fillId="0" borderId="19" xfId="1" applyFont="1" applyBorder="1" applyAlignment="1">
      <alignment horizontal="center" vertical="top" wrapText="1"/>
    </xf>
    <xf numFmtId="41" fontId="2" fillId="3" borderId="19" xfId="1" applyFont="1" applyFill="1" applyBorder="1" applyAlignment="1">
      <alignment horizontal="center" vertical="center" wrapText="1"/>
    </xf>
    <xf numFmtId="0" fontId="2" fillId="0" borderId="20" xfId="3" applyFont="1" applyBorder="1" applyAlignment="1">
      <alignment horizontal="center" vertical="center" wrapText="1"/>
    </xf>
    <xf numFmtId="0" fontId="2" fillId="0" borderId="10" xfId="3" applyFont="1" applyBorder="1" applyAlignment="1">
      <alignment vertical="center"/>
    </xf>
    <xf numFmtId="0" fontId="1" fillId="0" borderId="0" xfId="3" applyAlignment="1">
      <alignment vertical="center"/>
    </xf>
    <xf numFmtId="41" fontId="2" fillId="0" borderId="10" xfId="1" applyFont="1" applyBorder="1" applyAlignment="1">
      <alignment horizontal="center" vertical="center"/>
    </xf>
    <xf numFmtId="41" fontId="1" fillId="0" borderId="21" xfId="1" applyBorder="1"/>
    <xf numFmtId="41" fontId="1" fillId="0" borderId="22" xfId="1" applyBorder="1"/>
    <xf numFmtId="41" fontId="1" fillId="0" borderId="23" xfId="1" applyBorder="1"/>
    <xf numFmtId="41" fontId="2" fillId="0" borderId="12" xfId="1" applyFont="1" applyBorder="1" applyAlignment="1">
      <alignment horizontal="center" vertical="center"/>
    </xf>
    <xf numFmtId="41" fontId="1" fillId="0" borderId="24" xfId="1" applyBorder="1"/>
    <xf numFmtId="41" fontId="1" fillId="0" borderId="25" xfId="1" applyBorder="1"/>
    <xf numFmtId="0" fontId="1" fillId="0" borderId="0" xfId="3" applyBorder="1"/>
    <xf numFmtId="41" fontId="1" fillId="0" borderId="0" xfId="1" applyBorder="1"/>
    <xf numFmtId="41" fontId="1" fillId="4" borderId="0" xfId="1" applyFill="1" applyBorder="1"/>
    <xf numFmtId="0" fontId="1" fillId="0" borderId="26" xfId="3" applyBorder="1"/>
    <xf numFmtId="0" fontId="1" fillId="0" borderId="0" xfId="3" applyBorder="1" applyAlignment="1">
      <alignment horizontal="left"/>
    </xf>
    <xf numFmtId="41" fontId="2" fillId="0" borderId="15" xfId="1" applyFont="1" applyBorder="1" applyAlignment="1">
      <alignment horizontal="center" vertical="center"/>
    </xf>
    <xf numFmtId="0" fontId="2" fillId="0" borderId="2" xfId="3" applyFont="1" applyBorder="1" applyAlignment="1">
      <alignment horizontal="center"/>
    </xf>
    <xf numFmtId="0" fontId="2" fillId="0" borderId="4" xfId="3" applyFont="1" applyBorder="1" applyAlignment="1">
      <alignment horizontal="center"/>
    </xf>
    <xf numFmtId="0" fontId="2" fillId="0" borderId="3" xfId="3" applyFont="1" applyBorder="1" applyAlignment="1">
      <alignment horizontal="center"/>
    </xf>
    <xf numFmtId="41" fontId="2" fillId="7" borderId="16" xfId="1" applyFont="1" applyFill="1" applyBorder="1"/>
    <xf numFmtId="0" fontId="1" fillId="0" borderId="16" xfId="3" applyBorder="1"/>
    <xf numFmtId="0" fontId="1" fillId="0" borderId="9" xfId="3" applyBorder="1"/>
  </cellXfs>
  <cellStyles count="4">
    <cellStyle name="Comma [0]" xfId="1" builtinId="6"/>
    <cellStyle name="Normal" xfId="0" builtinId="0"/>
    <cellStyle name="Normal 2" xfId="2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mset%20Lapanga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Feb'26"/>
      <sheetName val="Statistik Feb'26"/>
      <sheetName val="Walk In Feb'26"/>
      <sheetName val="AYO-FEB'26"/>
      <sheetName val="ALL-FEB'26"/>
      <sheetName val="Statistik Maret'26"/>
      <sheetName val="Summary Maret'26"/>
      <sheetName val="Walk In Maret'26"/>
      <sheetName val="AYO-MARET'26"/>
      <sheetName val="ALL-MARET'26"/>
      <sheetName val="Statistik April'26"/>
      <sheetName val="Summary April'26"/>
      <sheetName val="Walk In April'26"/>
      <sheetName val="AYO-April'26 "/>
      <sheetName val="ALL-April'26 "/>
      <sheetName val="Summary Mei'26"/>
      <sheetName val="Walk In Mei'26"/>
      <sheetName val="AYO-Mei'26"/>
      <sheetName val="ALL-Mei'26"/>
      <sheetName val="Summary Juni'26"/>
      <sheetName val="Walk In Juni"/>
      <sheetName val="AYO-Juni"/>
      <sheetName val="ALL-Jun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 t="str">
            <v>Laporan Periode Mei 1, 2026 - Mei 31, 2026</v>
          </cell>
        </row>
      </sheetData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N42"/>
  <sheetViews>
    <sheetView workbookViewId="0">
      <pane xSplit="1" ySplit="5" topLeftCell="B6" activePane="bottomRight" state="frozen"/>
      <selection activeCell="A679" sqref="A679:A738"/>
      <selection pane="topRight" activeCell="A679" sqref="A679:A738"/>
      <selection pane="bottomLeft" activeCell="A679" sqref="A679:A738"/>
      <selection pane="bottomRight" activeCell="J9" sqref="J9:J12"/>
    </sheetView>
  </sheetViews>
  <sheetFormatPr defaultRowHeight="14.5" x14ac:dyDescent="0.35"/>
  <cols>
    <col min="1" max="1" width="9.54296875" bestFit="1" customWidth="1"/>
    <col min="2" max="7" width="11" bestFit="1" customWidth="1"/>
    <col min="8" max="8" width="12.7265625" bestFit="1" customWidth="1"/>
    <col min="9" max="9" width="11.1796875" bestFit="1" customWidth="1"/>
    <col min="10" max="10" width="12.1796875" bestFit="1" customWidth="1"/>
    <col min="11" max="11" width="19.36328125" bestFit="1" customWidth="1"/>
    <col min="12" max="12" width="12.1796875" bestFit="1" customWidth="1"/>
    <col min="13" max="13" width="13.08984375" bestFit="1" customWidth="1"/>
  </cols>
  <sheetData>
    <row r="1" spans="1:14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thickBot="1" x14ac:dyDescent="0.4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N3" s="4"/>
    </row>
    <row r="4" spans="1:14" ht="15" thickBot="1" x14ac:dyDescent="0.4">
      <c r="A4" s="5" t="s">
        <v>2</v>
      </c>
      <c r="B4" s="6" t="s">
        <v>3</v>
      </c>
      <c r="C4" s="7"/>
      <c r="D4" s="8" t="s">
        <v>4</v>
      </c>
      <c r="E4" s="9"/>
      <c r="F4" s="10" t="s">
        <v>5</v>
      </c>
      <c r="G4" s="9"/>
      <c r="H4" s="10" t="s">
        <v>6</v>
      </c>
      <c r="I4" s="8"/>
      <c r="J4" s="11" t="s">
        <v>7</v>
      </c>
      <c r="K4" s="12"/>
      <c r="L4" s="13" t="s">
        <v>8</v>
      </c>
      <c r="N4" s="4"/>
    </row>
    <row r="5" spans="1:14" ht="15" thickBot="1" x14ac:dyDescent="0.4">
      <c r="A5" s="14"/>
      <c r="B5" s="15" t="s">
        <v>9</v>
      </c>
      <c r="C5" s="16" t="s">
        <v>10</v>
      </c>
      <c r="D5" s="15" t="s">
        <v>9</v>
      </c>
      <c r="E5" s="16" t="s">
        <v>10</v>
      </c>
      <c r="F5" s="15" t="s">
        <v>9</v>
      </c>
      <c r="G5" s="16" t="s">
        <v>10</v>
      </c>
      <c r="H5" s="15" t="s">
        <v>9</v>
      </c>
      <c r="I5" s="17" t="s">
        <v>10</v>
      </c>
      <c r="J5" s="15" t="s">
        <v>9</v>
      </c>
      <c r="K5" s="16" t="s">
        <v>10</v>
      </c>
      <c r="L5" s="18"/>
      <c r="N5" s="4"/>
    </row>
    <row r="6" spans="1:14" x14ac:dyDescent="0.35">
      <c r="A6" s="19">
        <v>46174</v>
      </c>
      <c r="B6" s="20">
        <v>300000</v>
      </c>
      <c r="C6" s="20">
        <v>5065000</v>
      </c>
      <c r="D6" s="20">
        <v>300000</v>
      </c>
      <c r="E6" s="21">
        <v>590000</v>
      </c>
      <c r="F6" s="22">
        <v>150000</v>
      </c>
      <c r="G6" s="22">
        <v>740000</v>
      </c>
      <c r="H6" s="20">
        <v>925000</v>
      </c>
      <c r="I6" s="23">
        <v>440000</v>
      </c>
      <c r="J6" s="24">
        <v>700000</v>
      </c>
      <c r="K6" s="24">
        <v>380000</v>
      </c>
      <c r="L6" s="25">
        <f>SUM(B6:K6)</f>
        <v>9590000</v>
      </c>
      <c r="N6" s="4"/>
    </row>
    <row r="7" spans="1:14" x14ac:dyDescent="0.35">
      <c r="A7" s="26">
        <f>A6+1</f>
        <v>46175</v>
      </c>
      <c r="B7" s="21">
        <v>767500</v>
      </c>
      <c r="C7" s="21">
        <v>1135000</v>
      </c>
      <c r="D7" s="21">
        <v>1325000</v>
      </c>
      <c r="E7" s="22">
        <v>835000</v>
      </c>
      <c r="F7" s="21">
        <v>1700000</v>
      </c>
      <c r="G7" s="21">
        <v>550000</v>
      </c>
      <c r="H7" s="21">
        <v>1145000</v>
      </c>
      <c r="I7" s="24">
        <v>425000</v>
      </c>
      <c r="J7" s="24">
        <v>600000</v>
      </c>
      <c r="K7" s="24"/>
      <c r="L7" s="27">
        <f>SUM(B7:K7)</f>
        <v>8482500</v>
      </c>
      <c r="N7" s="4"/>
    </row>
    <row r="8" spans="1:14" x14ac:dyDescent="0.35">
      <c r="A8" s="26">
        <f t="shared" ref="A8:A35" si="0">A7+1</f>
        <v>46176</v>
      </c>
      <c r="B8" s="21">
        <v>950000</v>
      </c>
      <c r="C8" s="21">
        <v>975000</v>
      </c>
      <c r="D8" s="21">
        <v>1225000</v>
      </c>
      <c r="E8" s="21">
        <v>850000</v>
      </c>
      <c r="F8" s="21">
        <v>1150000</v>
      </c>
      <c r="G8" s="21">
        <v>625000</v>
      </c>
      <c r="H8" s="21">
        <v>1200000</v>
      </c>
      <c r="I8" s="24">
        <v>900000</v>
      </c>
      <c r="J8" s="24">
        <v>600000</v>
      </c>
      <c r="K8" s="24"/>
      <c r="L8" s="27">
        <f t="shared" ref="L8:L35" si="1">SUM(B8:K8)</f>
        <v>8475000</v>
      </c>
      <c r="N8" s="4"/>
    </row>
    <row r="9" spans="1:14" x14ac:dyDescent="0.35">
      <c r="A9" s="26">
        <f t="shared" si="0"/>
        <v>46177</v>
      </c>
      <c r="B9" s="21">
        <v>1000000</v>
      </c>
      <c r="C9" s="21">
        <v>795000</v>
      </c>
      <c r="D9" s="21">
        <v>1100000</v>
      </c>
      <c r="E9" s="21">
        <v>835000</v>
      </c>
      <c r="F9" s="22">
        <v>900000</v>
      </c>
      <c r="G9" s="21">
        <v>890000</v>
      </c>
      <c r="H9" s="21">
        <v>1150000</v>
      </c>
      <c r="I9" s="24">
        <v>275000</v>
      </c>
      <c r="J9" s="24">
        <v>100000</v>
      </c>
      <c r="K9" s="24"/>
      <c r="L9" s="27">
        <f t="shared" si="1"/>
        <v>7045000</v>
      </c>
      <c r="N9" s="4"/>
    </row>
    <row r="10" spans="1:14" x14ac:dyDescent="0.35">
      <c r="A10" s="26">
        <f t="shared" si="0"/>
        <v>46178</v>
      </c>
      <c r="B10" s="21">
        <v>1200000</v>
      </c>
      <c r="C10" s="21">
        <v>840000</v>
      </c>
      <c r="D10" s="21">
        <v>900000</v>
      </c>
      <c r="E10" s="21">
        <v>840000</v>
      </c>
      <c r="F10" s="21">
        <v>1025000</v>
      </c>
      <c r="G10" s="21">
        <v>475000</v>
      </c>
      <c r="H10" s="21">
        <v>1050000</v>
      </c>
      <c r="I10" s="24">
        <v>350000</v>
      </c>
      <c r="J10" s="24">
        <v>740000</v>
      </c>
      <c r="K10" s="24"/>
      <c r="L10" s="27">
        <f t="shared" si="1"/>
        <v>7420000</v>
      </c>
      <c r="N10" s="4"/>
    </row>
    <row r="11" spans="1:14" x14ac:dyDescent="0.35">
      <c r="A11" s="26">
        <f t="shared" si="0"/>
        <v>46179</v>
      </c>
      <c r="B11" s="21">
        <v>945000</v>
      </c>
      <c r="C11" s="21">
        <v>950000</v>
      </c>
      <c r="D11" s="21">
        <v>1395000</v>
      </c>
      <c r="E11" s="21">
        <v>950000</v>
      </c>
      <c r="F11" s="21">
        <v>2045000</v>
      </c>
      <c r="G11" s="21">
        <v>300000</v>
      </c>
      <c r="H11" s="21">
        <v>1295000</v>
      </c>
      <c r="I11" s="24">
        <v>850000</v>
      </c>
      <c r="J11" s="24">
        <v>900000</v>
      </c>
      <c r="K11" s="4">
        <v>300000</v>
      </c>
      <c r="L11" s="27">
        <f t="shared" si="1"/>
        <v>9930000</v>
      </c>
      <c r="N11" s="4"/>
    </row>
    <row r="12" spans="1:14" x14ac:dyDescent="0.35">
      <c r="A12" s="26">
        <f t="shared" si="0"/>
        <v>46180</v>
      </c>
      <c r="B12" s="21">
        <v>1175000</v>
      </c>
      <c r="C12" s="21">
        <v>1797500</v>
      </c>
      <c r="D12" s="21">
        <v>600000</v>
      </c>
      <c r="E12" s="21">
        <v>2072500</v>
      </c>
      <c r="F12" s="21">
        <v>1000000</v>
      </c>
      <c r="G12" s="21">
        <v>1272500</v>
      </c>
      <c r="H12" s="21">
        <v>1675000</v>
      </c>
      <c r="I12" s="24">
        <v>897500</v>
      </c>
      <c r="J12" s="24">
        <v>100000</v>
      </c>
      <c r="K12" s="24">
        <v>100000</v>
      </c>
      <c r="L12" s="27">
        <f t="shared" si="1"/>
        <v>10690000</v>
      </c>
      <c r="N12" s="4"/>
    </row>
    <row r="13" spans="1:14" x14ac:dyDescent="0.35">
      <c r="A13" s="26">
        <f t="shared" si="0"/>
        <v>46181</v>
      </c>
      <c r="B13" s="21">
        <v>1525000</v>
      </c>
      <c r="C13" s="21">
        <v>640000</v>
      </c>
      <c r="D13" s="21">
        <v>1000000</v>
      </c>
      <c r="E13" s="21">
        <v>590000</v>
      </c>
      <c r="F13" s="21">
        <v>1075000</v>
      </c>
      <c r="G13" s="21">
        <v>790000</v>
      </c>
      <c r="H13" s="21">
        <v>750000</v>
      </c>
      <c r="I13" s="24">
        <v>740000</v>
      </c>
      <c r="J13" s="24"/>
      <c r="K13" s="24">
        <v>200000</v>
      </c>
      <c r="L13" s="27">
        <f t="shared" si="1"/>
        <v>7310000</v>
      </c>
      <c r="N13" s="4"/>
    </row>
    <row r="14" spans="1:14" x14ac:dyDescent="0.35">
      <c r="A14" s="26">
        <f t="shared" si="0"/>
        <v>46182</v>
      </c>
      <c r="B14" s="21"/>
      <c r="C14" s="21"/>
      <c r="D14" s="21"/>
      <c r="E14" s="21"/>
      <c r="F14" s="21"/>
      <c r="G14" s="21"/>
      <c r="H14" s="21"/>
      <c r="I14" s="24"/>
      <c r="J14" s="24"/>
      <c r="K14" s="24"/>
      <c r="L14" s="27">
        <f t="shared" si="1"/>
        <v>0</v>
      </c>
      <c r="N14" s="4"/>
    </row>
    <row r="15" spans="1:14" x14ac:dyDescent="0.35">
      <c r="A15" s="26">
        <f t="shared" si="0"/>
        <v>46183</v>
      </c>
      <c r="B15" s="21"/>
      <c r="C15" s="21"/>
      <c r="D15" s="21"/>
      <c r="E15" s="21"/>
      <c r="F15" s="21"/>
      <c r="G15" s="21"/>
      <c r="H15" s="21"/>
      <c r="I15" s="24"/>
      <c r="J15" s="24"/>
      <c r="K15" s="24"/>
      <c r="L15" s="27">
        <f t="shared" si="1"/>
        <v>0</v>
      </c>
      <c r="N15" s="4"/>
    </row>
    <row r="16" spans="1:14" x14ac:dyDescent="0.35">
      <c r="A16" s="26">
        <f t="shared" si="0"/>
        <v>46184</v>
      </c>
      <c r="B16" s="21"/>
      <c r="C16" s="21"/>
      <c r="D16" s="21"/>
      <c r="E16" s="21"/>
      <c r="F16" s="21"/>
      <c r="G16" s="21"/>
      <c r="H16" s="21"/>
      <c r="I16" s="24"/>
      <c r="J16" s="24"/>
      <c r="K16" s="24"/>
      <c r="L16" s="27">
        <f t="shared" si="1"/>
        <v>0</v>
      </c>
      <c r="M16" s="4"/>
      <c r="N16" s="4"/>
    </row>
    <row r="17" spans="1:14" x14ac:dyDescent="0.35">
      <c r="A17" s="26">
        <f t="shared" si="0"/>
        <v>46185</v>
      </c>
      <c r="B17" s="21"/>
      <c r="C17" s="21"/>
      <c r="D17" s="21"/>
      <c r="E17" s="21"/>
      <c r="F17" s="21"/>
      <c r="G17" s="21"/>
      <c r="H17" s="21"/>
      <c r="I17" s="24"/>
      <c r="J17" s="24"/>
      <c r="K17" s="24"/>
      <c r="L17" s="27">
        <f t="shared" si="1"/>
        <v>0</v>
      </c>
      <c r="N17" s="4"/>
    </row>
    <row r="18" spans="1:14" x14ac:dyDescent="0.35">
      <c r="A18" s="26">
        <f t="shared" si="0"/>
        <v>46186</v>
      </c>
      <c r="B18" s="21"/>
      <c r="C18" s="21"/>
      <c r="D18" s="21"/>
      <c r="E18" s="21"/>
      <c r="F18" s="21"/>
      <c r="G18" s="21"/>
      <c r="H18" s="21"/>
      <c r="I18" s="24"/>
      <c r="J18" s="24"/>
      <c r="K18" s="24"/>
      <c r="L18" s="27">
        <f t="shared" si="1"/>
        <v>0</v>
      </c>
      <c r="N18" s="4"/>
    </row>
    <row r="19" spans="1:14" x14ac:dyDescent="0.35">
      <c r="A19" s="26">
        <f t="shared" si="0"/>
        <v>46187</v>
      </c>
      <c r="B19" s="21"/>
      <c r="C19" s="21"/>
      <c r="D19" s="21"/>
      <c r="E19" s="21"/>
      <c r="F19" s="21"/>
      <c r="G19" s="21"/>
      <c r="H19" s="21"/>
      <c r="I19" s="24"/>
      <c r="J19" s="24"/>
      <c r="K19" s="24"/>
      <c r="L19" s="27">
        <f t="shared" si="1"/>
        <v>0</v>
      </c>
      <c r="N19" s="4"/>
    </row>
    <row r="20" spans="1:14" x14ac:dyDescent="0.35">
      <c r="A20" s="26">
        <f t="shared" si="0"/>
        <v>46188</v>
      </c>
      <c r="B20" s="21"/>
      <c r="C20" s="21"/>
      <c r="D20" s="21"/>
      <c r="E20" s="21"/>
      <c r="F20" s="21"/>
      <c r="G20" s="21"/>
      <c r="H20" s="21"/>
      <c r="I20" s="24"/>
      <c r="J20" s="24"/>
      <c r="K20" s="24"/>
      <c r="L20" s="27">
        <f t="shared" si="1"/>
        <v>0</v>
      </c>
      <c r="N20" s="4"/>
    </row>
    <row r="21" spans="1:14" x14ac:dyDescent="0.35">
      <c r="A21" s="26">
        <f t="shared" si="0"/>
        <v>46189</v>
      </c>
      <c r="B21" s="21"/>
      <c r="C21" s="21"/>
      <c r="D21" s="21"/>
      <c r="E21" s="21"/>
      <c r="F21" s="21"/>
      <c r="G21" s="21"/>
      <c r="H21" s="21"/>
      <c r="I21" s="24"/>
      <c r="J21" s="24"/>
      <c r="K21" s="24"/>
      <c r="L21" s="27">
        <f t="shared" si="1"/>
        <v>0</v>
      </c>
      <c r="N21" s="4"/>
    </row>
    <row r="22" spans="1:14" x14ac:dyDescent="0.35">
      <c r="A22" s="26">
        <f t="shared" si="0"/>
        <v>46190</v>
      </c>
      <c r="B22" s="21"/>
      <c r="C22" s="21"/>
      <c r="D22" s="21"/>
      <c r="E22" s="21"/>
      <c r="F22" s="21"/>
      <c r="G22" s="21"/>
      <c r="H22" s="21"/>
      <c r="I22" s="24"/>
      <c r="J22" s="24"/>
      <c r="K22" s="24"/>
      <c r="L22" s="27">
        <f t="shared" si="1"/>
        <v>0</v>
      </c>
      <c r="N22" s="4"/>
    </row>
    <row r="23" spans="1:14" x14ac:dyDescent="0.35">
      <c r="A23" s="26">
        <f t="shared" si="0"/>
        <v>46191</v>
      </c>
      <c r="B23" s="22"/>
      <c r="C23" s="21"/>
      <c r="D23" s="21"/>
      <c r="E23" s="21"/>
      <c r="F23" s="21"/>
      <c r="G23" s="21"/>
      <c r="H23" s="21"/>
      <c r="I23" s="24"/>
      <c r="J23" s="24"/>
      <c r="K23" s="24"/>
      <c r="L23" s="27">
        <f t="shared" si="1"/>
        <v>0</v>
      </c>
      <c r="N23" s="4"/>
    </row>
    <row r="24" spans="1:14" x14ac:dyDescent="0.35">
      <c r="A24" s="26">
        <f t="shared" si="0"/>
        <v>46192</v>
      </c>
      <c r="B24" s="21"/>
      <c r="C24" s="21"/>
      <c r="D24" s="21"/>
      <c r="E24" s="21"/>
      <c r="F24" s="21"/>
      <c r="G24" s="21"/>
      <c r="H24" s="21"/>
      <c r="I24" s="24"/>
      <c r="J24" s="24"/>
      <c r="K24" s="24"/>
      <c r="L24" s="27">
        <f t="shared" si="1"/>
        <v>0</v>
      </c>
      <c r="N24" s="4"/>
    </row>
    <row r="25" spans="1:14" x14ac:dyDescent="0.35">
      <c r="A25" s="26">
        <f t="shared" si="0"/>
        <v>46193</v>
      </c>
      <c r="B25" s="21"/>
      <c r="C25" s="21"/>
      <c r="D25" s="21"/>
      <c r="E25" s="21"/>
      <c r="F25" s="21"/>
      <c r="G25" s="21"/>
      <c r="H25" s="21"/>
      <c r="I25" s="24"/>
      <c r="J25" s="24"/>
      <c r="K25" s="24"/>
      <c r="L25" s="27">
        <f t="shared" si="1"/>
        <v>0</v>
      </c>
      <c r="N25" s="4"/>
    </row>
    <row r="26" spans="1:14" x14ac:dyDescent="0.35">
      <c r="A26" s="26">
        <f t="shared" si="0"/>
        <v>46194</v>
      </c>
      <c r="B26" s="21"/>
      <c r="C26" s="21"/>
      <c r="D26" s="21"/>
      <c r="E26" s="21"/>
      <c r="F26" s="21"/>
      <c r="G26" s="21"/>
      <c r="H26" s="21"/>
      <c r="I26" s="24"/>
      <c r="J26" s="24"/>
      <c r="K26" s="24"/>
      <c r="L26" s="27">
        <f t="shared" si="1"/>
        <v>0</v>
      </c>
      <c r="N26" s="4"/>
    </row>
    <row r="27" spans="1:14" x14ac:dyDescent="0.35">
      <c r="A27" s="26">
        <f t="shared" si="0"/>
        <v>46195</v>
      </c>
      <c r="B27" s="21"/>
      <c r="C27" s="21"/>
      <c r="D27" s="21"/>
      <c r="E27" s="21"/>
      <c r="F27" s="21"/>
      <c r="G27" s="21"/>
      <c r="H27" s="21"/>
      <c r="I27" s="24"/>
      <c r="J27" s="24"/>
      <c r="K27" s="21"/>
      <c r="L27" s="27">
        <f t="shared" si="1"/>
        <v>0</v>
      </c>
      <c r="N27" s="4"/>
    </row>
    <row r="28" spans="1:14" x14ac:dyDescent="0.35">
      <c r="A28" s="26">
        <f t="shared" si="0"/>
        <v>46196</v>
      </c>
      <c r="B28" s="21"/>
      <c r="C28" s="21"/>
      <c r="D28" s="21"/>
      <c r="E28" s="21"/>
      <c r="F28" s="21"/>
      <c r="G28" s="21"/>
      <c r="H28" s="21"/>
      <c r="I28" s="24"/>
      <c r="J28" s="24"/>
      <c r="K28" s="24"/>
      <c r="L28" s="27">
        <f t="shared" si="1"/>
        <v>0</v>
      </c>
      <c r="N28" s="4"/>
    </row>
    <row r="29" spans="1:14" x14ac:dyDescent="0.35">
      <c r="A29" s="26">
        <f t="shared" si="0"/>
        <v>46197</v>
      </c>
      <c r="B29" s="21"/>
      <c r="C29" s="21"/>
      <c r="D29" s="21"/>
      <c r="E29" s="21"/>
      <c r="F29" s="21"/>
      <c r="G29" s="21"/>
      <c r="H29" s="21"/>
      <c r="I29" s="4"/>
      <c r="J29" s="4"/>
      <c r="K29" s="24"/>
      <c r="L29" s="27">
        <f t="shared" si="1"/>
        <v>0</v>
      </c>
      <c r="N29" s="4"/>
    </row>
    <row r="30" spans="1:14" x14ac:dyDescent="0.35">
      <c r="A30" s="26">
        <f t="shared" si="0"/>
        <v>46198</v>
      </c>
      <c r="B30" s="21"/>
      <c r="C30" s="22"/>
      <c r="D30" s="21"/>
      <c r="E30" s="21"/>
      <c r="F30" s="21"/>
      <c r="G30" s="21"/>
      <c r="H30" s="21"/>
      <c r="I30" s="24"/>
      <c r="J30" s="24"/>
      <c r="K30" s="24"/>
      <c r="L30" s="27">
        <f t="shared" si="1"/>
        <v>0</v>
      </c>
      <c r="M30" s="21"/>
      <c r="N30" s="4"/>
    </row>
    <row r="31" spans="1:14" x14ac:dyDescent="0.35">
      <c r="A31" s="26">
        <f t="shared" si="0"/>
        <v>46199</v>
      </c>
      <c r="B31" s="21"/>
      <c r="C31" s="21"/>
      <c r="D31" s="21"/>
      <c r="E31" s="21"/>
      <c r="F31" s="21"/>
      <c r="G31" s="21"/>
      <c r="H31" s="21"/>
      <c r="I31" s="24"/>
      <c r="J31" s="24"/>
      <c r="K31" s="24"/>
      <c r="L31" s="27">
        <f t="shared" si="1"/>
        <v>0</v>
      </c>
      <c r="N31" s="4"/>
    </row>
    <row r="32" spans="1:14" x14ac:dyDescent="0.35">
      <c r="A32" s="26">
        <f t="shared" si="0"/>
        <v>46200</v>
      </c>
      <c r="B32" s="21"/>
      <c r="C32" s="21"/>
      <c r="D32" s="21"/>
      <c r="E32" s="21"/>
      <c r="F32" s="21"/>
      <c r="G32" s="21"/>
      <c r="H32" s="21"/>
      <c r="I32" s="24"/>
      <c r="J32" s="24"/>
      <c r="K32" s="21"/>
      <c r="L32" s="27">
        <f t="shared" si="1"/>
        <v>0</v>
      </c>
      <c r="N32" s="4"/>
    </row>
    <row r="33" spans="1:14" x14ac:dyDescent="0.35">
      <c r="A33" s="26">
        <f t="shared" si="0"/>
        <v>46201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7">
        <f t="shared" si="1"/>
        <v>0</v>
      </c>
      <c r="N33" s="4"/>
    </row>
    <row r="34" spans="1:14" x14ac:dyDescent="0.35">
      <c r="A34" s="26">
        <f t="shared" si="0"/>
        <v>46202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7">
        <f t="shared" si="1"/>
        <v>0</v>
      </c>
      <c r="N34" s="4"/>
    </row>
    <row r="35" spans="1:14" ht="15" thickBot="1" x14ac:dyDescent="0.4">
      <c r="A35" s="26">
        <f t="shared" si="0"/>
        <v>46203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7">
        <f t="shared" si="1"/>
        <v>0</v>
      </c>
      <c r="N35" s="4"/>
    </row>
    <row r="36" spans="1:14" ht="15" thickBot="1" x14ac:dyDescent="0.4">
      <c r="A36" s="28" t="s">
        <v>8</v>
      </c>
      <c r="B36" s="29">
        <f t="shared" ref="B36:L36" si="2">SUM(B6:B35)</f>
        <v>7862500</v>
      </c>
      <c r="C36" s="30">
        <f t="shared" si="2"/>
        <v>12197500</v>
      </c>
      <c r="D36" s="30">
        <f t="shared" si="2"/>
        <v>7845000</v>
      </c>
      <c r="E36" s="30">
        <f t="shared" si="2"/>
        <v>7562500</v>
      </c>
      <c r="F36" s="30">
        <f t="shared" si="2"/>
        <v>9045000</v>
      </c>
      <c r="G36" s="30">
        <f t="shared" si="2"/>
        <v>5642500</v>
      </c>
      <c r="H36" s="30">
        <f t="shared" si="2"/>
        <v>9190000</v>
      </c>
      <c r="I36" s="30">
        <f t="shared" si="2"/>
        <v>4877500</v>
      </c>
      <c r="J36" s="30">
        <f t="shared" si="2"/>
        <v>3740000</v>
      </c>
      <c r="K36" s="30">
        <f t="shared" si="2"/>
        <v>980000</v>
      </c>
      <c r="L36" s="31">
        <f t="shared" si="2"/>
        <v>68942500</v>
      </c>
      <c r="N36" s="4"/>
    </row>
    <row r="37" spans="1:14" ht="15" thickBot="1" x14ac:dyDescent="0.4">
      <c r="A37" s="32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33"/>
      <c r="N37" s="4"/>
    </row>
    <row r="38" spans="1:14" ht="15" thickBot="1" x14ac:dyDescent="0.4">
      <c r="A38" s="34"/>
      <c r="B38" s="35"/>
      <c r="C38" s="4"/>
      <c r="D38" s="4"/>
      <c r="E38" s="4"/>
      <c r="F38" s="4"/>
      <c r="G38" s="4"/>
      <c r="H38" s="36" t="s">
        <v>11</v>
      </c>
      <c r="I38" s="37" t="s">
        <v>12</v>
      </c>
      <c r="J38" s="37" t="s">
        <v>8</v>
      </c>
      <c r="K38" s="37" t="s">
        <v>13</v>
      </c>
      <c r="L38" s="38"/>
      <c r="M38" s="39" t="s">
        <v>14</v>
      </c>
      <c r="N38" s="4"/>
    </row>
    <row r="39" spans="1:14" ht="15.5" x14ac:dyDescent="0.35">
      <c r="A39" s="34"/>
      <c r="B39" s="4"/>
      <c r="C39" s="4"/>
      <c r="D39" s="4"/>
      <c r="E39" s="4"/>
      <c r="F39" s="4"/>
      <c r="G39" s="40" t="s">
        <v>9</v>
      </c>
      <c r="H39" s="41">
        <f>B36+D36+F36+H36</f>
        <v>33942500</v>
      </c>
      <c r="I39" s="42">
        <f>J36</f>
        <v>3740000</v>
      </c>
      <c r="J39" s="43">
        <f>SUM(H39:I39)</f>
        <v>37682500</v>
      </c>
      <c r="K39" s="44"/>
      <c r="L39" s="33"/>
      <c r="M39" s="45"/>
    </row>
    <row r="40" spans="1:14" ht="16" thickBot="1" x14ac:dyDescent="0.4">
      <c r="A40" s="34"/>
      <c r="B40" s="4"/>
      <c r="C40" s="4"/>
      <c r="D40" s="4"/>
      <c r="E40" s="4"/>
      <c r="F40" s="4"/>
      <c r="G40" s="40" t="s">
        <v>15</v>
      </c>
      <c r="H40" s="41">
        <f>C36+E36+G36+I36</f>
        <v>30280000</v>
      </c>
      <c r="I40" s="46">
        <f>K36</f>
        <v>980000</v>
      </c>
      <c r="J40" s="47">
        <f>SUM(H40:I40)</f>
        <v>31260000</v>
      </c>
      <c r="K40" s="48"/>
      <c r="L40" s="33"/>
      <c r="M40" s="45"/>
    </row>
    <row r="41" spans="1:14" x14ac:dyDescent="0.35">
      <c r="A41" s="3"/>
      <c r="B41" s="4"/>
      <c r="C41" s="4"/>
      <c r="D41" s="4"/>
      <c r="E41" s="4"/>
      <c r="F41" s="4"/>
      <c r="G41" s="49" t="s">
        <v>8</v>
      </c>
      <c r="H41" s="50">
        <f>SUM(H39:H40)</f>
        <v>64222500</v>
      </c>
      <c r="I41" s="49">
        <f>SUM(I39:I40)</f>
        <v>4720000</v>
      </c>
      <c r="J41" s="43">
        <f>SUM(H41:I41)</f>
        <v>68942500</v>
      </c>
      <c r="K41" s="33"/>
      <c r="L41" s="4"/>
      <c r="N41" s="4"/>
    </row>
    <row r="42" spans="1:14" ht="15" thickBot="1" x14ac:dyDescent="0.4">
      <c r="A42" s="3"/>
      <c r="B42" s="4"/>
      <c r="C42" s="4"/>
      <c r="D42" s="4"/>
      <c r="E42" s="4"/>
      <c r="F42" s="4"/>
      <c r="G42" s="47" t="s">
        <v>16</v>
      </c>
      <c r="H42" s="51">
        <f>H41/31</f>
        <v>2071693.5483870967</v>
      </c>
      <c r="I42" s="52">
        <f>I41/31</f>
        <v>152258.06451612903</v>
      </c>
      <c r="J42" s="47"/>
      <c r="K42" s="33"/>
      <c r="L42" s="4"/>
      <c r="N42" s="4"/>
    </row>
  </sheetData>
  <mergeCells count="9">
    <mergeCell ref="A1:N1"/>
    <mergeCell ref="A2:N2"/>
    <mergeCell ref="A4:A5"/>
    <mergeCell ref="B4:C4"/>
    <mergeCell ref="D4:E4"/>
    <mergeCell ref="F4:G4"/>
    <mergeCell ref="H4:I4"/>
    <mergeCell ref="J4:K4"/>
    <mergeCell ref="L4:L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I214"/>
  <sheetViews>
    <sheetView zoomScale="90" zoomScaleNormal="90"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A5" sqref="A5:XFD140"/>
    </sheetView>
  </sheetViews>
  <sheetFormatPr defaultRowHeight="14.5" x14ac:dyDescent="0.35"/>
  <cols>
    <col min="1" max="1" width="30.453125" bestFit="1" customWidth="1"/>
    <col min="3" max="3" width="19.26953125" bestFit="1" customWidth="1"/>
    <col min="10" max="10" width="11.36328125" customWidth="1"/>
    <col min="14" max="14" width="10.1796875" bestFit="1" customWidth="1"/>
    <col min="17" max="17" width="10" bestFit="1" customWidth="1"/>
    <col min="21" max="21" width="10" bestFit="1" customWidth="1"/>
    <col min="26" max="26" width="10" bestFit="1" customWidth="1"/>
    <col min="27" max="27" width="19.08984375" bestFit="1" customWidth="1"/>
    <col min="32" max="32" width="19.1796875" bestFit="1" customWidth="1"/>
  </cols>
  <sheetData>
    <row r="1" spans="1:35" x14ac:dyDescent="0.35">
      <c r="A1" s="53" t="s">
        <v>17</v>
      </c>
      <c r="P1" s="54"/>
    </row>
    <row r="2" spans="1:35" x14ac:dyDescent="0.35">
      <c r="A2" s="53" t="s">
        <v>18</v>
      </c>
      <c r="P2" s="54"/>
    </row>
    <row r="3" spans="1:35" x14ac:dyDescent="0.35">
      <c r="P3" s="54"/>
    </row>
    <row r="4" spans="1:35" s="64" customFormat="1" ht="45.5" customHeight="1" x14ac:dyDescent="0.35">
      <c r="A4" s="55" t="s">
        <v>19</v>
      </c>
      <c r="B4" s="55" t="s">
        <v>20</v>
      </c>
      <c r="C4" s="55" t="s">
        <v>21</v>
      </c>
      <c r="D4" s="55" t="s">
        <v>22</v>
      </c>
      <c r="E4" s="56" t="s">
        <v>23</v>
      </c>
      <c r="F4" s="57" t="s">
        <v>24</v>
      </c>
      <c r="G4" s="55" t="s">
        <v>25</v>
      </c>
      <c r="H4" s="55" t="s">
        <v>26</v>
      </c>
      <c r="I4" s="55" t="s">
        <v>27</v>
      </c>
      <c r="J4" s="58" t="s">
        <v>2</v>
      </c>
      <c r="K4" s="57" t="s">
        <v>28</v>
      </c>
      <c r="L4" s="55" t="s">
        <v>29</v>
      </c>
      <c r="M4" s="57" t="s">
        <v>30</v>
      </c>
      <c r="N4" s="59" t="s">
        <v>31</v>
      </c>
      <c r="O4" s="59" t="s">
        <v>32</v>
      </c>
      <c r="P4" s="60" t="s">
        <v>33</v>
      </c>
      <c r="Q4" s="61" t="s">
        <v>34</v>
      </c>
      <c r="R4" s="59" t="s">
        <v>35</v>
      </c>
      <c r="S4" s="59" t="s">
        <v>36</v>
      </c>
      <c r="T4" s="59" t="s">
        <v>37</v>
      </c>
      <c r="U4" s="62" t="s">
        <v>38</v>
      </c>
      <c r="V4" s="62" t="s">
        <v>39</v>
      </c>
      <c r="W4" s="59" t="s">
        <v>40</v>
      </c>
      <c r="X4" s="59" t="s">
        <v>41</v>
      </c>
      <c r="Y4" s="59" t="s">
        <v>42</v>
      </c>
      <c r="Z4" s="63" t="s">
        <v>43</v>
      </c>
      <c r="AA4" s="57" t="s">
        <v>44</v>
      </c>
      <c r="AB4" s="55" t="s">
        <v>45</v>
      </c>
    </row>
    <row r="5" spans="1:35" s="66" customFormat="1" x14ac:dyDescent="0.35">
      <c r="A5" s="65" t="s">
        <v>80</v>
      </c>
      <c r="B5" s="65" t="s">
        <v>46</v>
      </c>
      <c r="C5" s="65" t="s">
        <v>63</v>
      </c>
      <c r="D5" s="65">
        <v>7472</v>
      </c>
      <c r="E5" s="65" t="s">
        <v>48</v>
      </c>
      <c r="F5" s="65" t="s">
        <v>81</v>
      </c>
      <c r="G5" s="65"/>
      <c r="H5" s="65" t="s">
        <v>82</v>
      </c>
      <c r="I5" s="65" t="s">
        <v>49</v>
      </c>
      <c r="J5" s="65" t="s">
        <v>83</v>
      </c>
      <c r="K5" s="65" t="s">
        <v>58</v>
      </c>
      <c r="L5" s="65" t="s">
        <v>60</v>
      </c>
      <c r="M5" s="65" t="s">
        <v>52</v>
      </c>
      <c r="N5" s="65">
        <v>150000</v>
      </c>
      <c r="O5" s="65" t="s">
        <v>49</v>
      </c>
      <c r="P5" s="65" t="s">
        <v>53</v>
      </c>
      <c r="Q5" s="65">
        <v>150000</v>
      </c>
      <c r="R5" s="65">
        <v>0</v>
      </c>
      <c r="S5" s="65">
        <v>0</v>
      </c>
      <c r="T5" s="65" t="s">
        <v>49</v>
      </c>
      <c r="U5" s="65">
        <v>150000</v>
      </c>
      <c r="V5" s="65">
        <v>0</v>
      </c>
      <c r="W5" s="65">
        <v>0</v>
      </c>
      <c r="X5" s="65">
        <v>0</v>
      </c>
      <c r="Y5" s="65" t="s">
        <v>54</v>
      </c>
      <c r="Z5" s="65">
        <v>150000</v>
      </c>
      <c r="AA5" s="65" t="s">
        <v>84</v>
      </c>
      <c r="AB5" s="65"/>
      <c r="AC5" s="65" t="s">
        <v>59</v>
      </c>
      <c r="AD5" s="65" t="s">
        <v>85</v>
      </c>
      <c r="AE5" s="65" t="s">
        <v>49</v>
      </c>
      <c r="AF5" s="65"/>
      <c r="AG5" s="65" t="s">
        <v>49</v>
      </c>
      <c r="AH5" s="65"/>
      <c r="AI5" s="65"/>
    </row>
    <row r="6" spans="1:35" s="66" customFormat="1" x14ac:dyDescent="0.35">
      <c r="A6" s="65" t="s">
        <v>86</v>
      </c>
      <c r="B6" s="65" t="s">
        <v>46</v>
      </c>
      <c r="C6" s="65" t="s">
        <v>47</v>
      </c>
      <c r="D6" s="65">
        <v>7470</v>
      </c>
      <c r="E6" s="65" t="s">
        <v>48</v>
      </c>
      <c r="F6" s="65" t="s">
        <v>87</v>
      </c>
      <c r="G6" s="65"/>
      <c r="H6" s="65" t="s">
        <v>88</v>
      </c>
      <c r="I6" s="65" t="s">
        <v>49</v>
      </c>
      <c r="J6" s="65" t="s">
        <v>83</v>
      </c>
      <c r="K6" s="65" t="s">
        <v>60</v>
      </c>
      <c r="L6" s="65" t="s">
        <v>62</v>
      </c>
      <c r="M6" s="65" t="s">
        <v>52</v>
      </c>
      <c r="N6" s="65">
        <v>150000</v>
      </c>
      <c r="O6" s="65" t="s">
        <v>49</v>
      </c>
      <c r="P6" s="65" t="s">
        <v>53</v>
      </c>
      <c r="Q6" s="65">
        <v>150000</v>
      </c>
      <c r="R6" s="65">
        <v>0</v>
      </c>
      <c r="S6" s="65">
        <v>0</v>
      </c>
      <c r="T6" s="65" t="s">
        <v>49</v>
      </c>
      <c r="U6" s="65">
        <v>150000</v>
      </c>
      <c r="V6" s="65">
        <v>0</v>
      </c>
      <c r="W6" s="65">
        <v>0</v>
      </c>
      <c r="X6" s="65">
        <v>0</v>
      </c>
      <c r="Y6" s="65" t="s">
        <v>54</v>
      </c>
      <c r="Z6" s="65">
        <v>150000</v>
      </c>
      <c r="AA6" s="65" t="s">
        <v>89</v>
      </c>
      <c r="AB6" s="65"/>
      <c r="AC6" s="65" t="s">
        <v>55</v>
      </c>
      <c r="AD6" s="65" t="s">
        <v>89</v>
      </c>
      <c r="AE6" s="65" t="s">
        <v>59</v>
      </c>
      <c r="AF6" s="65" t="s">
        <v>90</v>
      </c>
      <c r="AG6" s="65" t="s">
        <v>49</v>
      </c>
      <c r="AH6" s="65"/>
      <c r="AI6" s="65"/>
    </row>
    <row r="7" spans="1:35" s="66" customFormat="1" x14ac:dyDescent="0.35">
      <c r="A7" s="65" t="s">
        <v>91</v>
      </c>
      <c r="B7" s="65" t="s">
        <v>46</v>
      </c>
      <c r="C7" s="65" t="s">
        <v>63</v>
      </c>
      <c r="D7" s="65">
        <v>7472</v>
      </c>
      <c r="E7" s="65" t="s">
        <v>48</v>
      </c>
      <c r="F7" s="65" t="s">
        <v>81</v>
      </c>
      <c r="G7" s="65"/>
      <c r="H7" s="65" t="s">
        <v>82</v>
      </c>
      <c r="I7" s="65" t="s">
        <v>49</v>
      </c>
      <c r="J7" s="65" t="s">
        <v>83</v>
      </c>
      <c r="K7" s="65" t="s">
        <v>60</v>
      </c>
      <c r="L7" s="65" t="s">
        <v>62</v>
      </c>
      <c r="M7" s="65" t="s">
        <v>52</v>
      </c>
      <c r="N7" s="65">
        <v>150000</v>
      </c>
      <c r="O7" s="65" t="s">
        <v>49</v>
      </c>
      <c r="P7" s="65" t="s">
        <v>53</v>
      </c>
      <c r="Q7" s="65">
        <v>150000</v>
      </c>
      <c r="R7" s="65">
        <v>0</v>
      </c>
      <c r="S7" s="65">
        <v>0</v>
      </c>
      <c r="T7" s="65" t="s">
        <v>49</v>
      </c>
      <c r="U7" s="65">
        <v>150000</v>
      </c>
      <c r="V7" s="65">
        <v>0</v>
      </c>
      <c r="W7" s="65">
        <v>0</v>
      </c>
      <c r="X7" s="65">
        <v>0</v>
      </c>
      <c r="Y7" s="65" t="s">
        <v>54</v>
      </c>
      <c r="Z7" s="65">
        <v>150000</v>
      </c>
      <c r="AA7" s="65" t="s">
        <v>92</v>
      </c>
      <c r="AB7" s="65"/>
      <c r="AC7" s="65" t="s">
        <v>59</v>
      </c>
      <c r="AD7" s="65" t="s">
        <v>85</v>
      </c>
      <c r="AE7" s="65" t="s">
        <v>49</v>
      </c>
      <c r="AF7" s="65"/>
      <c r="AG7" s="65" t="s">
        <v>49</v>
      </c>
      <c r="AH7" s="65"/>
      <c r="AI7" s="65"/>
    </row>
    <row r="8" spans="1:35" s="66" customFormat="1" x14ac:dyDescent="0.35">
      <c r="A8" s="65" t="s">
        <v>93</v>
      </c>
      <c r="B8" s="65" t="s">
        <v>46</v>
      </c>
      <c r="C8" s="65" t="s">
        <v>57</v>
      </c>
      <c r="D8" s="65">
        <v>7471</v>
      </c>
      <c r="E8" s="65" t="s">
        <v>48</v>
      </c>
      <c r="F8" s="65" t="s">
        <v>94</v>
      </c>
      <c r="G8" s="65"/>
      <c r="H8" s="65" t="s">
        <v>61</v>
      </c>
      <c r="I8" s="65" t="s">
        <v>49</v>
      </c>
      <c r="J8" s="65" t="s">
        <v>83</v>
      </c>
      <c r="K8" s="65" t="s">
        <v>76</v>
      </c>
      <c r="L8" s="65" t="s">
        <v>77</v>
      </c>
      <c r="M8" s="65" t="s">
        <v>52</v>
      </c>
      <c r="N8" s="65">
        <v>150000</v>
      </c>
      <c r="O8" s="65" t="s">
        <v>49</v>
      </c>
      <c r="P8" s="65" t="s">
        <v>53</v>
      </c>
      <c r="Q8" s="65">
        <v>150000</v>
      </c>
      <c r="R8" s="65">
        <v>0</v>
      </c>
      <c r="S8" s="65">
        <v>0</v>
      </c>
      <c r="T8" s="65" t="s">
        <v>49</v>
      </c>
      <c r="U8" s="65">
        <v>150000</v>
      </c>
      <c r="V8" s="65">
        <v>0</v>
      </c>
      <c r="W8" s="65">
        <v>0</v>
      </c>
      <c r="X8" s="65">
        <v>0</v>
      </c>
      <c r="Y8" s="65" t="s">
        <v>54</v>
      </c>
      <c r="Z8" s="65">
        <v>150000</v>
      </c>
      <c r="AA8" s="65" t="s">
        <v>95</v>
      </c>
      <c r="AB8" s="65"/>
      <c r="AC8" s="65" t="s">
        <v>55</v>
      </c>
      <c r="AD8" s="65" t="s">
        <v>96</v>
      </c>
      <c r="AE8" s="65" t="s">
        <v>49</v>
      </c>
      <c r="AF8" s="65"/>
      <c r="AG8" s="65" t="s">
        <v>49</v>
      </c>
      <c r="AH8" s="65"/>
      <c r="AI8" s="65"/>
    </row>
    <row r="9" spans="1:35" s="66" customFormat="1" x14ac:dyDescent="0.35">
      <c r="A9" s="65" t="s">
        <v>97</v>
      </c>
      <c r="B9" s="65" t="s">
        <v>46</v>
      </c>
      <c r="C9" s="65" t="s">
        <v>57</v>
      </c>
      <c r="D9" s="65">
        <v>7471</v>
      </c>
      <c r="E9" s="65" t="s">
        <v>48</v>
      </c>
      <c r="F9" s="65" t="s">
        <v>98</v>
      </c>
      <c r="G9" s="65"/>
      <c r="H9" s="65" t="s">
        <v>61</v>
      </c>
      <c r="I9" s="65" t="s">
        <v>49</v>
      </c>
      <c r="J9" s="65" t="s">
        <v>83</v>
      </c>
      <c r="K9" s="65" t="s">
        <v>72</v>
      </c>
      <c r="L9" s="65" t="s">
        <v>73</v>
      </c>
      <c r="M9" s="65" t="s">
        <v>52</v>
      </c>
      <c r="N9" s="65">
        <v>200000</v>
      </c>
      <c r="O9" s="65" t="s">
        <v>49</v>
      </c>
      <c r="P9" s="65" t="s">
        <v>53</v>
      </c>
      <c r="Q9" s="65">
        <v>200000</v>
      </c>
      <c r="R9" s="65">
        <v>0</v>
      </c>
      <c r="S9" s="65">
        <v>0</v>
      </c>
      <c r="T9" s="65" t="s">
        <v>49</v>
      </c>
      <c r="U9" s="65">
        <v>200000</v>
      </c>
      <c r="V9" s="65">
        <v>0</v>
      </c>
      <c r="W9" s="65">
        <v>0</v>
      </c>
      <c r="X9" s="65">
        <v>0</v>
      </c>
      <c r="Y9" s="65" t="s">
        <v>54</v>
      </c>
      <c r="Z9" s="65">
        <v>200000</v>
      </c>
      <c r="AA9" s="65" t="s">
        <v>99</v>
      </c>
      <c r="AB9" s="65"/>
      <c r="AC9" s="65" t="s">
        <v>59</v>
      </c>
      <c r="AD9" s="65" t="s">
        <v>100</v>
      </c>
      <c r="AE9" s="65" t="s">
        <v>59</v>
      </c>
      <c r="AF9" s="65" t="s">
        <v>101</v>
      </c>
      <c r="AG9" s="65" t="s">
        <v>49</v>
      </c>
      <c r="AH9" s="65"/>
      <c r="AI9" s="65"/>
    </row>
    <row r="10" spans="1:35" s="66" customFormat="1" x14ac:dyDescent="0.35">
      <c r="A10" s="65" t="s">
        <v>102</v>
      </c>
      <c r="B10" s="65" t="s">
        <v>46</v>
      </c>
      <c r="C10" s="65" t="s">
        <v>63</v>
      </c>
      <c r="D10" s="65">
        <v>7472</v>
      </c>
      <c r="E10" s="65" t="s">
        <v>48</v>
      </c>
      <c r="F10" s="65" t="s">
        <v>78</v>
      </c>
      <c r="G10" s="65"/>
      <c r="H10" s="65" t="s">
        <v>61</v>
      </c>
      <c r="I10" s="65" t="s">
        <v>49</v>
      </c>
      <c r="J10" s="65" t="s">
        <v>83</v>
      </c>
      <c r="K10" s="65" t="s">
        <v>65</v>
      </c>
      <c r="L10" s="65" t="s">
        <v>66</v>
      </c>
      <c r="M10" s="65" t="s">
        <v>52</v>
      </c>
      <c r="N10" s="65">
        <v>220000</v>
      </c>
      <c r="O10" s="65" t="s">
        <v>49</v>
      </c>
      <c r="P10" s="65" t="s">
        <v>53</v>
      </c>
      <c r="Q10" s="65">
        <v>220000</v>
      </c>
      <c r="R10" s="65">
        <v>0</v>
      </c>
      <c r="S10" s="65">
        <v>0</v>
      </c>
      <c r="T10" s="65" t="s">
        <v>49</v>
      </c>
      <c r="U10" s="65">
        <v>220000</v>
      </c>
      <c r="V10" s="65">
        <v>0</v>
      </c>
      <c r="W10" s="65">
        <v>0</v>
      </c>
      <c r="X10" s="65">
        <v>0</v>
      </c>
      <c r="Y10" s="65" t="s">
        <v>54</v>
      </c>
      <c r="Z10" s="65">
        <v>220000</v>
      </c>
      <c r="AA10" s="65" t="s">
        <v>103</v>
      </c>
      <c r="AB10" s="65"/>
      <c r="AC10" s="65" t="s">
        <v>59</v>
      </c>
      <c r="AD10" s="65" t="s">
        <v>104</v>
      </c>
      <c r="AE10" s="65" t="s">
        <v>59</v>
      </c>
      <c r="AF10" s="65" t="s">
        <v>105</v>
      </c>
      <c r="AG10" s="65" t="s">
        <v>49</v>
      </c>
      <c r="AH10" s="65"/>
      <c r="AI10" s="65"/>
    </row>
    <row r="11" spans="1:35" s="66" customFormat="1" x14ac:dyDescent="0.35">
      <c r="A11" s="65" t="s">
        <v>106</v>
      </c>
      <c r="B11" s="65" t="s">
        <v>46</v>
      </c>
      <c r="C11" s="65" t="s">
        <v>57</v>
      </c>
      <c r="D11" s="65">
        <v>7471</v>
      </c>
      <c r="E11" s="65" t="s">
        <v>48</v>
      </c>
      <c r="F11" s="65" t="s">
        <v>78</v>
      </c>
      <c r="G11" s="65"/>
      <c r="H11" s="65" t="s">
        <v>61</v>
      </c>
      <c r="I11" s="65" t="s">
        <v>49</v>
      </c>
      <c r="J11" s="65" t="s">
        <v>83</v>
      </c>
      <c r="K11" s="65" t="s">
        <v>65</v>
      </c>
      <c r="L11" s="65" t="s">
        <v>66</v>
      </c>
      <c r="M11" s="65" t="s">
        <v>52</v>
      </c>
      <c r="N11" s="65">
        <v>220000</v>
      </c>
      <c r="O11" s="65" t="s">
        <v>49</v>
      </c>
      <c r="P11" s="65" t="s">
        <v>53</v>
      </c>
      <c r="Q11" s="65">
        <v>220000</v>
      </c>
      <c r="R11" s="65">
        <v>0</v>
      </c>
      <c r="S11" s="65">
        <v>0</v>
      </c>
      <c r="T11" s="65" t="s">
        <v>49</v>
      </c>
      <c r="U11" s="65">
        <v>220000</v>
      </c>
      <c r="V11" s="65">
        <v>0</v>
      </c>
      <c r="W11" s="65">
        <v>0</v>
      </c>
      <c r="X11" s="65">
        <v>0</v>
      </c>
      <c r="Y11" s="65" t="s">
        <v>54</v>
      </c>
      <c r="Z11" s="65">
        <v>220000</v>
      </c>
      <c r="AA11" s="65" t="s">
        <v>107</v>
      </c>
      <c r="AB11" s="65"/>
      <c r="AC11" s="65" t="s">
        <v>59</v>
      </c>
      <c r="AD11" s="65" t="s">
        <v>108</v>
      </c>
      <c r="AE11" s="65" t="s">
        <v>59</v>
      </c>
      <c r="AF11" s="65" t="s">
        <v>109</v>
      </c>
      <c r="AG11" s="65" t="s">
        <v>49</v>
      </c>
      <c r="AH11" s="65"/>
      <c r="AI11" s="65"/>
    </row>
    <row r="12" spans="1:35" s="66" customFormat="1" x14ac:dyDescent="0.35">
      <c r="A12" s="65" t="s">
        <v>110</v>
      </c>
      <c r="B12" s="65" t="s">
        <v>46</v>
      </c>
      <c r="C12" s="65" t="s">
        <v>47</v>
      </c>
      <c r="D12" s="65">
        <v>7470</v>
      </c>
      <c r="E12" s="65" t="s">
        <v>48</v>
      </c>
      <c r="F12" s="65" t="s">
        <v>78</v>
      </c>
      <c r="G12" s="65"/>
      <c r="H12" s="65" t="s">
        <v>61</v>
      </c>
      <c r="I12" s="65" t="s">
        <v>49</v>
      </c>
      <c r="J12" s="65" t="s">
        <v>83</v>
      </c>
      <c r="K12" s="65" t="s">
        <v>65</v>
      </c>
      <c r="L12" s="65" t="s">
        <v>66</v>
      </c>
      <c r="M12" s="65" t="s">
        <v>52</v>
      </c>
      <c r="N12" s="65">
        <v>220000</v>
      </c>
      <c r="O12" s="65" t="s">
        <v>49</v>
      </c>
      <c r="P12" s="65" t="s">
        <v>53</v>
      </c>
      <c r="Q12" s="65">
        <v>220000</v>
      </c>
      <c r="R12" s="65">
        <v>0</v>
      </c>
      <c r="S12" s="65">
        <v>0</v>
      </c>
      <c r="T12" s="65" t="s">
        <v>49</v>
      </c>
      <c r="U12" s="65">
        <v>220000</v>
      </c>
      <c r="V12" s="65">
        <v>0</v>
      </c>
      <c r="W12" s="65">
        <v>0</v>
      </c>
      <c r="X12" s="65">
        <v>0</v>
      </c>
      <c r="Y12" s="65" t="s">
        <v>54</v>
      </c>
      <c r="Z12" s="65">
        <v>220000</v>
      </c>
      <c r="AA12" s="65" t="s">
        <v>111</v>
      </c>
      <c r="AB12" s="65"/>
      <c r="AC12" s="65" t="s">
        <v>59</v>
      </c>
      <c r="AD12" s="65" t="s">
        <v>112</v>
      </c>
      <c r="AE12" s="65" t="s">
        <v>59</v>
      </c>
      <c r="AF12" s="65" t="s">
        <v>113</v>
      </c>
      <c r="AG12" s="65" t="s">
        <v>49</v>
      </c>
      <c r="AH12" s="65"/>
      <c r="AI12" s="65"/>
    </row>
    <row r="13" spans="1:35" s="66" customFormat="1" x14ac:dyDescent="0.35">
      <c r="A13" s="65" t="s">
        <v>114</v>
      </c>
      <c r="B13" s="65" t="s">
        <v>46</v>
      </c>
      <c r="C13" s="65" t="s">
        <v>56</v>
      </c>
      <c r="D13" s="65">
        <v>5299</v>
      </c>
      <c r="E13" s="65" t="s">
        <v>48</v>
      </c>
      <c r="F13" s="65" t="s">
        <v>78</v>
      </c>
      <c r="G13" s="65"/>
      <c r="H13" s="65" t="s">
        <v>64</v>
      </c>
      <c r="I13" s="65" t="s">
        <v>49</v>
      </c>
      <c r="J13" s="65" t="s">
        <v>83</v>
      </c>
      <c r="K13" s="65" t="s">
        <v>65</v>
      </c>
      <c r="L13" s="65" t="s">
        <v>66</v>
      </c>
      <c r="M13" s="65" t="s">
        <v>52</v>
      </c>
      <c r="N13" s="65">
        <v>220000</v>
      </c>
      <c r="O13" s="65" t="s">
        <v>49</v>
      </c>
      <c r="P13" s="65" t="s">
        <v>53</v>
      </c>
      <c r="Q13" s="65">
        <v>220000</v>
      </c>
      <c r="R13" s="65">
        <v>0</v>
      </c>
      <c r="S13" s="65">
        <v>0</v>
      </c>
      <c r="T13" s="65" t="s">
        <v>49</v>
      </c>
      <c r="U13" s="65">
        <v>220000</v>
      </c>
      <c r="V13" s="65">
        <v>0</v>
      </c>
      <c r="W13" s="65">
        <v>0</v>
      </c>
      <c r="X13" s="65">
        <v>0</v>
      </c>
      <c r="Y13" s="65" t="s">
        <v>54</v>
      </c>
      <c r="Z13" s="65">
        <v>220000</v>
      </c>
      <c r="AA13" s="65" t="s">
        <v>115</v>
      </c>
      <c r="AB13" s="65"/>
      <c r="AC13" s="65" t="s">
        <v>59</v>
      </c>
      <c r="AD13" s="65" t="s">
        <v>116</v>
      </c>
      <c r="AE13" s="65" t="s">
        <v>59</v>
      </c>
      <c r="AF13" s="65" t="s">
        <v>117</v>
      </c>
      <c r="AG13" s="65" t="s">
        <v>49</v>
      </c>
      <c r="AH13" s="65"/>
      <c r="AI13" s="65"/>
    </row>
    <row r="14" spans="1:35" s="66" customFormat="1" x14ac:dyDescent="0.35">
      <c r="A14" s="65" t="s">
        <v>118</v>
      </c>
      <c r="B14" s="65" t="s">
        <v>46</v>
      </c>
      <c r="C14" s="65" t="s">
        <v>68</v>
      </c>
      <c r="D14" s="65">
        <v>7112</v>
      </c>
      <c r="E14" s="65" t="s">
        <v>69</v>
      </c>
      <c r="F14" s="65" t="s">
        <v>70</v>
      </c>
      <c r="G14" s="65"/>
      <c r="H14" s="65" t="s">
        <v>119</v>
      </c>
      <c r="I14" s="65" t="s">
        <v>49</v>
      </c>
      <c r="J14" s="65" t="s">
        <v>83</v>
      </c>
      <c r="K14" s="65" t="s">
        <v>65</v>
      </c>
      <c r="L14" s="65" t="s">
        <v>66</v>
      </c>
      <c r="M14" s="65" t="s">
        <v>52</v>
      </c>
      <c r="N14" s="65">
        <v>100000</v>
      </c>
      <c r="O14" s="65" t="s">
        <v>49</v>
      </c>
      <c r="P14" s="65" t="s">
        <v>53</v>
      </c>
      <c r="Q14" s="65">
        <v>100000</v>
      </c>
      <c r="R14" s="65">
        <v>0</v>
      </c>
      <c r="S14" s="65">
        <v>0</v>
      </c>
      <c r="T14" s="65" t="s">
        <v>49</v>
      </c>
      <c r="U14" s="65">
        <v>100000</v>
      </c>
      <c r="V14" s="65">
        <v>0</v>
      </c>
      <c r="W14" s="65">
        <v>0</v>
      </c>
      <c r="X14" s="65">
        <v>0</v>
      </c>
      <c r="Y14" s="65" t="s">
        <v>54</v>
      </c>
      <c r="Z14" s="65">
        <v>100000</v>
      </c>
      <c r="AA14" s="65" t="s">
        <v>120</v>
      </c>
      <c r="AB14" s="65"/>
      <c r="AC14" s="65" t="s">
        <v>55</v>
      </c>
      <c r="AD14" s="65" t="s">
        <v>120</v>
      </c>
      <c r="AE14" s="65" t="s">
        <v>49</v>
      </c>
      <c r="AF14" s="65"/>
      <c r="AG14" s="65" t="s">
        <v>49</v>
      </c>
      <c r="AH14" s="65"/>
      <c r="AI14" s="65"/>
    </row>
    <row r="15" spans="1:35" s="66" customFormat="1" x14ac:dyDescent="0.35">
      <c r="A15" s="65" t="s">
        <v>121</v>
      </c>
      <c r="B15" s="65" t="s">
        <v>46</v>
      </c>
      <c r="C15" s="65" t="s">
        <v>63</v>
      </c>
      <c r="D15" s="65">
        <v>7472</v>
      </c>
      <c r="E15" s="65" t="s">
        <v>48</v>
      </c>
      <c r="F15" s="65" t="s">
        <v>78</v>
      </c>
      <c r="G15" s="65"/>
      <c r="H15" s="65" t="s">
        <v>61</v>
      </c>
      <c r="I15" s="65" t="s">
        <v>49</v>
      </c>
      <c r="J15" s="65" t="s">
        <v>83</v>
      </c>
      <c r="K15" s="65" t="s">
        <v>66</v>
      </c>
      <c r="L15" s="65" t="s">
        <v>67</v>
      </c>
      <c r="M15" s="65" t="s">
        <v>52</v>
      </c>
      <c r="N15" s="65">
        <v>220000</v>
      </c>
      <c r="O15" s="65" t="s">
        <v>49</v>
      </c>
      <c r="P15" s="65" t="s">
        <v>53</v>
      </c>
      <c r="Q15" s="65">
        <v>220000</v>
      </c>
      <c r="R15" s="65">
        <v>0</v>
      </c>
      <c r="S15" s="65">
        <v>0</v>
      </c>
      <c r="T15" s="65" t="s">
        <v>49</v>
      </c>
      <c r="U15" s="65">
        <v>220000</v>
      </c>
      <c r="V15" s="65">
        <v>0</v>
      </c>
      <c r="W15" s="65">
        <v>0</v>
      </c>
      <c r="X15" s="65">
        <v>0</v>
      </c>
      <c r="Y15" s="65" t="s">
        <v>54</v>
      </c>
      <c r="Z15" s="65">
        <v>220000</v>
      </c>
      <c r="AA15" s="65" t="s">
        <v>122</v>
      </c>
      <c r="AB15" s="65"/>
      <c r="AC15" s="65" t="s">
        <v>59</v>
      </c>
      <c r="AD15" s="65" t="s">
        <v>104</v>
      </c>
      <c r="AE15" s="65" t="s">
        <v>49</v>
      </c>
      <c r="AF15" s="65"/>
      <c r="AG15" s="65" t="s">
        <v>49</v>
      </c>
      <c r="AH15" s="65"/>
      <c r="AI15" s="65"/>
    </row>
    <row r="16" spans="1:35" s="66" customFormat="1" x14ac:dyDescent="0.35">
      <c r="A16" s="65" t="s">
        <v>123</v>
      </c>
      <c r="B16" s="65" t="s">
        <v>46</v>
      </c>
      <c r="C16" s="65" t="s">
        <v>57</v>
      </c>
      <c r="D16" s="65">
        <v>7471</v>
      </c>
      <c r="E16" s="65" t="s">
        <v>48</v>
      </c>
      <c r="F16" s="65" t="s">
        <v>78</v>
      </c>
      <c r="G16" s="65"/>
      <c r="H16" s="65" t="s">
        <v>61</v>
      </c>
      <c r="I16" s="65" t="s">
        <v>49</v>
      </c>
      <c r="J16" s="65" t="s">
        <v>83</v>
      </c>
      <c r="K16" s="65" t="s">
        <v>66</v>
      </c>
      <c r="L16" s="65" t="s">
        <v>67</v>
      </c>
      <c r="M16" s="65" t="s">
        <v>52</v>
      </c>
      <c r="N16" s="65">
        <v>220000</v>
      </c>
      <c r="O16" s="65" t="s">
        <v>49</v>
      </c>
      <c r="P16" s="65" t="s">
        <v>53</v>
      </c>
      <c r="Q16" s="65">
        <v>220000</v>
      </c>
      <c r="R16" s="65">
        <v>0</v>
      </c>
      <c r="S16" s="65">
        <v>0</v>
      </c>
      <c r="T16" s="65" t="s">
        <v>49</v>
      </c>
      <c r="U16" s="65">
        <v>220000</v>
      </c>
      <c r="V16" s="65">
        <v>0</v>
      </c>
      <c r="W16" s="65">
        <v>0</v>
      </c>
      <c r="X16" s="65">
        <v>0</v>
      </c>
      <c r="Y16" s="65" t="s">
        <v>54</v>
      </c>
      <c r="Z16" s="65">
        <v>220000</v>
      </c>
      <c r="AA16" s="65" t="s">
        <v>124</v>
      </c>
      <c r="AB16" s="65"/>
      <c r="AC16" s="65" t="s">
        <v>59</v>
      </c>
      <c r="AD16" s="65" t="s">
        <v>108</v>
      </c>
      <c r="AE16" s="65" t="s">
        <v>49</v>
      </c>
      <c r="AF16" s="65"/>
      <c r="AG16" s="65" t="s">
        <v>49</v>
      </c>
      <c r="AH16" s="65"/>
      <c r="AI16" s="65"/>
    </row>
    <row r="17" spans="1:35" s="66" customFormat="1" x14ac:dyDescent="0.35">
      <c r="A17" s="65" t="s">
        <v>125</v>
      </c>
      <c r="B17" s="65" t="s">
        <v>46</v>
      </c>
      <c r="C17" s="65" t="s">
        <v>47</v>
      </c>
      <c r="D17" s="65">
        <v>7470</v>
      </c>
      <c r="E17" s="65" t="s">
        <v>48</v>
      </c>
      <c r="F17" s="65" t="s">
        <v>78</v>
      </c>
      <c r="G17" s="65"/>
      <c r="H17" s="65" t="s">
        <v>61</v>
      </c>
      <c r="I17" s="65" t="s">
        <v>49</v>
      </c>
      <c r="J17" s="65" t="s">
        <v>83</v>
      </c>
      <c r="K17" s="65" t="s">
        <v>66</v>
      </c>
      <c r="L17" s="65" t="s">
        <v>67</v>
      </c>
      <c r="M17" s="65" t="s">
        <v>52</v>
      </c>
      <c r="N17" s="65">
        <v>220000</v>
      </c>
      <c r="O17" s="65" t="s">
        <v>49</v>
      </c>
      <c r="P17" s="65" t="s">
        <v>53</v>
      </c>
      <c r="Q17" s="65">
        <v>220000</v>
      </c>
      <c r="R17" s="65">
        <v>0</v>
      </c>
      <c r="S17" s="65">
        <v>0</v>
      </c>
      <c r="T17" s="65" t="s">
        <v>49</v>
      </c>
      <c r="U17" s="65">
        <v>220000</v>
      </c>
      <c r="V17" s="65">
        <v>0</v>
      </c>
      <c r="W17" s="65">
        <v>0</v>
      </c>
      <c r="X17" s="65">
        <v>0</v>
      </c>
      <c r="Y17" s="65" t="s">
        <v>54</v>
      </c>
      <c r="Z17" s="65">
        <v>220000</v>
      </c>
      <c r="AA17" s="65" t="s">
        <v>126</v>
      </c>
      <c r="AB17" s="65"/>
      <c r="AC17" s="65" t="s">
        <v>59</v>
      </c>
      <c r="AD17" s="65" t="s">
        <v>112</v>
      </c>
      <c r="AE17" s="65" t="s">
        <v>59</v>
      </c>
      <c r="AF17" s="65" t="s">
        <v>127</v>
      </c>
      <c r="AG17" s="65" t="s">
        <v>49</v>
      </c>
      <c r="AH17" s="65"/>
      <c r="AI17" s="65"/>
    </row>
    <row r="18" spans="1:35" s="66" customFormat="1" x14ac:dyDescent="0.35">
      <c r="A18" s="65" t="s">
        <v>128</v>
      </c>
      <c r="B18" s="65" t="s">
        <v>46</v>
      </c>
      <c r="C18" s="65" t="s">
        <v>56</v>
      </c>
      <c r="D18" s="65">
        <v>5299</v>
      </c>
      <c r="E18" s="65" t="s">
        <v>48</v>
      </c>
      <c r="F18" s="65" t="s">
        <v>78</v>
      </c>
      <c r="G18" s="65"/>
      <c r="H18" s="65" t="s">
        <v>64</v>
      </c>
      <c r="I18" s="65" t="s">
        <v>49</v>
      </c>
      <c r="J18" s="65" t="s">
        <v>83</v>
      </c>
      <c r="K18" s="65" t="s">
        <v>66</v>
      </c>
      <c r="L18" s="65" t="s">
        <v>67</v>
      </c>
      <c r="M18" s="65" t="s">
        <v>52</v>
      </c>
      <c r="N18" s="65">
        <v>220000</v>
      </c>
      <c r="O18" s="65" t="s">
        <v>49</v>
      </c>
      <c r="P18" s="65" t="s">
        <v>53</v>
      </c>
      <c r="Q18" s="65">
        <v>220000</v>
      </c>
      <c r="R18" s="65">
        <v>0</v>
      </c>
      <c r="S18" s="65">
        <v>0</v>
      </c>
      <c r="T18" s="65" t="s">
        <v>49</v>
      </c>
      <c r="U18" s="65">
        <v>220000</v>
      </c>
      <c r="V18" s="65">
        <v>0</v>
      </c>
      <c r="W18" s="65">
        <v>0</v>
      </c>
      <c r="X18" s="65">
        <v>0</v>
      </c>
      <c r="Y18" s="65" t="s">
        <v>54</v>
      </c>
      <c r="Z18" s="65">
        <v>220000</v>
      </c>
      <c r="AA18" s="65" t="s">
        <v>129</v>
      </c>
      <c r="AB18" s="65"/>
      <c r="AC18" s="65" t="s">
        <v>59</v>
      </c>
      <c r="AD18" s="65" t="s">
        <v>116</v>
      </c>
      <c r="AE18" s="65" t="s">
        <v>59</v>
      </c>
      <c r="AF18" s="65" t="s">
        <v>130</v>
      </c>
      <c r="AG18" s="65" t="s">
        <v>49</v>
      </c>
      <c r="AH18" s="65"/>
      <c r="AI18" s="65"/>
    </row>
    <row r="19" spans="1:35" s="66" customFormat="1" x14ac:dyDescent="0.35">
      <c r="A19" s="65" t="s">
        <v>131</v>
      </c>
      <c r="B19" s="65" t="s">
        <v>46</v>
      </c>
      <c r="C19" s="65" t="s">
        <v>68</v>
      </c>
      <c r="D19" s="65">
        <v>7112</v>
      </c>
      <c r="E19" s="65" t="s">
        <v>69</v>
      </c>
      <c r="F19" s="65" t="s">
        <v>70</v>
      </c>
      <c r="G19" s="65"/>
      <c r="H19" s="65" t="s">
        <v>119</v>
      </c>
      <c r="I19" s="65" t="s">
        <v>49</v>
      </c>
      <c r="J19" s="65" t="s">
        <v>83</v>
      </c>
      <c r="K19" s="65" t="s">
        <v>66</v>
      </c>
      <c r="L19" s="65" t="s">
        <v>67</v>
      </c>
      <c r="M19" s="65" t="s">
        <v>52</v>
      </c>
      <c r="N19" s="65">
        <v>100000</v>
      </c>
      <c r="O19" s="65" t="s">
        <v>49</v>
      </c>
      <c r="P19" s="65" t="s">
        <v>53</v>
      </c>
      <c r="Q19" s="65">
        <v>100000</v>
      </c>
      <c r="R19" s="65">
        <v>0</v>
      </c>
      <c r="S19" s="65">
        <v>0</v>
      </c>
      <c r="T19" s="65" t="s">
        <v>49</v>
      </c>
      <c r="U19" s="65">
        <v>100000</v>
      </c>
      <c r="V19" s="65">
        <v>0</v>
      </c>
      <c r="W19" s="65">
        <v>0</v>
      </c>
      <c r="X19" s="65">
        <v>0</v>
      </c>
      <c r="Y19" s="65" t="s">
        <v>54</v>
      </c>
      <c r="Z19" s="65">
        <v>100000</v>
      </c>
      <c r="AA19" s="65" t="s">
        <v>120</v>
      </c>
      <c r="AB19" s="65"/>
      <c r="AC19" s="65" t="s">
        <v>55</v>
      </c>
      <c r="AD19" s="65" t="s">
        <v>120</v>
      </c>
      <c r="AE19" s="65" t="s">
        <v>49</v>
      </c>
      <c r="AF19" s="65"/>
      <c r="AG19" s="65" t="s">
        <v>49</v>
      </c>
      <c r="AH19" s="65"/>
      <c r="AI19" s="65"/>
    </row>
    <row r="20" spans="1:35" s="66" customFormat="1" x14ac:dyDescent="0.35">
      <c r="A20" s="65" t="s">
        <v>132</v>
      </c>
      <c r="B20" s="65" t="s">
        <v>46</v>
      </c>
      <c r="C20" s="65" t="s">
        <v>56</v>
      </c>
      <c r="D20" s="65">
        <v>5299</v>
      </c>
      <c r="E20" s="65" t="s">
        <v>48</v>
      </c>
      <c r="F20" s="65" t="s">
        <v>133</v>
      </c>
      <c r="G20" s="65"/>
      <c r="H20" s="65" t="s">
        <v>134</v>
      </c>
      <c r="I20" s="65" t="s">
        <v>49</v>
      </c>
      <c r="J20" s="65" t="s">
        <v>83</v>
      </c>
      <c r="K20" s="65" t="s">
        <v>67</v>
      </c>
      <c r="L20" s="65" t="s">
        <v>71</v>
      </c>
      <c r="M20" s="65" t="s">
        <v>52</v>
      </c>
      <c r="N20" s="65">
        <v>200000</v>
      </c>
      <c r="O20" s="65" t="s">
        <v>49</v>
      </c>
      <c r="P20" s="65" t="s">
        <v>53</v>
      </c>
      <c r="Q20" s="65">
        <v>200000</v>
      </c>
      <c r="R20" s="65">
        <v>0</v>
      </c>
      <c r="S20" s="65">
        <v>0</v>
      </c>
      <c r="T20" s="65" t="s">
        <v>49</v>
      </c>
      <c r="U20" s="65">
        <v>200000</v>
      </c>
      <c r="V20" s="65">
        <v>0</v>
      </c>
      <c r="W20" s="65">
        <v>0</v>
      </c>
      <c r="X20" s="65">
        <v>0</v>
      </c>
      <c r="Y20" s="65" t="s">
        <v>54</v>
      </c>
      <c r="Z20" s="65">
        <v>200000</v>
      </c>
      <c r="AA20" s="65" t="s">
        <v>135</v>
      </c>
      <c r="AB20" s="65"/>
      <c r="AC20" s="65" t="s">
        <v>55</v>
      </c>
      <c r="AD20" s="65" t="s">
        <v>136</v>
      </c>
      <c r="AE20" s="65" t="s">
        <v>49</v>
      </c>
      <c r="AF20" s="65"/>
      <c r="AG20" s="65" t="s">
        <v>49</v>
      </c>
      <c r="AH20" s="65"/>
      <c r="AI20" s="65"/>
    </row>
    <row r="21" spans="1:35" s="54" customFormat="1" x14ac:dyDescent="0.35">
      <c r="N21" s="67">
        <f>SUM(N5:N20)</f>
        <v>2960000</v>
      </c>
      <c r="O21" s="67">
        <f t="shared" ref="O21:Z21" si="0">SUM(O5:O20)</f>
        <v>0</v>
      </c>
      <c r="P21" s="67">
        <f t="shared" si="0"/>
        <v>0</v>
      </c>
      <c r="Q21" s="67">
        <f t="shared" si="0"/>
        <v>2960000</v>
      </c>
      <c r="R21" s="67">
        <f t="shared" si="0"/>
        <v>0</v>
      </c>
      <c r="S21" s="67">
        <f t="shared" si="0"/>
        <v>0</v>
      </c>
      <c r="T21" s="67">
        <f t="shared" si="0"/>
        <v>0</v>
      </c>
      <c r="U21" s="67">
        <f t="shared" si="0"/>
        <v>2960000</v>
      </c>
      <c r="V21" s="67">
        <f t="shared" si="0"/>
        <v>0</v>
      </c>
      <c r="W21" s="67">
        <f t="shared" si="0"/>
        <v>0</v>
      </c>
      <c r="X21" s="67">
        <f t="shared" si="0"/>
        <v>0</v>
      </c>
      <c r="Y21" s="67">
        <f t="shared" si="0"/>
        <v>0</v>
      </c>
      <c r="Z21" s="67">
        <f t="shared" si="0"/>
        <v>2960000</v>
      </c>
    </row>
    <row r="22" spans="1:35" s="54" customFormat="1" x14ac:dyDescent="0.35"/>
    <row r="23" spans="1:35" s="54" customFormat="1" x14ac:dyDescent="0.35"/>
    <row r="24" spans="1:35" s="54" customFormat="1" x14ac:dyDescent="0.35"/>
    <row r="25" spans="1:35" s="54" customFormat="1" x14ac:dyDescent="0.35"/>
    <row r="26" spans="1:35" s="54" customFormat="1" x14ac:dyDescent="0.35"/>
    <row r="27" spans="1:35" s="54" customFormat="1" x14ac:dyDescent="0.35"/>
    <row r="28" spans="1:35" s="54" customFormat="1" x14ac:dyDescent="0.35"/>
    <row r="29" spans="1:35" s="54" customFormat="1" x14ac:dyDescent="0.35"/>
    <row r="30" spans="1:35" s="54" customFormat="1" x14ac:dyDescent="0.35"/>
    <row r="31" spans="1:35" s="54" customFormat="1" x14ac:dyDescent="0.35"/>
    <row r="32" spans="1:35" s="54" customFormat="1" x14ac:dyDescent="0.35"/>
    <row r="33" s="54" customFormat="1" x14ac:dyDescent="0.35"/>
    <row r="34" s="54" customFormat="1" x14ac:dyDescent="0.35"/>
    <row r="35" s="54" customFormat="1" x14ac:dyDescent="0.35"/>
    <row r="36" s="54" customFormat="1" x14ac:dyDescent="0.35"/>
    <row r="37" s="54" customFormat="1" x14ac:dyDescent="0.35"/>
    <row r="38" s="54" customFormat="1" x14ac:dyDescent="0.35"/>
    <row r="39" s="54" customFormat="1" x14ac:dyDescent="0.35"/>
    <row r="40" s="54" customFormat="1" x14ac:dyDescent="0.35"/>
    <row r="41" s="54" customFormat="1" x14ac:dyDescent="0.35"/>
    <row r="42" s="54" customFormat="1" x14ac:dyDescent="0.35"/>
    <row r="43" s="54" customFormat="1" x14ac:dyDescent="0.35"/>
    <row r="44" s="54" customFormat="1" x14ac:dyDescent="0.35"/>
    <row r="45" s="54" customFormat="1" x14ac:dyDescent="0.35"/>
    <row r="46" s="54" customFormat="1" x14ac:dyDescent="0.35"/>
    <row r="47" s="54" customFormat="1" x14ac:dyDescent="0.35"/>
    <row r="48" s="54" customFormat="1" x14ac:dyDescent="0.35"/>
    <row r="49" s="54" customFormat="1" x14ac:dyDescent="0.35"/>
    <row r="50" s="54" customFormat="1" x14ac:dyDescent="0.35"/>
    <row r="51" s="54" customFormat="1" x14ac:dyDescent="0.35"/>
    <row r="52" s="54" customFormat="1" x14ac:dyDescent="0.35"/>
    <row r="53" s="54" customFormat="1" x14ac:dyDescent="0.35"/>
    <row r="54" s="54" customFormat="1" x14ac:dyDescent="0.35"/>
    <row r="55" s="54" customFormat="1" x14ac:dyDescent="0.35"/>
    <row r="56" s="54" customFormat="1" x14ac:dyDescent="0.35"/>
    <row r="57" s="54" customFormat="1" x14ac:dyDescent="0.35"/>
    <row r="58" s="54" customFormat="1" x14ac:dyDescent="0.35"/>
    <row r="59" s="54" customFormat="1" x14ac:dyDescent="0.35"/>
    <row r="60" s="54" customFormat="1" x14ac:dyDescent="0.35"/>
    <row r="61" s="54" customFormat="1" x14ac:dyDescent="0.35"/>
    <row r="62" s="54" customFormat="1" x14ac:dyDescent="0.35"/>
    <row r="63" s="54" customFormat="1" x14ac:dyDescent="0.35"/>
    <row r="64" s="54" customFormat="1" x14ac:dyDescent="0.35"/>
    <row r="65" s="54" customFormat="1" x14ac:dyDescent="0.35"/>
    <row r="66" s="54" customFormat="1" x14ac:dyDescent="0.35"/>
    <row r="67" s="54" customFormat="1" x14ac:dyDescent="0.35"/>
    <row r="68" s="54" customFormat="1" x14ac:dyDescent="0.35"/>
    <row r="69" s="54" customFormat="1" x14ac:dyDescent="0.35"/>
    <row r="70" s="54" customFormat="1" x14ac:dyDescent="0.35"/>
    <row r="71" s="54" customFormat="1" x14ac:dyDescent="0.35"/>
    <row r="72" s="54" customFormat="1" x14ac:dyDescent="0.35"/>
    <row r="73" s="54" customFormat="1" x14ac:dyDescent="0.35"/>
    <row r="74" s="54" customFormat="1" x14ac:dyDescent="0.35"/>
    <row r="75" s="54" customFormat="1" x14ac:dyDescent="0.35"/>
    <row r="76" s="54" customFormat="1" x14ac:dyDescent="0.35"/>
    <row r="77" s="54" customFormat="1" x14ac:dyDescent="0.35"/>
    <row r="78" s="54" customFormat="1" x14ac:dyDescent="0.35"/>
    <row r="79" s="54" customFormat="1" x14ac:dyDescent="0.35"/>
    <row r="80" s="54" customFormat="1" x14ac:dyDescent="0.35"/>
    <row r="81" s="54" customFormat="1" x14ac:dyDescent="0.35"/>
    <row r="82" s="54" customFormat="1" x14ac:dyDescent="0.35"/>
    <row r="83" s="54" customFormat="1" x14ac:dyDescent="0.35"/>
    <row r="84" s="54" customFormat="1" x14ac:dyDescent="0.35"/>
    <row r="85" s="54" customFormat="1" x14ac:dyDescent="0.35"/>
    <row r="86" s="54" customFormat="1" x14ac:dyDescent="0.35"/>
    <row r="87" s="54" customFormat="1" x14ac:dyDescent="0.35"/>
    <row r="88" s="54" customFormat="1" x14ac:dyDescent="0.35"/>
    <row r="89" s="54" customFormat="1" x14ac:dyDescent="0.35"/>
    <row r="90" s="54" customFormat="1" x14ac:dyDescent="0.35"/>
    <row r="91" s="54" customFormat="1" x14ac:dyDescent="0.35"/>
    <row r="92" s="54" customFormat="1" x14ac:dyDescent="0.35"/>
    <row r="93" s="54" customFormat="1" x14ac:dyDescent="0.35"/>
    <row r="94" s="54" customFormat="1" x14ac:dyDescent="0.35"/>
    <row r="95" s="54" customFormat="1" x14ac:dyDescent="0.35"/>
    <row r="96" s="54" customFormat="1" x14ac:dyDescent="0.35"/>
    <row r="97" s="54" customFormat="1" x14ac:dyDescent="0.35"/>
    <row r="98" s="54" customFormat="1" x14ac:dyDescent="0.35"/>
    <row r="99" s="54" customFormat="1" x14ac:dyDescent="0.35"/>
    <row r="100" s="54" customFormat="1" x14ac:dyDescent="0.35"/>
    <row r="101" s="54" customFormat="1" x14ac:dyDescent="0.35"/>
    <row r="102" s="54" customFormat="1" x14ac:dyDescent="0.35"/>
    <row r="103" s="54" customFormat="1" x14ac:dyDescent="0.35"/>
    <row r="104" s="54" customFormat="1" x14ac:dyDescent="0.35"/>
    <row r="105" s="54" customFormat="1" x14ac:dyDescent="0.35"/>
    <row r="106" s="54" customFormat="1" x14ac:dyDescent="0.35"/>
    <row r="107" s="54" customFormat="1" x14ac:dyDescent="0.35"/>
    <row r="108" s="54" customFormat="1" x14ac:dyDescent="0.35"/>
    <row r="109" s="54" customFormat="1" x14ac:dyDescent="0.35"/>
    <row r="110" s="54" customFormat="1" x14ac:dyDescent="0.35"/>
    <row r="111" s="54" customFormat="1" x14ac:dyDescent="0.35"/>
    <row r="112" s="54" customFormat="1" x14ac:dyDescent="0.35"/>
    <row r="113" s="54" customFormat="1" x14ac:dyDescent="0.35"/>
    <row r="114" s="54" customFormat="1" x14ac:dyDescent="0.35"/>
    <row r="115" s="54" customFormat="1" x14ac:dyDescent="0.35"/>
    <row r="116" s="54" customFormat="1" x14ac:dyDescent="0.35"/>
    <row r="117" s="54" customFormat="1" x14ac:dyDescent="0.35"/>
    <row r="118" s="54" customFormat="1" x14ac:dyDescent="0.35"/>
    <row r="119" s="54" customFormat="1" x14ac:dyDescent="0.35"/>
    <row r="120" s="54" customFormat="1" x14ac:dyDescent="0.35"/>
    <row r="121" s="54" customFormat="1" x14ac:dyDescent="0.35"/>
    <row r="122" s="54" customFormat="1" x14ac:dyDescent="0.35"/>
    <row r="123" s="54" customFormat="1" x14ac:dyDescent="0.35"/>
    <row r="124" s="54" customFormat="1" x14ac:dyDescent="0.35"/>
    <row r="125" s="54" customFormat="1" x14ac:dyDescent="0.35"/>
    <row r="126" s="54" customFormat="1" x14ac:dyDescent="0.35"/>
    <row r="127" s="54" customFormat="1" x14ac:dyDescent="0.35"/>
    <row r="128" s="54" customFormat="1" x14ac:dyDescent="0.35"/>
    <row r="129" s="54" customFormat="1" x14ac:dyDescent="0.35"/>
    <row r="130" s="54" customFormat="1" x14ac:dyDescent="0.35"/>
    <row r="131" s="54" customFormat="1" x14ac:dyDescent="0.35"/>
    <row r="132" s="54" customFormat="1" x14ac:dyDescent="0.35"/>
    <row r="133" s="54" customFormat="1" x14ac:dyDescent="0.35"/>
    <row r="134" s="54" customFormat="1" x14ac:dyDescent="0.35"/>
    <row r="135" s="54" customFormat="1" x14ac:dyDescent="0.35"/>
    <row r="136" s="54" customFormat="1" x14ac:dyDescent="0.35"/>
    <row r="137" s="54" customFormat="1" x14ac:dyDescent="0.35"/>
    <row r="138" s="54" customFormat="1" x14ac:dyDescent="0.35"/>
    <row r="139" s="54" customFormat="1" x14ac:dyDescent="0.35"/>
    <row r="140" s="54" customFormat="1" x14ac:dyDescent="0.35"/>
    <row r="141" s="54" customFormat="1" x14ac:dyDescent="0.35"/>
    <row r="142" s="54" customFormat="1" x14ac:dyDescent="0.35"/>
    <row r="143" s="54" customFormat="1" x14ac:dyDescent="0.35"/>
    <row r="144" s="54" customFormat="1" x14ac:dyDescent="0.35"/>
    <row r="145" s="54" customFormat="1" x14ac:dyDescent="0.35"/>
    <row r="146" s="54" customFormat="1" x14ac:dyDescent="0.35"/>
    <row r="147" s="54" customFormat="1" x14ac:dyDescent="0.35"/>
    <row r="148" s="54" customFormat="1" x14ac:dyDescent="0.35"/>
    <row r="149" s="54" customFormat="1" x14ac:dyDescent="0.35"/>
    <row r="150" s="54" customFormat="1" x14ac:dyDescent="0.35"/>
    <row r="151" s="54" customFormat="1" x14ac:dyDescent="0.35"/>
    <row r="152" s="54" customFormat="1" x14ac:dyDescent="0.35"/>
    <row r="153" s="54" customFormat="1" x14ac:dyDescent="0.35"/>
    <row r="154" s="54" customFormat="1" x14ac:dyDescent="0.35"/>
    <row r="155" s="54" customFormat="1" x14ac:dyDescent="0.35"/>
    <row r="156" s="54" customFormat="1" x14ac:dyDescent="0.35"/>
    <row r="157" s="54" customFormat="1" x14ac:dyDescent="0.35"/>
    <row r="158" s="54" customFormat="1" x14ac:dyDescent="0.35"/>
    <row r="159" s="54" customFormat="1" x14ac:dyDescent="0.35"/>
    <row r="160" s="54" customFormat="1" x14ac:dyDescent="0.35"/>
    <row r="161" s="54" customFormat="1" x14ac:dyDescent="0.35"/>
    <row r="162" s="54" customFormat="1" x14ac:dyDescent="0.35"/>
    <row r="163" s="54" customFormat="1" x14ac:dyDescent="0.35"/>
    <row r="164" s="54" customFormat="1" x14ac:dyDescent="0.35"/>
    <row r="165" s="54" customFormat="1" x14ac:dyDescent="0.35"/>
    <row r="166" s="54" customFormat="1" x14ac:dyDescent="0.35"/>
    <row r="167" s="54" customFormat="1" x14ac:dyDescent="0.35"/>
    <row r="168" s="54" customFormat="1" x14ac:dyDescent="0.35"/>
    <row r="169" s="54" customFormat="1" x14ac:dyDescent="0.35"/>
    <row r="170" s="54" customFormat="1" x14ac:dyDescent="0.35"/>
    <row r="171" s="54" customFormat="1" x14ac:dyDescent="0.35"/>
    <row r="172" s="54" customFormat="1" x14ac:dyDescent="0.35"/>
    <row r="173" s="54" customFormat="1" x14ac:dyDescent="0.35"/>
    <row r="174" s="54" customFormat="1" x14ac:dyDescent="0.35"/>
    <row r="175" s="54" customFormat="1" x14ac:dyDescent="0.35"/>
    <row r="176" s="54" customFormat="1" x14ac:dyDescent="0.35"/>
    <row r="177" s="54" customFormat="1" x14ac:dyDescent="0.35"/>
    <row r="178" s="54" customFormat="1" x14ac:dyDescent="0.35"/>
    <row r="179" s="54" customFormat="1" x14ac:dyDescent="0.35"/>
    <row r="180" s="54" customFormat="1" x14ac:dyDescent="0.35"/>
    <row r="181" s="54" customFormat="1" x14ac:dyDescent="0.35"/>
    <row r="182" s="54" customFormat="1" x14ac:dyDescent="0.35"/>
    <row r="183" s="54" customFormat="1" x14ac:dyDescent="0.35"/>
    <row r="184" s="54" customFormat="1" x14ac:dyDescent="0.35"/>
    <row r="185" s="54" customFormat="1" x14ac:dyDescent="0.35"/>
    <row r="186" s="54" customFormat="1" x14ac:dyDescent="0.35"/>
    <row r="187" s="54" customFormat="1" x14ac:dyDescent="0.35"/>
    <row r="188" s="54" customFormat="1" x14ac:dyDescent="0.35"/>
    <row r="189" s="54" customFormat="1" x14ac:dyDescent="0.35"/>
    <row r="190" s="54" customFormat="1" x14ac:dyDescent="0.35"/>
    <row r="191" s="54" customFormat="1" x14ac:dyDescent="0.35"/>
    <row r="192" s="54" customFormat="1" x14ac:dyDescent="0.35"/>
    <row r="193" s="54" customFormat="1" x14ac:dyDescent="0.35"/>
    <row r="194" s="54" customFormat="1" x14ac:dyDescent="0.35"/>
    <row r="195" s="54" customFormat="1" x14ac:dyDescent="0.35"/>
    <row r="196" s="54" customFormat="1" x14ac:dyDescent="0.35"/>
    <row r="197" s="54" customFormat="1" x14ac:dyDescent="0.35"/>
    <row r="198" s="54" customFormat="1" x14ac:dyDescent="0.35"/>
    <row r="199" s="54" customFormat="1" x14ac:dyDescent="0.35"/>
    <row r="200" s="54" customFormat="1" x14ac:dyDescent="0.35"/>
    <row r="201" s="54" customFormat="1" x14ac:dyDescent="0.35"/>
    <row r="202" s="54" customFormat="1" x14ac:dyDescent="0.35"/>
    <row r="203" s="54" customFormat="1" x14ac:dyDescent="0.35"/>
    <row r="204" s="54" customFormat="1" x14ac:dyDescent="0.35"/>
    <row r="205" s="54" customFormat="1" x14ac:dyDescent="0.35"/>
    <row r="206" s="54" customFormat="1" x14ac:dyDescent="0.35"/>
    <row r="207" s="54" customFormat="1" x14ac:dyDescent="0.35"/>
    <row r="208" s="54" customFormat="1" x14ac:dyDescent="0.35"/>
    <row r="209" s="54" customFormat="1" x14ac:dyDescent="0.35"/>
    <row r="210" s="54" customFormat="1" x14ac:dyDescent="0.35"/>
    <row r="211" s="54" customFormat="1" x14ac:dyDescent="0.35"/>
    <row r="212" s="54" customFormat="1" x14ac:dyDescent="0.35"/>
    <row r="213" s="54" customFormat="1" x14ac:dyDescent="0.35"/>
    <row r="214" s="54" customFormat="1" x14ac:dyDescent="0.35"/>
  </sheetData>
  <autoFilter ref="A4:AB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J31"/>
  <sheetViews>
    <sheetView zoomScaleNormal="100" workbookViewId="0">
      <pane xSplit="13" ySplit="4" topLeftCell="Z20" activePane="bottomRight" state="frozen"/>
      <selection pane="topRight" activeCell="N1" sqref="N1"/>
      <selection pane="bottomLeft" activeCell="A5" sqref="A5"/>
      <selection pane="bottomRight" activeCell="A5" sqref="A5:XFD215"/>
    </sheetView>
  </sheetViews>
  <sheetFormatPr defaultRowHeight="14.5" x14ac:dyDescent="0.35"/>
  <cols>
    <col min="1" max="1" width="5.1796875" style="66" customWidth="1"/>
    <col min="2" max="2" width="23.54296875" style="69" bestFit="1" customWidth="1"/>
    <col min="3" max="3" width="12.1796875" style="66" bestFit="1" customWidth="1"/>
    <col min="4" max="4" width="11.08984375" style="66" customWidth="1"/>
    <col min="5" max="5" width="11.90625" style="66" customWidth="1"/>
    <col min="6" max="6" width="12.81640625" style="66" bestFit="1" customWidth="1"/>
    <col min="7" max="7" width="14.90625" style="66" customWidth="1"/>
    <col min="8" max="10" width="14.26953125" style="66" hidden="1" customWidth="1"/>
    <col min="11" max="11" width="10.453125" style="69" customWidth="1"/>
    <col min="12" max="12" width="14" style="66" customWidth="1"/>
    <col min="13" max="13" width="9.90625" style="66" customWidth="1"/>
    <col min="14" max="14" width="11.08984375" style="66" customWidth="1"/>
    <col min="15" max="15" width="14.36328125" style="4" bestFit="1" customWidth="1"/>
    <col min="16" max="16" width="14.26953125" style="4" hidden="1" customWidth="1"/>
    <col min="17" max="17" width="20.08984375" style="4" bestFit="1" customWidth="1"/>
    <col min="18" max="18" width="13.54296875" style="4" customWidth="1"/>
    <col min="19" max="19" width="8.90625" style="4" customWidth="1"/>
    <col min="20" max="21" width="14.26953125" style="4" customWidth="1"/>
    <col min="22" max="22" width="11.81640625" style="4" customWidth="1"/>
    <col min="23" max="23" width="14.36328125" style="4" bestFit="1" customWidth="1"/>
    <col min="24" max="25" width="14.26953125" style="4" hidden="1" customWidth="1"/>
    <col min="26" max="26" width="8.54296875" style="4" customWidth="1"/>
    <col min="27" max="27" width="11.36328125" style="4" customWidth="1"/>
    <col min="28" max="28" width="17.7265625" style="66" customWidth="1"/>
    <col min="29" max="29" width="14.26953125" style="66" customWidth="1"/>
    <col min="30" max="30" width="16.6328125" style="66" customWidth="1"/>
    <col min="31" max="31" width="24.36328125" style="66" bestFit="1" customWidth="1"/>
    <col min="32" max="32" width="14.7265625" style="66" bestFit="1" customWidth="1"/>
    <col min="33" max="33" width="27.1796875" style="66" bestFit="1" customWidth="1"/>
    <col min="34" max="34" width="14.36328125" style="66" bestFit="1" customWidth="1"/>
    <col min="35" max="35" width="23.1796875" style="66" customWidth="1"/>
    <col min="36" max="36" width="17.08984375" style="66" bestFit="1" customWidth="1"/>
    <col min="37" max="16384" width="8.7265625" style="66"/>
  </cols>
  <sheetData>
    <row r="1" spans="1:36" x14ac:dyDescent="0.35">
      <c r="A1" s="68" t="s">
        <v>137</v>
      </c>
      <c r="C1" s="68"/>
      <c r="D1" s="70" t="s">
        <v>138</v>
      </c>
      <c r="E1" s="71" t="s">
        <v>139</v>
      </c>
      <c r="F1" s="68"/>
      <c r="G1" s="68"/>
      <c r="H1" s="68"/>
      <c r="I1" s="69"/>
      <c r="K1" s="66"/>
      <c r="M1" s="4"/>
      <c r="N1" s="4"/>
      <c r="Z1" s="66"/>
      <c r="AA1" s="66"/>
    </row>
    <row r="2" spans="1:36" x14ac:dyDescent="0.35">
      <c r="A2" s="68" t="s">
        <v>140</v>
      </c>
      <c r="C2" s="68"/>
      <c r="D2" s="68"/>
      <c r="E2" s="68"/>
      <c r="F2" s="68"/>
      <c r="G2" s="68"/>
      <c r="H2" s="68"/>
      <c r="I2" s="69"/>
      <c r="K2" s="66"/>
      <c r="M2" s="4"/>
      <c r="N2" s="4"/>
      <c r="Z2" s="66"/>
      <c r="AA2" s="66"/>
    </row>
    <row r="3" spans="1:36" x14ac:dyDescent="0.35">
      <c r="B3" s="72"/>
      <c r="C3" s="72"/>
      <c r="D3" s="72"/>
      <c r="E3" s="72"/>
      <c r="F3" s="72"/>
      <c r="G3" s="72"/>
      <c r="H3" s="72"/>
      <c r="I3" s="72"/>
      <c r="J3" s="72"/>
    </row>
    <row r="4" spans="1:36" s="73" customFormat="1" ht="26.5" customHeight="1" x14ac:dyDescent="0.35">
      <c r="A4" s="73" t="s">
        <v>141</v>
      </c>
      <c r="B4" s="74" t="s">
        <v>19</v>
      </c>
      <c r="C4" s="75" t="s">
        <v>20</v>
      </c>
      <c r="D4" s="75" t="s">
        <v>21</v>
      </c>
      <c r="E4" s="75" t="s">
        <v>22</v>
      </c>
      <c r="F4" s="76" t="s">
        <v>23</v>
      </c>
      <c r="G4" s="77" t="s">
        <v>24</v>
      </c>
      <c r="H4" s="75" t="s">
        <v>25</v>
      </c>
      <c r="I4" s="75" t="s">
        <v>26</v>
      </c>
      <c r="J4" s="75" t="s">
        <v>27</v>
      </c>
      <c r="K4" s="78" t="s">
        <v>2</v>
      </c>
      <c r="L4" s="77" t="s">
        <v>28</v>
      </c>
      <c r="M4" s="75" t="s">
        <v>29</v>
      </c>
      <c r="N4" s="77" t="s">
        <v>30</v>
      </c>
      <c r="O4" s="59" t="s">
        <v>31</v>
      </c>
      <c r="P4" s="59" t="s">
        <v>32</v>
      </c>
      <c r="Q4" s="62" t="s">
        <v>33</v>
      </c>
      <c r="R4" s="61" t="s">
        <v>34</v>
      </c>
      <c r="S4" s="59" t="s">
        <v>35</v>
      </c>
      <c r="T4" s="59" t="s">
        <v>36</v>
      </c>
      <c r="U4" s="59" t="s">
        <v>37</v>
      </c>
      <c r="V4" s="62" t="s">
        <v>38</v>
      </c>
      <c r="W4" s="62" t="s">
        <v>39</v>
      </c>
      <c r="X4" s="59" t="s">
        <v>40</v>
      </c>
      <c r="Y4" s="59" t="s">
        <v>41</v>
      </c>
      <c r="Z4" s="59" t="s">
        <v>42</v>
      </c>
      <c r="AA4" s="63" t="s">
        <v>43</v>
      </c>
      <c r="AB4" s="77" t="s">
        <v>44</v>
      </c>
      <c r="AC4" s="75" t="s">
        <v>45</v>
      </c>
      <c r="AD4" s="79" t="s">
        <v>142</v>
      </c>
      <c r="AE4" s="77" t="s">
        <v>143</v>
      </c>
      <c r="AF4" s="79" t="s">
        <v>144</v>
      </c>
      <c r="AG4" s="77" t="s">
        <v>145</v>
      </c>
      <c r="AH4" s="79" t="s">
        <v>146</v>
      </c>
      <c r="AI4" s="77" t="s">
        <v>147</v>
      </c>
      <c r="AJ4" s="79" t="s">
        <v>148</v>
      </c>
    </row>
    <row r="5" spans="1:36" x14ac:dyDescent="0.35">
      <c r="A5" s="65">
        <v>1</v>
      </c>
      <c r="B5" s="65" t="s">
        <v>174</v>
      </c>
      <c r="C5" s="65" t="s">
        <v>46</v>
      </c>
      <c r="D5" s="65" t="s">
        <v>56</v>
      </c>
      <c r="E5" s="65">
        <v>5299</v>
      </c>
      <c r="F5" s="65" t="s">
        <v>48</v>
      </c>
      <c r="G5" s="65" t="s">
        <v>158</v>
      </c>
      <c r="H5" s="65" t="s">
        <v>159</v>
      </c>
      <c r="I5" s="65" t="s">
        <v>160</v>
      </c>
      <c r="J5" s="65" t="s">
        <v>161</v>
      </c>
      <c r="K5" s="65" t="s">
        <v>83</v>
      </c>
      <c r="L5" s="65" t="s">
        <v>50</v>
      </c>
      <c r="M5" s="65" t="s">
        <v>51</v>
      </c>
      <c r="N5" s="65" t="s">
        <v>52</v>
      </c>
      <c r="O5" s="65">
        <v>150000</v>
      </c>
      <c r="P5" s="65" t="s">
        <v>175</v>
      </c>
      <c r="Q5" s="65" t="s">
        <v>149</v>
      </c>
      <c r="R5" s="65">
        <v>150000</v>
      </c>
      <c r="S5" s="65">
        <v>0</v>
      </c>
      <c r="T5" s="65">
        <v>0</v>
      </c>
      <c r="U5" s="65" t="s">
        <v>49</v>
      </c>
      <c r="V5" s="65">
        <v>150000</v>
      </c>
      <c r="W5" s="65">
        <v>150000</v>
      </c>
      <c r="X5" s="65">
        <v>0</v>
      </c>
      <c r="Y5" s="65">
        <v>0</v>
      </c>
      <c r="Z5" s="65" t="s">
        <v>54</v>
      </c>
      <c r="AA5" s="80">
        <v>150000</v>
      </c>
      <c r="AB5" s="65" t="s">
        <v>176</v>
      </c>
      <c r="AC5" s="65"/>
      <c r="AD5" s="65" t="s">
        <v>158</v>
      </c>
      <c r="AE5" s="65" t="s">
        <v>177</v>
      </c>
      <c r="AF5" s="65" t="s">
        <v>49</v>
      </c>
      <c r="AG5" s="65">
        <v>0</v>
      </c>
      <c r="AH5" s="65" t="s">
        <v>49</v>
      </c>
      <c r="AI5" s="65"/>
      <c r="AJ5" s="65"/>
    </row>
    <row r="6" spans="1:36" x14ac:dyDescent="0.35">
      <c r="A6" s="65">
        <v>2</v>
      </c>
      <c r="B6" s="65" t="s">
        <v>178</v>
      </c>
      <c r="C6" s="65" t="s">
        <v>46</v>
      </c>
      <c r="D6" s="65" t="s">
        <v>47</v>
      </c>
      <c r="E6" s="65">
        <v>7470</v>
      </c>
      <c r="F6" s="65" t="s">
        <v>48</v>
      </c>
      <c r="G6" s="65" t="s">
        <v>179</v>
      </c>
      <c r="H6" s="65" t="s">
        <v>180</v>
      </c>
      <c r="I6" s="65" t="s">
        <v>181</v>
      </c>
      <c r="J6" s="65" t="s">
        <v>182</v>
      </c>
      <c r="K6" s="65" t="s">
        <v>83</v>
      </c>
      <c r="L6" s="65" t="s">
        <v>51</v>
      </c>
      <c r="M6" s="65" t="s">
        <v>58</v>
      </c>
      <c r="N6" s="65" t="s">
        <v>52</v>
      </c>
      <c r="O6" s="65">
        <v>150000</v>
      </c>
      <c r="P6" s="65" t="s">
        <v>183</v>
      </c>
      <c r="Q6" s="65" t="s">
        <v>149</v>
      </c>
      <c r="R6" s="65">
        <v>150000</v>
      </c>
      <c r="S6" s="65">
        <v>0</v>
      </c>
      <c r="T6" s="65">
        <v>0</v>
      </c>
      <c r="U6" s="65" t="s">
        <v>49</v>
      </c>
      <c r="V6" s="65">
        <v>150000</v>
      </c>
      <c r="W6" s="65">
        <v>150000</v>
      </c>
      <c r="X6" s="65">
        <v>0</v>
      </c>
      <c r="Y6" s="65">
        <v>0</v>
      </c>
      <c r="Z6" s="65" t="s">
        <v>54</v>
      </c>
      <c r="AA6" s="80">
        <v>150000</v>
      </c>
      <c r="AB6" s="65" t="s">
        <v>184</v>
      </c>
      <c r="AC6" s="65"/>
      <c r="AD6" s="65" t="s">
        <v>179</v>
      </c>
      <c r="AE6" s="65" t="s">
        <v>185</v>
      </c>
      <c r="AF6" s="65" t="s">
        <v>49</v>
      </c>
      <c r="AG6" s="65">
        <v>0</v>
      </c>
      <c r="AH6" s="65" t="s">
        <v>49</v>
      </c>
      <c r="AI6" s="65"/>
      <c r="AJ6" s="65"/>
    </row>
    <row r="7" spans="1:36" x14ac:dyDescent="0.35">
      <c r="A7" s="65">
        <v>3</v>
      </c>
      <c r="B7" s="65" t="s">
        <v>186</v>
      </c>
      <c r="C7" s="65" t="s">
        <v>46</v>
      </c>
      <c r="D7" s="65" t="s">
        <v>57</v>
      </c>
      <c r="E7" s="65">
        <v>7471</v>
      </c>
      <c r="F7" s="65" t="s">
        <v>48</v>
      </c>
      <c r="G7" s="65" t="s">
        <v>179</v>
      </c>
      <c r="H7" s="65" t="s">
        <v>180</v>
      </c>
      <c r="I7" s="65" t="s">
        <v>181</v>
      </c>
      <c r="J7" s="65" t="s">
        <v>182</v>
      </c>
      <c r="K7" s="65" t="s">
        <v>83</v>
      </c>
      <c r="L7" s="65" t="s">
        <v>51</v>
      </c>
      <c r="M7" s="65" t="s">
        <v>58</v>
      </c>
      <c r="N7" s="65" t="s">
        <v>52</v>
      </c>
      <c r="O7" s="65">
        <v>150000</v>
      </c>
      <c r="P7" s="65" t="s">
        <v>183</v>
      </c>
      <c r="Q7" s="65" t="s">
        <v>149</v>
      </c>
      <c r="R7" s="65">
        <v>150000</v>
      </c>
      <c r="S7" s="65">
        <v>0</v>
      </c>
      <c r="T7" s="65">
        <v>0</v>
      </c>
      <c r="U7" s="65" t="s">
        <v>49</v>
      </c>
      <c r="V7" s="65">
        <v>150000</v>
      </c>
      <c r="W7" s="65">
        <v>150000</v>
      </c>
      <c r="X7" s="65">
        <v>0</v>
      </c>
      <c r="Y7" s="65">
        <v>0</v>
      </c>
      <c r="Z7" s="65" t="s">
        <v>54</v>
      </c>
      <c r="AA7" s="80">
        <v>150000</v>
      </c>
      <c r="AB7" s="65" t="s">
        <v>187</v>
      </c>
      <c r="AC7" s="65"/>
      <c r="AD7" s="65" t="s">
        <v>179</v>
      </c>
      <c r="AE7" s="65" t="s">
        <v>185</v>
      </c>
      <c r="AF7" s="65" t="s">
        <v>49</v>
      </c>
      <c r="AG7" s="65">
        <v>0</v>
      </c>
      <c r="AH7" s="65" t="s">
        <v>49</v>
      </c>
      <c r="AI7" s="65"/>
      <c r="AJ7" s="65"/>
    </row>
    <row r="8" spans="1:36" x14ac:dyDescent="0.35">
      <c r="A8" s="65">
        <v>4</v>
      </c>
      <c r="B8" s="65" t="s">
        <v>188</v>
      </c>
      <c r="C8" s="65" t="s">
        <v>46</v>
      </c>
      <c r="D8" s="65" t="s">
        <v>56</v>
      </c>
      <c r="E8" s="65">
        <v>5299</v>
      </c>
      <c r="F8" s="65" t="s">
        <v>48</v>
      </c>
      <c r="G8" s="65" t="s">
        <v>158</v>
      </c>
      <c r="H8" s="65" t="s">
        <v>159</v>
      </c>
      <c r="I8" s="65" t="s">
        <v>160</v>
      </c>
      <c r="J8" s="65" t="s">
        <v>161</v>
      </c>
      <c r="K8" s="65" t="s">
        <v>83</v>
      </c>
      <c r="L8" s="65" t="s">
        <v>51</v>
      </c>
      <c r="M8" s="65" t="s">
        <v>58</v>
      </c>
      <c r="N8" s="65" t="s">
        <v>52</v>
      </c>
      <c r="O8" s="65">
        <v>150000</v>
      </c>
      <c r="P8" s="65" t="s">
        <v>175</v>
      </c>
      <c r="Q8" s="65" t="s">
        <v>149</v>
      </c>
      <c r="R8" s="65">
        <v>150000</v>
      </c>
      <c r="S8" s="65">
        <v>0</v>
      </c>
      <c r="T8" s="65">
        <v>0</v>
      </c>
      <c r="U8" s="65" t="s">
        <v>49</v>
      </c>
      <c r="V8" s="65">
        <v>150000</v>
      </c>
      <c r="W8" s="65">
        <v>150000</v>
      </c>
      <c r="X8" s="65">
        <v>0</v>
      </c>
      <c r="Y8" s="65">
        <v>0</v>
      </c>
      <c r="Z8" s="65" t="s">
        <v>54</v>
      </c>
      <c r="AA8" s="80">
        <v>150000</v>
      </c>
      <c r="AB8" s="65" t="s">
        <v>189</v>
      </c>
      <c r="AC8" s="65"/>
      <c r="AD8" s="65" t="s">
        <v>158</v>
      </c>
      <c r="AE8" s="65" t="s">
        <v>177</v>
      </c>
      <c r="AF8" s="65" t="s">
        <v>49</v>
      </c>
      <c r="AG8" s="65">
        <v>0</v>
      </c>
      <c r="AH8" s="65" t="s">
        <v>49</v>
      </c>
      <c r="AI8" s="65"/>
      <c r="AJ8" s="65"/>
    </row>
    <row r="9" spans="1:36" x14ac:dyDescent="0.35">
      <c r="A9" s="65">
        <v>5</v>
      </c>
      <c r="B9" s="65" t="s">
        <v>190</v>
      </c>
      <c r="C9" s="65" t="s">
        <v>46</v>
      </c>
      <c r="D9" s="65" t="s">
        <v>63</v>
      </c>
      <c r="E9" s="65">
        <v>7472</v>
      </c>
      <c r="F9" s="65" t="s">
        <v>48</v>
      </c>
      <c r="G9" s="65" t="s">
        <v>191</v>
      </c>
      <c r="H9" s="65" t="s">
        <v>192</v>
      </c>
      <c r="I9" s="65" t="s">
        <v>193</v>
      </c>
      <c r="J9" s="65" t="s">
        <v>191</v>
      </c>
      <c r="K9" s="65" t="s">
        <v>83</v>
      </c>
      <c r="L9" s="65" t="s">
        <v>51</v>
      </c>
      <c r="M9" s="65" t="s">
        <v>58</v>
      </c>
      <c r="N9" s="65" t="s">
        <v>52</v>
      </c>
      <c r="O9" s="65">
        <v>150000</v>
      </c>
      <c r="P9" s="65" t="s">
        <v>194</v>
      </c>
      <c r="Q9" s="65" t="s">
        <v>149</v>
      </c>
      <c r="R9" s="65">
        <v>150000</v>
      </c>
      <c r="S9" s="65">
        <v>0</v>
      </c>
      <c r="T9" s="65">
        <v>0</v>
      </c>
      <c r="U9" s="65" t="s">
        <v>49</v>
      </c>
      <c r="V9" s="65">
        <v>150000</v>
      </c>
      <c r="W9" s="65">
        <v>150000</v>
      </c>
      <c r="X9" s="65">
        <v>0</v>
      </c>
      <c r="Y9" s="65">
        <v>0</v>
      </c>
      <c r="Z9" s="65" t="s">
        <v>54</v>
      </c>
      <c r="AA9" s="80">
        <v>150000</v>
      </c>
      <c r="AB9" s="65" t="s">
        <v>195</v>
      </c>
      <c r="AC9" s="65"/>
      <c r="AD9" s="65" t="s">
        <v>191</v>
      </c>
      <c r="AE9" s="65" t="s">
        <v>196</v>
      </c>
      <c r="AF9" s="65" t="s">
        <v>49</v>
      </c>
      <c r="AG9" s="65">
        <v>0</v>
      </c>
      <c r="AH9" s="65" t="s">
        <v>49</v>
      </c>
      <c r="AI9" s="65"/>
      <c r="AJ9" s="65"/>
    </row>
    <row r="10" spans="1:36" x14ac:dyDescent="0.35">
      <c r="A10" s="65">
        <v>6</v>
      </c>
      <c r="B10" s="65" t="s">
        <v>197</v>
      </c>
      <c r="C10" s="65" t="s">
        <v>46</v>
      </c>
      <c r="D10" s="65" t="s">
        <v>56</v>
      </c>
      <c r="E10" s="65">
        <v>5299</v>
      </c>
      <c r="F10" s="65" t="s">
        <v>48</v>
      </c>
      <c r="G10" s="65" t="s">
        <v>198</v>
      </c>
      <c r="H10" s="65" t="s">
        <v>199</v>
      </c>
      <c r="I10" s="65" t="s">
        <v>200</v>
      </c>
      <c r="J10" s="65" t="s">
        <v>201</v>
      </c>
      <c r="K10" s="65" t="s">
        <v>83</v>
      </c>
      <c r="L10" s="65" t="s">
        <v>58</v>
      </c>
      <c r="M10" s="65" t="s">
        <v>60</v>
      </c>
      <c r="N10" s="65" t="s">
        <v>52</v>
      </c>
      <c r="O10" s="65">
        <v>150000</v>
      </c>
      <c r="P10" s="65" t="s">
        <v>202</v>
      </c>
      <c r="Q10" s="65" t="s">
        <v>149</v>
      </c>
      <c r="R10" s="65">
        <v>150000</v>
      </c>
      <c r="S10" s="65">
        <v>0</v>
      </c>
      <c r="T10" s="65">
        <v>0</v>
      </c>
      <c r="U10" s="65" t="s">
        <v>49</v>
      </c>
      <c r="V10" s="65">
        <v>150000</v>
      </c>
      <c r="W10" s="65">
        <v>150000</v>
      </c>
      <c r="X10" s="65">
        <v>0</v>
      </c>
      <c r="Y10" s="65">
        <v>0</v>
      </c>
      <c r="Z10" s="65" t="s">
        <v>54</v>
      </c>
      <c r="AA10" s="80">
        <v>150000</v>
      </c>
      <c r="AB10" s="65" t="s">
        <v>203</v>
      </c>
      <c r="AC10" s="65"/>
      <c r="AD10" s="65" t="s">
        <v>198</v>
      </c>
      <c r="AE10" s="65" t="s">
        <v>204</v>
      </c>
      <c r="AF10" s="65" t="s">
        <v>49</v>
      </c>
      <c r="AG10" s="65">
        <v>0</v>
      </c>
      <c r="AH10" s="65" t="s">
        <v>49</v>
      </c>
      <c r="AI10" s="65"/>
      <c r="AJ10" s="65"/>
    </row>
    <row r="11" spans="1:36" x14ac:dyDescent="0.35">
      <c r="A11" s="65">
        <v>7</v>
      </c>
      <c r="B11" s="65" t="s">
        <v>205</v>
      </c>
      <c r="C11" s="65" t="s">
        <v>46</v>
      </c>
      <c r="D11" s="65" t="s">
        <v>47</v>
      </c>
      <c r="E11" s="65">
        <v>7470</v>
      </c>
      <c r="F11" s="65" t="s">
        <v>48</v>
      </c>
      <c r="G11" s="65" t="s">
        <v>179</v>
      </c>
      <c r="H11" s="65" t="s">
        <v>180</v>
      </c>
      <c r="I11" s="65" t="s">
        <v>181</v>
      </c>
      <c r="J11" s="65" t="s">
        <v>182</v>
      </c>
      <c r="K11" s="65" t="s">
        <v>83</v>
      </c>
      <c r="L11" s="65" t="s">
        <v>58</v>
      </c>
      <c r="M11" s="65" t="s">
        <v>60</v>
      </c>
      <c r="N11" s="65" t="s">
        <v>52</v>
      </c>
      <c r="O11" s="65">
        <v>150000</v>
      </c>
      <c r="P11" s="65" t="s">
        <v>183</v>
      </c>
      <c r="Q11" s="65" t="s">
        <v>149</v>
      </c>
      <c r="R11" s="65">
        <v>150000</v>
      </c>
      <c r="S11" s="65">
        <v>0</v>
      </c>
      <c r="T11" s="65">
        <v>0</v>
      </c>
      <c r="U11" s="65" t="s">
        <v>49</v>
      </c>
      <c r="V11" s="65">
        <v>150000</v>
      </c>
      <c r="W11" s="65">
        <v>150000</v>
      </c>
      <c r="X11" s="65">
        <v>0</v>
      </c>
      <c r="Y11" s="65">
        <v>0</v>
      </c>
      <c r="Z11" s="65" t="s">
        <v>54</v>
      </c>
      <c r="AA11" s="80">
        <v>150000</v>
      </c>
      <c r="AB11" s="65" t="s">
        <v>206</v>
      </c>
      <c r="AC11" s="65"/>
      <c r="AD11" s="65" t="s">
        <v>179</v>
      </c>
      <c r="AE11" s="65" t="s">
        <v>185</v>
      </c>
      <c r="AF11" s="65" t="s">
        <v>49</v>
      </c>
      <c r="AG11" s="65">
        <v>0</v>
      </c>
      <c r="AH11" s="65" t="s">
        <v>49</v>
      </c>
      <c r="AI11" s="65"/>
      <c r="AJ11" s="65"/>
    </row>
    <row r="12" spans="1:36" x14ac:dyDescent="0.35">
      <c r="A12" s="65">
        <v>8</v>
      </c>
      <c r="B12" s="65" t="s">
        <v>207</v>
      </c>
      <c r="C12" s="65" t="s">
        <v>46</v>
      </c>
      <c r="D12" s="65" t="s">
        <v>57</v>
      </c>
      <c r="E12" s="65">
        <v>7471</v>
      </c>
      <c r="F12" s="65" t="s">
        <v>48</v>
      </c>
      <c r="G12" s="65" t="s">
        <v>179</v>
      </c>
      <c r="H12" s="65" t="s">
        <v>180</v>
      </c>
      <c r="I12" s="65" t="s">
        <v>181</v>
      </c>
      <c r="J12" s="65" t="s">
        <v>182</v>
      </c>
      <c r="K12" s="65" t="s">
        <v>83</v>
      </c>
      <c r="L12" s="65" t="s">
        <v>58</v>
      </c>
      <c r="M12" s="65" t="s">
        <v>60</v>
      </c>
      <c r="N12" s="65" t="s">
        <v>52</v>
      </c>
      <c r="O12" s="65">
        <v>150000</v>
      </c>
      <c r="P12" s="65" t="s">
        <v>183</v>
      </c>
      <c r="Q12" s="65" t="s">
        <v>149</v>
      </c>
      <c r="R12" s="65">
        <v>150000</v>
      </c>
      <c r="S12" s="65">
        <v>0</v>
      </c>
      <c r="T12" s="65">
        <v>0</v>
      </c>
      <c r="U12" s="65" t="s">
        <v>49</v>
      </c>
      <c r="V12" s="65">
        <v>150000</v>
      </c>
      <c r="W12" s="65">
        <v>150000</v>
      </c>
      <c r="X12" s="65">
        <v>0</v>
      </c>
      <c r="Y12" s="65">
        <v>0</v>
      </c>
      <c r="Z12" s="65" t="s">
        <v>54</v>
      </c>
      <c r="AA12" s="80">
        <v>150000</v>
      </c>
      <c r="AB12" s="65" t="s">
        <v>208</v>
      </c>
      <c r="AC12" s="65"/>
      <c r="AD12" s="65" t="s">
        <v>179</v>
      </c>
      <c r="AE12" s="65" t="s">
        <v>185</v>
      </c>
      <c r="AF12" s="65" t="s">
        <v>49</v>
      </c>
      <c r="AG12" s="65">
        <v>0</v>
      </c>
      <c r="AH12" s="65" t="s">
        <v>49</v>
      </c>
      <c r="AI12" s="65"/>
      <c r="AJ12" s="65"/>
    </row>
    <row r="13" spans="1:36" x14ac:dyDescent="0.35">
      <c r="A13" s="65">
        <v>11</v>
      </c>
      <c r="B13" s="65" t="s">
        <v>209</v>
      </c>
      <c r="C13" s="65" t="s">
        <v>46</v>
      </c>
      <c r="D13" s="65" t="s">
        <v>56</v>
      </c>
      <c r="E13" s="65">
        <v>5299</v>
      </c>
      <c r="F13" s="65" t="s">
        <v>48</v>
      </c>
      <c r="G13" s="65" t="s">
        <v>210</v>
      </c>
      <c r="H13" s="65" t="s">
        <v>211</v>
      </c>
      <c r="I13" s="65" t="s">
        <v>212</v>
      </c>
      <c r="J13" s="65" t="s">
        <v>213</v>
      </c>
      <c r="K13" s="65" t="s">
        <v>83</v>
      </c>
      <c r="L13" s="65" t="s">
        <v>60</v>
      </c>
      <c r="M13" s="65" t="s">
        <v>62</v>
      </c>
      <c r="N13" s="65" t="s">
        <v>52</v>
      </c>
      <c r="O13" s="65">
        <v>150000</v>
      </c>
      <c r="P13" s="65" t="s">
        <v>214</v>
      </c>
      <c r="Q13" s="65" t="s">
        <v>149</v>
      </c>
      <c r="R13" s="65">
        <v>150000</v>
      </c>
      <c r="S13" s="65">
        <v>0</v>
      </c>
      <c r="T13" s="65">
        <v>0</v>
      </c>
      <c r="U13" s="65" t="s">
        <v>49</v>
      </c>
      <c r="V13" s="65">
        <v>150000</v>
      </c>
      <c r="W13" s="65">
        <v>150000</v>
      </c>
      <c r="X13" s="65">
        <v>0</v>
      </c>
      <c r="Y13" s="65">
        <v>0</v>
      </c>
      <c r="Z13" s="65" t="s">
        <v>54</v>
      </c>
      <c r="AA13" s="80">
        <v>150000</v>
      </c>
      <c r="AB13" s="65" t="s">
        <v>215</v>
      </c>
      <c r="AC13" s="65"/>
      <c r="AD13" s="65" t="s">
        <v>210</v>
      </c>
      <c r="AE13" s="65" t="s">
        <v>216</v>
      </c>
      <c r="AF13" s="65" t="s">
        <v>49</v>
      </c>
      <c r="AG13" s="65">
        <v>0</v>
      </c>
      <c r="AH13" s="65" t="s">
        <v>49</v>
      </c>
      <c r="AI13" s="65"/>
      <c r="AJ13" s="65"/>
    </row>
    <row r="14" spans="1:36" x14ac:dyDescent="0.35">
      <c r="A14" s="65">
        <v>13</v>
      </c>
      <c r="B14" s="65" t="s">
        <v>217</v>
      </c>
      <c r="C14" s="65" t="s">
        <v>46</v>
      </c>
      <c r="D14" s="65" t="s">
        <v>63</v>
      </c>
      <c r="E14" s="65">
        <v>7472</v>
      </c>
      <c r="F14" s="65" t="s">
        <v>48</v>
      </c>
      <c r="G14" s="65" t="s">
        <v>150</v>
      </c>
      <c r="H14" s="65" t="s">
        <v>151</v>
      </c>
      <c r="I14" s="65" t="s">
        <v>152</v>
      </c>
      <c r="J14" s="65" t="s">
        <v>153</v>
      </c>
      <c r="K14" s="65" t="s">
        <v>83</v>
      </c>
      <c r="L14" s="65" t="s">
        <v>75</v>
      </c>
      <c r="M14" s="65" t="s">
        <v>76</v>
      </c>
      <c r="N14" s="65" t="s">
        <v>52</v>
      </c>
      <c r="O14" s="65">
        <v>150000</v>
      </c>
      <c r="P14" s="65" t="s">
        <v>218</v>
      </c>
      <c r="Q14" s="65" t="s">
        <v>149</v>
      </c>
      <c r="R14" s="65">
        <v>150000</v>
      </c>
      <c r="S14" s="65">
        <v>0</v>
      </c>
      <c r="T14" s="65">
        <v>0</v>
      </c>
      <c r="U14" s="65" t="s">
        <v>49</v>
      </c>
      <c r="V14" s="65">
        <v>150000</v>
      </c>
      <c r="W14" s="65">
        <v>150000</v>
      </c>
      <c r="X14" s="65">
        <v>0</v>
      </c>
      <c r="Y14" s="65">
        <v>0</v>
      </c>
      <c r="Z14" s="65" t="s">
        <v>54</v>
      </c>
      <c r="AA14" s="80">
        <v>150000</v>
      </c>
      <c r="AB14" s="65" t="s">
        <v>219</v>
      </c>
      <c r="AC14" s="65"/>
      <c r="AD14" s="65" t="s">
        <v>150</v>
      </c>
      <c r="AE14" s="65" t="s">
        <v>220</v>
      </c>
      <c r="AF14" s="65" t="s">
        <v>49</v>
      </c>
      <c r="AG14" s="65">
        <v>0</v>
      </c>
      <c r="AH14" s="65" t="s">
        <v>49</v>
      </c>
      <c r="AI14" s="65"/>
      <c r="AJ14" s="65"/>
    </row>
    <row r="15" spans="1:36" x14ac:dyDescent="0.35">
      <c r="A15" s="65">
        <v>14</v>
      </c>
      <c r="B15" s="65" t="s">
        <v>221</v>
      </c>
      <c r="C15" s="65" t="s">
        <v>46</v>
      </c>
      <c r="D15" s="65" t="s">
        <v>56</v>
      </c>
      <c r="E15" s="65">
        <v>5299</v>
      </c>
      <c r="F15" s="65" t="s">
        <v>48</v>
      </c>
      <c r="G15" s="65" t="s">
        <v>154</v>
      </c>
      <c r="H15" s="65" t="s">
        <v>155</v>
      </c>
      <c r="I15" s="65" t="s">
        <v>156</v>
      </c>
      <c r="J15" s="65" t="s">
        <v>157</v>
      </c>
      <c r="K15" s="65" t="s">
        <v>83</v>
      </c>
      <c r="L15" s="65" t="s">
        <v>75</v>
      </c>
      <c r="M15" s="65" t="s">
        <v>76</v>
      </c>
      <c r="N15" s="65" t="s">
        <v>52</v>
      </c>
      <c r="O15" s="65">
        <v>150000</v>
      </c>
      <c r="P15" s="65" t="s">
        <v>222</v>
      </c>
      <c r="Q15" s="65" t="s">
        <v>149</v>
      </c>
      <c r="R15" s="65">
        <v>150000</v>
      </c>
      <c r="S15" s="65">
        <v>0</v>
      </c>
      <c r="T15" s="65">
        <v>0</v>
      </c>
      <c r="U15" s="65" t="s">
        <v>49</v>
      </c>
      <c r="V15" s="65">
        <v>150000</v>
      </c>
      <c r="W15" s="65">
        <v>150000</v>
      </c>
      <c r="X15" s="65">
        <v>0</v>
      </c>
      <c r="Y15" s="65">
        <v>0</v>
      </c>
      <c r="Z15" s="65" t="s">
        <v>54</v>
      </c>
      <c r="AA15" s="80">
        <v>150000</v>
      </c>
      <c r="AB15" s="65" t="s">
        <v>223</v>
      </c>
      <c r="AC15" s="65"/>
      <c r="AD15" s="65" t="s">
        <v>154</v>
      </c>
      <c r="AE15" s="65" t="s">
        <v>224</v>
      </c>
      <c r="AF15" s="65" t="s">
        <v>49</v>
      </c>
      <c r="AG15" s="65">
        <v>0</v>
      </c>
      <c r="AH15" s="65" t="s">
        <v>49</v>
      </c>
      <c r="AI15" s="65"/>
      <c r="AJ15" s="65"/>
    </row>
    <row r="16" spans="1:36" x14ac:dyDescent="0.35">
      <c r="A16" s="65">
        <v>15</v>
      </c>
      <c r="B16" s="65" t="s">
        <v>225</v>
      </c>
      <c r="C16" s="65" t="s">
        <v>46</v>
      </c>
      <c r="D16" s="65" t="s">
        <v>63</v>
      </c>
      <c r="E16" s="65">
        <v>7472</v>
      </c>
      <c r="F16" s="65" t="s">
        <v>48</v>
      </c>
      <c r="G16" s="65" t="s">
        <v>150</v>
      </c>
      <c r="H16" s="65" t="s">
        <v>151</v>
      </c>
      <c r="I16" s="65" t="s">
        <v>152</v>
      </c>
      <c r="J16" s="65" t="s">
        <v>153</v>
      </c>
      <c r="K16" s="65" t="s">
        <v>83</v>
      </c>
      <c r="L16" s="65" t="s">
        <v>76</v>
      </c>
      <c r="M16" s="65" t="s">
        <v>77</v>
      </c>
      <c r="N16" s="65" t="s">
        <v>52</v>
      </c>
      <c r="O16" s="65">
        <v>150000</v>
      </c>
      <c r="P16" s="65" t="s">
        <v>226</v>
      </c>
      <c r="Q16" s="65" t="s">
        <v>149</v>
      </c>
      <c r="R16" s="65">
        <v>150000</v>
      </c>
      <c r="S16" s="65">
        <v>0</v>
      </c>
      <c r="T16" s="65">
        <v>0</v>
      </c>
      <c r="U16" s="65" t="s">
        <v>49</v>
      </c>
      <c r="V16" s="65">
        <v>150000</v>
      </c>
      <c r="W16" s="65">
        <v>150000</v>
      </c>
      <c r="X16" s="65">
        <v>0</v>
      </c>
      <c r="Y16" s="65">
        <v>0</v>
      </c>
      <c r="Z16" s="65" t="s">
        <v>54</v>
      </c>
      <c r="AA16" s="80">
        <v>150000</v>
      </c>
      <c r="AB16" s="65" t="s">
        <v>227</v>
      </c>
      <c r="AC16" s="65"/>
      <c r="AD16" s="65" t="s">
        <v>150</v>
      </c>
      <c r="AE16" s="65" t="s">
        <v>228</v>
      </c>
      <c r="AF16" s="65" t="s">
        <v>49</v>
      </c>
      <c r="AG16" s="65">
        <v>0</v>
      </c>
      <c r="AH16" s="65" t="s">
        <v>49</v>
      </c>
      <c r="AI16" s="65"/>
      <c r="AJ16" s="65"/>
    </row>
    <row r="17" spans="1:36" x14ac:dyDescent="0.35">
      <c r="A17" s="65">
        <v>16</v>
      </c>
      <c r="B17" s="65" t="s">
        <v>229</v>
      </c>
      <c r="C17" s="65" t="s">
        <v>46</v>
      </c>
      <c r="D17" s="65" t="s">
        <v>56</v>
      </c>
      <c r="E17" s="65">
        <v>5299</v>
      </c>
      <c r="F17" s="65" t="s">
        <v>48</v>
      </c>
      <c r="G17" s="65" t="s">
        <v>230</v>
      </c>
      <c r="H17" s="65" t="s">
        <v>231</v>
      </c>
      <c r="I17" s="65" t="s">
        <v>232</v>
      </c>
      <c r="J17" s="65" t="s">
        <v>233</v>
      </c>
      <c r="K17" s="65" t="s">
        <v>83</v>
      </c>
      <c r="L17" s="65" t="s">
        <v>76</v>
      </c>
      <c r="M17" s="65" t="s">
        <v>77</v>
      </c>
      <c r="N17" s="65" t="s">
        <v>52</v>
      </c>
      <c r="O17" s="65">
        <v>150000</v>
      </c>
      <c r="P17" s="65" t="s">
        <v>234</v>
      </c>
      <c r="Q17" s="65" t="s">
        <v>149</v>
      </c>
      <c r="R17" s="65">
        <v>150000</v>
      </c>
      <c r="S17" s="65">
        <v>0</v>
      </c>
      <c r="T17" s="65">
        <v>0</v>
      </c>
      <c r="U17" s="65" t="s">
        <v>49</v>
      </c>
      <c r="V17" s="65">
        <v>150000</v>
      </c>
      <c r="W17" s="65">
        <v>150000</v>
      </c>
      <c r="X17" s="65">
        <v>0</v>
      </c>
      <c r="Y17" s="65">
        <v>0</v>
      </c>
      <c r="Z17" s="65" t="s">
        <v>54</v>
      </c>
      <c r="AA17" s="80">
        <v>150000</v>
      </c>
      <c r="AB17" s="65" t="s">
        <v>235</v>
      </c>
      <c r="AC17" s="65"/>
      <c r="AD17" s="65" t="s">
        <v>230</v>
      </c>
      <c r="AE17" s="65" t="s">
        <v>236</v>
      </c>
      <c r="AF17" s="65" t="s">
        <v>49</v>
      </c>
      <c r="AG17" s="65">
        <v>0</v>
      </c>
      <c r="AH17" s="65" t="s">
        <v>49</v>
      </c>
      <c r="AI17" s="65"/>
      <c r="AJ17" s="65"/>
    </row>
    <row r="18" spans="1:36" x14ac:dyDescent="0.35">
      <c r="A18" s="65">
        <v>18</v>
      </c>
      <c r="B18" s="65" t="s">
        <v>237</v>
      </c>
      <c r="C18" s="65" t="s">
        <v>46</v>
      </c>
      <c r="D18" s="65" t="s">
        <v>63</v>
      </c>
      <c r="E18" s="65">
        <v>7472</v>
      </c>
      <c r="F18" s="65" t="s">
        <v>48</v>
      </c>
      <c r="G18" s="65" t="s">
        <v>150</v>
      </c>
      <c r="H18" s="65" t="s">
        <v>151</v>
      </c>
      <c r="I18" s="65" t="s">
        <v>152</v>
      </c>
      <c r="J18" s="65" t="s">
        <v>153</v>
      </c>
      <c r="K18" s="65" t="s">
        <v>83</v>
      </c>
      <c r="L18" s="65" t="s">
        <v>77</v>
      </c>
      <c r="M18" s="65" t="s">
        <v>79</v>
      </c>
      <c r="N18" s="65" t="s">
        <v>52</v>
      </c>
      <c r="O18" s="65">
        <v>150000</v>
      </c>
      <c r="P18" s="65" t="s">
        <v>226</v>
      </c>
      <c r="Q18" s="65" t="s">
        <v>149</v>
      </c>
      <c r="R18" s="65">
        <v>150000</v>
      </c>
      <c r="S18" s="65">
        <v>0</v>
      </c>
      <c r="T18" s="65">
        <v>0</v>
      </c>
      <c r="U18" s="65" t="s">
        <v>49</v>
      </c>
      <c r="V18" s="65">
        <v>150000</v>
      </c>
      <c r="W18" s="65">
        <v>150000</v>
      </c>
      <c r="X18" s="65">
        <v>0</v>
      </c>
      <c r="Y18" s="65">
        <v>0</v>
      </c>
      <c r="Z18" s="65" t="s">
        <v>54</v>
      </c>
      <c r="AA18" s="80">
        <v>150000</v>
      </c>
      <c r="AB18" s="65" t="s">
        <v>238</v>
      </c>
      <c r="AC18" s="65"/>
      <c r="AD18" s="65" t="s">
        <v>150</v>
      </c>
      <c r="AE18" s="65" t="s">
        <v>228</v>
      </c>
      <c r="AF18" s="65" t="s">
        <v>49</v>
      </c>
      <c r="AG18" s="65">
        <v>0</v>
      </c>
      <c r="AH18" s="65" t="s">
        <v>49</v>
      </c>
      <c r="AI18" s="65"/>
      <c r="AJ18" s="65"/>
    </row>
    <row r="19" spans="1:36" x14ac:dyDescent="0.35">
      <c r="A19" s="65">
        <v>19</v>
      </c>
      <c r="B19" s="65" t="s">
        <v>239</v>
      </c>
      <c r="C19" s="65" t="s">
        <v>46</v>
      </c>
      <c r="D19" s="65" t="s">
        <v>56</v>
      </c>
      <c r="E19" s="65">
        <v>5299</v>
      </c>
      <c r="F19" s="65" t="s">
        <v>48</v>
      </c>
      <c r="G19" s="65" t="s">
        <v>230</v>
      </c>
      <c r="H19" s="65" t="s">
        <v>231</v>
      </c>
      <c r="I19" s="65" t="s">
        <v>232</v>
      </c>
      <c r="J19" s="65" t="s">
        <v>233</v>
      </c>
      <c r="K19" s="65" t="s">
        <v>83</v>
      </c>
      <c r="L19" s="65" t="s">
        <v>77</v>
      </c>
      <c r="M19" s="65" t="s">
        <v>79</v>
      </c>
      <c r="N19" s="65" t="s">
        <v>52</v>
      </c>
      <c r="O19" s="65">
        <v>150000</v>
      </c>
      <c r="P19" s="65" t="s">
        <v>234</v>
      </c>
      <c r="Q19" s="65" t="s">
        <v>149</v>
      </c>
      <c r="R19" s="65">
        <v>150000</v>
      </c>
      <c r="S19" s="65">
        <v>0</v>
      </c>
      <c r="T19" s="65">
        <v>0</v>
      </c>
      <c r="U19" s="65" t="s">
        <v>49</v>
      </c>
      <c r="V19" s="65">
        <v>150000</v>
      </c>
      <c r="W19" s="65">
        <v>150000</v>
      </c>
      <c r="X19" s="65">
        <v>0</v>
      </c>
      <c r="Y19" s="65">
        <v>0</v>
      </c>
      <c r="Z19" s="65" t="s">
        <v>54</v>
      </c>
      <c r="AA19" s="80">
        <v>150000</v>
      </c>
      <c r="AB19" s="65" t="s">
        <v>240</v>
      </c>
      <c r="AC19" s="65"/>
      <c r="AD19" s="65" t="s">
        <v>230</v>
      </c>
      <c r="AE19" s="65" t="s">
        <v>236</v>
      </c>
      <c r="AF19" s="65" t="s">
        <v>49</v>
      </c>
      <c r="AG19" s="65">
        <v>0</v>
      </c>
      <c r="AH19" s="65" t="s">
        <v>49</v>
      </c>
      <c r="AI19" s="65"/>
      <c r="AJ19" s="65"/>
    </row>
    <row r="20" spans="1:36" x14ac:dyDescent="0.35">
      <c r="A20" s="65">
        <v>20</v>
      </c>
      <c r="B20" s="65" t="s">
        <v>241</v>
      </c>
      <c r="C20" s="65" t="s">
        <v>46</v>
      </c>
      <c r="D20" s="65" t="s">
        <v>47</v>
      </c>
      <c r="E20" s="65">
        <v>7470</v>
      </c>
      <c r="F20" s="65" t="s">
        <v>48</v>
      </c>
      <c r="G20" s="65" t="s">
        <v>242</v>
      </c>
      <c r="H20" s="65" t="s">
        <v>243</v>
      </c>
      <c r="I20" s="65" t="s">
        <v>244</v>
      </c>
      <c r="J20" s="65" t="s">
        <v>245</v>
      </c>
      <c r="K20" s="65" t="s">
        <v>83</v>
      </c>
      <c r="L20" s="65" t="s">
        <v>77</v>
      </c>
      <c r="M20" s="65" t="s">
        <v>79</v>
      </c>
      <c r="N20" s="65" t="s">
        <v>52</v>
      </c>
      <c r="O20" s="65">
        <v>150000</v>
      </c>
      <c r="P20" s="65" t="s">
        <v>246</v>
      </c>
      <c r="Q20" s="65" t="s">
        <v>149</v>
      </c>
      <c r="R20" s="65">
        <v>150000</v>
      </c>
      <c r="S20" s="65">
        <v>0</v>
      </c>
      <c r="T20" s="65">
        <v>0</v>
      </c>
      <c r="U20" s="65" t="s">
        <v>49</v>
      </c>
      <c r="V20" s="65">
        <v>150000</v>
      </c>
      <c r="W20" s="65">
        <v>150000</v>
      </c>
      <c r="X20" s="65">
        <v>0</v>
      </c>
      <c r="Y20" s="65">
        <v>0</v>
      </c>
      <c r="Z20" s="65" t="s">
        <v>54</v>
      </c>
      <c r="AA20" s="80">
        <v>150000</v>
      </c>
      <c r="AB20" s="65" t="s">
        <v>247</v>
      </c>
      <c r="AC20" s="65"/>
      <c r="AD20" s="65" t="s">
        <v>242</v>
      </c>
      <c r="AE20" s="65" t="s">
        <v>248</v>
      </c>
      <c r="AF20" s="65" t="s">
        <v>49</v>
      </c>
      <c r="AG20" s="65">
        <v>0</v>
      </c>
      <c r="AH20" s="65" t="s">
        <v>49</v>
      </c>
      <c r="AI20" s="65"/>
      <c r="AJ20" s="65"/>
    </row>
    <row r="21" spans="1:36" x14ac:dyDescent="0.35">
      <c r="A21" s="65">
        <v>21</v>
      </c>
      <c r="B21" s="65" t="s">
        <v>249</v>
      </c>
      <c r="C21" s="65" t="s">
        <v>46</v>
      </c>
      <c r="D21" s="65" t="s">
        <v>57</v>
      </c>
      <c r="E21" s="65">
        <v>7471</v>
      </c>
      <c r="F21" s="65" t="s">
        <v>48</v>
      </c>
      <c r="G21" s="65" t="s">
        <v>250</v>
      </c>
      <c r="H21" s="65" t="s">
        <v>251</v>
      </c>
      <c r="I21" s="65" t="s">
        <v>252</v>
      </c>
      <c r="J21" s="65" t="s">
        <v>253</v>
      </c>
      <c r="K21" s="65" t="s">
        <v>83</v>
      </c>
      <c r="L21" s="65" t="s">
        <v>77</v>
      </c>
      <c r="M21" s="65" t="s">
        <v>79</v>
      </c>
      <c r="N21" s="65" t="s">
        <v>52</v>
      </c>
      <c r="O21" s="65">
        <v>150000</v>
      </c>
      <c r="P21" s="65" t="s">
        <v>254</v>
      </c>
      <c r="Q21" s="65" t="s">
        <v>149</v>
      </c>
      <c r="R21" s="65">
        <v>150000</v>
      </c>
      <c r="S21" s="65">
        <v>0</v>
      </c>
      <c r="T21" s="65">
        <v>0</v>
      </c>
      <c r="U21" s="65" t="s">
        <v>49</v>
      </c>
      <c r="V21" s="65">
        <v>150000</v>
      </c>
      <c r="W21" s="65">
        <v>150000</v>
      </c>
      <c r="X21" s="65">
        <v>0</v>
      </c>
      <c r="Y21" s="65">
        <v>0</v>
      </c>
      <c r="Z21" s="65" t="s">
        <v>54</v>
      </c>
      <c r="AA21" s="80">
        <v>150000</v>
      </c>
      <c r="AB21" s="65" t="s">
        <v>255</v>
      </c>
      <c r="AC21" s="65"/>
      <c r="AD21" s="65" t="s">
        <v>250</v>
      </c>
      <c r="AE21" s="65" t="s">
        <v>256</v>
      </c>
      <c r="AF21" s="65" t="s">
        <v>49</v>
      </c>
      <c r="AG21" s="65">
        <v>0</v>
      </c>
      <c r="AH21" s="65" t="s">
        <v>49</v>
      </c>
      <c r="AI21" s="65"/>
      <c r="AJ21" s="65"/>
    </row>
    <row r="22" spans="1:36" x14ac:dyDescent="0.35">
      <c r="A22" s="65">
        <v>22</v>
      </c>
      <c r="B22" s="65" t="s">
        <v>257</v>
      </c>
      <c r="C22" s="65" t="s">
        <v>46</v>
      </c>
      <c r="D22" s="65" t="s">
        <v>57</v>
      </c>
      <c r="E22" s="65">
        <v>7471</v>
      </c>
      <c r="F22" s="65" t="s">
        <v>48</v>
      </c>
      <c r="G22" s="65" t="s">
        <v>250</v>
      </c>
      <c r="H22" s="65" t="s">
        <v>251</v>
      </c>
      <c r="I22" s="65" t="s">
        <v>252</v>
      </c>
      <c r="J22" s="65" t="s">
        <v>253</v>
      </c>
      <c r="K22" s="65" t="s">
        <v>83</v>
      </c>
      <c r="L22" s="65" t="s">
        <v>79</v>
      </c>
      <c r="M22" s="65" t="s">
        <v>72</v>
      </c>
      <c r="N22" s="65" t="s">
        <v>52</v>
      </c>
      <c r="O22" s="65">
        <v>150000</v>
      </c>
      <c r="P22" s="65" t="s">
        <v>254</v>
      </c>
      <c r="Q22" s="65" t="s">
        <v>149</v>
      </c>
      <c r="R22" s="65">
        <v>150000</v>
      </c>
      <c r="S22" s="65">
        <v>0</v>
      </c>
      <c r="T22" s="65">
        <v>0</v>
      </c>
      <c r="U22" s="65" t="s">
        <v>49</v>
      </c>
      <c r="V22" s="65">
        <v>150000</v>
      </c>
      <c r="W22" s="65">
        <v>150000</v>
      </c>
      <c r="X22" s="65">
        <v>0</v>
      </c>
      <c r="Y22" s="65">
        <v>0</v>
      </c>
      <c r="Z22" s="65" t="s">
        <v>54</v>
      </c>
      <c r="AA22" s="80">
        <v>150000</v>
      </c>
      <c r="AB22" s="65" t="s">
        <v>258</v>
      </c>
      <c r="AC22" s="65"/>
      <c r="AD22" s="65" t="s">
        <v>250</v>
      </c>
      <c r="AE22" s="65" t="s">
        <v>256</v>
      </c>
      <c r="AF22" s="65" t="s">
        <v>49</v>
      </c>
      <c r="AG22" s="65">
        <v>0</v>
      </c>
      <c r="AH22" s="65" t="s">
        <v>49</v>
      </c>
      <c r="AI22" s="65"/>
      <c r="AJ22" s="65"/>
    </row>
    <row r="23" spans="1:36" x14ac:dyDescent="0.35">
      <c r="A23" s="65">
        <v>23</v>
      </c>
      <c r="B23" s="65" t="s">
        <v>259</v>
      </c>
      <c r="C23" s="65" t="s">
        <v>46</v>
      </c>
      <c r="D23" s="65" t="s">
        <v>47</v>
      </c>
      <c r="E23" s="65">
        <v>7470</v>
      </c>
      <c r="F23" s="65" t="s">
        <v>48</v>
      </c>
      <c r="G23" s="65" t="s">
        <v>260</v>
      </c>
      <c r="H23" s="65" t="s">
        <v>261</v>
      </c>
      <c r="I23" s="65" t="s">
        <v>262</v>
      </c>
      <c r="J23" s="65" t="s">
        <v>263</v>
      </c>
      <c r="K23" s="65" t="s">
        <v>83</v>
      </c>
      <c r="L23" s="65" t="s">
        <v>79</v>
      </c>
      <c r="M23" s="65" t="s">
        <v>72</v>
      </c>
      <c r="N23" s="65" t="s">
        <v>52</v>
      </c>
      <c r="O23" s="65">
        <v>150000</v>
      </c>
      <c r="P23" s="65" t="s">
        <v>264</v>
      </c>
      <c r="Q23" s="65" t="s">
        <v>149</v>
      </c>
      <c r="R23" s="65">
        <v>150000</v>
      </c>
      <c r="S23" s="65">
        <v>0</v>
      </c>
      <c r="T23" s="65">
        <v>0</v>
      </c>
      <c r="U23" s="65" t="s">
        <v>49</v>
      </c>
      <c r="V23" s="65">
        <v>150000</v>
      </c>
      <c r="W23" s="65">
        <v>150000</v>
      </c>
      <c r="X23" s="65">
        <v>0</v>
      </c>
      <c r="Y23" s="65">
        <v>0</v>
      </c>
      <c r="Z23" s="65" t="s">
        <v>54</v>
      </c>
      <c r="AA23" s="80">
        <v>150000</v>
      </c>
      <c r="AB23" s="65" t="s">
        <v>265</v>
      </c>
      <c r="AC23" s="65"/>
      <c r="AD23" s="65" t="s">
        <v>260</v>
      </c>
      <c r="AE23" s="65" t="s">
        <v>266</v>
      </c>
      <c r="AF23" s="65" t="s">
        <v>49</v>
      </c>
      <c r="AG23" s="65">
        <v>0</v>
      </c>
      <c r="AH23" s="65" t="s">
        <v>49</v>
      </c>
      <c r="AI23" s="65"/>
      <c r="AJ23" s="65"/>
    </row>
    <row r="24" spans="1:36" x14ac:dyDescent="0.35">
      <c r="A24" s="65">
        <v>24</v>
      </c>
      <c r="B24" s="65" t="s">
        <v>267</v>
      </c>
      <c r="C24" s="65" t="s">
        <v>46</v>
      </c>
      <c r="D24" s="65" t="s">
        <v>63</v>
      </c>
      <c r="E24" s="65">
        <v>7472</v>
      </c>
      <c r="F24" s="65" t="s">
        <v>48</v>
      </c>
      <c r="G24" s="65" t="s">
        <v>162</v>
      </c>
      <c r="H24" s="65" t="s">
        <v>163</v>
      </c>
      <c r="I24" s="65" t="s">
        <v>164</v>
      </c>
      <c r="J24" s="65" t="s">
        <v>165</v>
      </c>
      <c r="K24" s="65" t="s">
        <v>83</v>
      </c>
      <c r="L24" s="65" t="s">
        <v>79</v>
      </c>
      <c r="M24" s="65" t="s">
        <v>72</v>
      </c>
      <c r="N24" s="65" t="s">
        <v>52</v>
      </c>
      <c r="O24" s="65">
        <v>150000</v>
      </c>
      <c r="P24" s="65" t="s">
        <v>268</v>
      </c>
      <c r="Q24" s="65" t="s">
        <v>149</v>
      </c>
      <c r="R24" s="65">
        <v>150000</v>
      </c>
      <c r="S24" s="65">
        <v>0</v>
      </c>
      <c r="T24" s="65">
        <v>0</v>
      </c>
      <c r="U24" s="65" t="s">
        <v>49</v>
      </c>
      <c r="V24" s="65">
        <v>150000</v>
      </c>
      <c r="W24" s="65">
        <v>150000</v>
      </c>
      <c r="X24" s="65">
        <v>0</v>
      </c>
      <c r="Y24" s="65">
        <v>0</v>
      </c>
      <c r="Z24" s="65" t="s">
        <v>54</v>
      </c>
      <c r="AA24" s="80">
        <v>150000</v>
      </c>
      <c r="AB24" s="65" t="s">
        <v>269</v>
      </c>
      <c r="AC24" s="65"/>
      <c r="AD24" s="65" t="s">
        <v>162</v>
      </c>
      <c r="AE24" s="65" t="s">
        <v>270</v>
      </c>
      <c r="AF24" s="65" t="s">
        <v>49</v>
      </c>
      <c r="AG24" s="65">
        <v>0</v>
      </c>
      <c r="AH24" s="65" t="s">
        <v>49</v>
      </c>
      <c r="AI24" s="65"/>
      <c r="AJ24" s="65"/>
    </row>
    <row r="25" spans="1:36" x14ac:dyDescent="0.35">
      <c r="A25" s="65">
        <v>25</v>
      </c>
      <c r="B25" s="65" t="s">
        <v>271</v>
      </c>
      <c r="C25" s="65" t="s">
        <v>46</v>
      </c>
      <c r="D25" s="65" t="s">
        <v>56</v>
      </c>
      <c r="E25" s="65">
        <v>5299</v>
      </c>
      <c r="F25" s="65" t="s">
        <v>48</v>
      </c>
      <c r="G25" s="65" t="s">
        <v>272</v>
      </c>
      <c r="H25" s="65" t="s">
        <v>273</v>
      </c>
      <c r="I25" s="65" t="s">
        <v>274</v>
      </c>
      <c r="J25" s="65" t="s">
        <v>275</v>
      </c>
      <c r="K25" s="65" t="s">
        <v>83</v>
      </c>
      <c r="L25" s="65" t="s">
        <v>72</v>
      </c>
      <c r="M25" s="65" t="s">
        <v>73</v>
      </c>
      <c r="N25" s="65" t="s">
        <v>52</v>
      </c>
      <c r="O25" s="65">
        <v>200000</v>
      </c>
      <c r="P25" s="65" t="s">
        <v>276</v>
      </c>
      <c r="Q25" s="65" t="s">
        <v>149</v>
      </c>
      <c r="R25" s="65">
        <v>200000</v>
      </c>
      <c r="S25" s="65">
        <v>0</v>
      </c>
      <c r="T25" s="65">
        <v>0</v>
      </c>
      <c r="U25" s="65" t="s">
        <v>49</v>
      </c>
      <c r="V25" s="65">
        <v>200000</v>
      </c>
      <c r="W25" s="65">
        <v>200000</v>
      </c>
      <c r="X25" s="65">
        <v>0</v>
      </c>
      <c r="Y25" s="65">
        <v>0</v>
      </c>
      <c r="Z25" s="65" t="s">
        <v>54</v>
      </c>
      <c r="AA25" s="80">
        <v>200000</v>
      </c>
      <c r="AB25" s="65" t="s">
        <v>277</v>
      </c>
      <c r="AC25" s="65"/>
      <c r="AD25" s="65" t="s">
        <v>272</v>
      </c>
      <c r="AE25" s="65" t="s">
        <v>278</v>
      </c>
      <c r="AF25" s="65" t="s">
        <v>49</v>
      </c>
      <c r="AG25" s="65">
        <v>0</v>
      </c>
      <c r="AH25" s="65" t="s">
        <v>49</v>
      </c>
      <c r="AI25" s="65"/>
      <c r="AJ25" s="65"/>
    </row>
    <row r="26" spans="1:36" x14ac:dyDescent="0.35">
      <c r="A26" s="65">
        <v>27</v>
      </c>
      <c r="B26" s="65" t="s">
        <v>279</v>
      </c>
      <c r="C26" s="65" t="s">
        <v>46</v>
      </c>
      <c r="D26" s="65" t="s">
        <v>47</v>
      </c>
      <c r="E26" s="65">
        <v>7470</v>
      </c>
      <c r="F26" s="65" t="s">
        <v>48</v>
      </c>
      <c r="G26" s="65" t="s">
        <v>280</v>
      </c>
      <c r="H26" s="65" t="s">
        <v>281</v>
      </c>
      <c r="I26" s="65" t="s">
        <v>282</v>
      </c>
      <c r="J26" s="65" t="s">
        <v>283</v>
      </c>
      <c r="K26" s="65" t="s">
        <v>83</v>
      </c>
      <c r="L26" s="65" t="s">
        <v>72</v>
      </c>
      <c r="M26" s="65" t="s">
        <v>73</v>
      </c>
      <c r="N26" s="65" t="s">
        <v>52</v>
      </c>
      <c r="O26" s="65">
        <v>200000</v>
      </c>
      <c r="P26" s="65" t="s">
        <v>284</v>
      </c>
      <c r="Q26" s="65" t="s">
        <v>149</v>
      </c>
      <c r="R26" s="65">
        <v>200000</v>
      </c>
      <c r="S26" s="65">
        <v>0</v>
      </c>
      <c r="T26" s="65">
        <v>0</v>
      </c>
      <c r="U26" s="65" t="s">
        <v>49</v>
      </c>
      <c r="V26" s="65">
        <v>200000</v>
      </c>
      <c r="W26" s="65">
        <v>200000</v>
      </c>
      <c r="X26" s="65">
        <v>0</v>
      </c>
      <c r="Y26" s="65">
        <v>0</v>
      </c>
      <c r="Z26" s="65" t="s">
        <v>54</v>
      </c>
      <c r="AA26" s="80">
        <v>200000</v>
      </c>
      <c r="AB26" s="65" t="s">
        <v>285</v>
      </c>
      <c r="AC26" s="65"/>
      <c r="AD26" s="65" t="s">
        <v>280</v>
      </c>
      <c r="AE26" s="65" t="s">
        <v>286</v>
      </c>
      <c r="AF26" s="65" t="s">
        <v>49</v>
      </c>
      <c r="AG26" s="65">
        <v>0</v>
      </c>
      <c r="AH26" s="65" t="s">
        <v>49</v>
      </c>
      <c r="AI26" s="65"/>
      <c r="AJ26" s="65"/>
    </row>
    <row r="27" spans="1:36" x14ac:dyDescent="0.35">
      <c r="A27" s="65">
        <v>28</v>
      </c>
      <c r="B27" s="65" t="s">
        <v>287</v>
      </c>
      <c r="C27" s="65" t="s">
        <v>46</v>
      </c>
      <c r="D27" s="65" t="s">
        <v>47</v>
      </c>
      <c r="E27" s="65">
        <v>7470</v>
      </c>
      <c r="F27" s="65" t="s">
        <v>48</v>
      </c>
      <c r="G27" s="65" t="s">
        <v>280</v>
      </c>
      <c r="H27" s="65" t="s">
        <v>281</v>
      </c>
      <c r="I27" s="65" t="s">
        <v>282</v>
      </c>
      <c r="J27" s="65" t="s">
        <v>283</v>
      </c>
      <c r="K27" s="65" t="s">
        <v>83</v>
      </c>
      <c r="L27" s="65" t="s">
        <v>73</v>
      </c>
      <c r="M27" s="65" t="s">
        <v>74</v>
      </c>
      <c r="N27" s="65" t="s">
        <v>52</v>
      </c>
      <c r="O27" s="65">
        <v>200000</v>
      </c>
      <c r="P27" s="65" t="s">
        <v>284</v>
      </c>
      <c r="Q27" s="65" t="s">
        <v>149</v>
      </c>
      <c r="R27" s="65">
        <v>200000</v>
      </c>
      <c r="S27" s="65">
        <v>0</v>
      </c>
      <c r="T27" s="65">
        <v>0</v>
      </c>
      <c r="U27" s="65" t="s">
        <v>49</v>
      </c>
      <c r="V27" s="65">
        <v>200000</v>
      </c>
      <c r="W27" s="65">
        <v>200000</v>
      </c>
      <c r="X27" s="65">
        <v>0</v>
      </c>
      <c r="Y27" s="65">
        <v>0</v>
      </c>
      <c r="Z27" s="65" t="s">
        <v>54</v>
      </c>
      <c r="AA27" s="80">
        <v>200000</v>
      </c>
      <c r="AB27" s="65" t="s">
        <v>288</v>
      </c>
      <c r="AC27" s="65"/>
      <c r="AD27" s="65" t="s">
        <v>280</v>
      </c>
      <c r="AE27" s="65" t="s">
        <v>286</v>
      </c>
      <c r="AF27" s="65" t="s">
        <v>49</v>
      </c>
      <c r="AG27" s="65">
        <v>0</v>
      </c>
      <c r="AH27" s="65" t="s">
        <v>49</v>
      </c>
      <c r="AI27" s="65"/>
      <c r="AJ27" s="65"/>
    </row>
    <row r="28" spans="1:36" x14ac:dyDescent="0.35">
      <c r="A28" s="65">
        <v>29</v>
      </c>
      <c r="B28" s="65" t="s">
        <v>289</v>
      </c>
      <c r="C28" s="65" t="s">
        <v>46</v>
      </c>
      <c r="D28" s="65" t="s">
        <v>57</v>
      </c>
      <c r="E28" s="65">
        <v>7471</v>
      </c>
      <c r="F28" s="65" t="s">
        <v>48</v>
      </c>
      <c r="G28" s="65" t="s">
        <v>170</v>
      </c>
      <c r="H28" s="65" t="s">
        <v>171</v>
      </c>
      <c r="I28" s="65" t="s">
        <v>172</v>
      </c>
      <c r="J28" s="65" t="s">
        <v>173</v>
      </c>
      <c r="K28" s="65" t="s">
        <v>83</v>
      </c>
      <c r="L28" s="65" t="s">
        <v>73</v>
      </c>
      <c r="M28" s="65" t="s">
        <v>74</v>
      </c>
      <c r="N28" s="65" t="s">
        <v>52</v>
      </c>
      <c r="O28" s="65">
        <v>200000</v>
      </c>
      <c r="P28" s="65" t="s">
        <v>290</v>
      </c>
      <c r="Q28" s="65" t="s">
        <v>149</v>
      </c>
      <c r="R28" s="65">
        <v>200000</v>
      </c>
      <c r="S28" s="65">
        <v>0</v>
      </c>
      <c r="T28" s="65">
        <v>0</v>
      </c>
      <c r="U28" s="65" t="s">
        <v>49</v>
      </c>
      <c r="V28" s="65">
        <v>200000</v>
      </c>
      <c r="W28" s="65">
        <v>200000</v>
      </c>
      <c r="X28" s="65">
        <v>0</v>
      </c>
      <c r="Y28" s="65">
        <v>0</v>
      </c>
      <c r="Z28" s="65" t="s">
        <v>54</v>
      </c>
      <c r="AA28" s="80">
        <v>200000</v>
      </c>
      <c r="AB28" s="65" t="s">
        <v>291</v>
      </c>
      <c r="AC28" s="65"/>
      <c r="AD28" s="65" t="s">
        <v>170</v>
      </c>
      <c r="AE28" s="65" t="s">
        <v>292</v>
      </c>
      <c r="AF28" s="65" t="s">
        <v>59</v>
      </c>
      <c r="AG28" s="65" t="s">
        <v>292</v>
      </c>
      <c r="AH28" s="65" t="s">
        <v>49</v>
      </c>
      <c r="AI28" s="65"/>
      <c r="AJ28" s="65"/>
    </row>
    <row r="29" spans="1:36" x14ac:dyDescent="0.35">
      <c r="A29" s="65">
        <v>30</v>
      </c>
      <c r="B29" s="65" t="s">
        <v>293</v>
      </c>
      <c r="C29" s="65" t="s">
        <v>46</v>
      </c>
      <c r="D29" s="65" t="s">
        <v>56</v>
      </c>
      <c r="E29" s="65">
        <v>5299</v>
      </c>
      <c r="F29" s="65" t="s">
        <v>48</v>
      </c>
      <c r="G29" s="65" t="s">
        <v>166</v>
      </c>
      <c r="H29" s="65" t="s">
        <v>167</v>
      </c>
      <c r="I29" s="65" t="s">
        <v>168</v>
      </c>
      <c r="J29" s="65" t="s">
        <v>169</v>
      </c>
      <c r="K29" s="65" t="s">
        <v>83</v>
      </c>
      <c r="L29" s="65" t="s">
        <v>74</v>
      </c>
      <c r="M29" s="65" t="s">
        <v>65</v>
      </c>
      <c r="N29" s="65" t="s">
        <v>52</v>
      </c>
      <c r="O29" s="65">
        <v>275000</v>
      </c>
      <c r="P29" s="65" t="s">
        <v>294</v>
      </c>
      <c r="Q29" s="65" t="s">
        <v>149</v>
      </c>
      <c r="R29" s="65">
        <v>275000</v>
      </c>
      <c r="S29" s="65">
        <v>0</v>
      </c>
      <c r="T29" s="65">
        <v>0</v>
      </c>
      <c r="U29" s="65" t="s">
        <v>49</v>
      </c>
      <c r="V29" s="65">
        <v>275000</v>
      </c>
      <c r="W29" s="65">
        <v>275000</v>
      </c>
      <c r="X29" s="65">
        <v>0</v>
      </c>
      <c r="Y29" s="65">
        <v>0</v>
      </c>
      <c r="Z29" s="65" t="s">
        <v>54</v>
      </c>
      <c r="AA29" s="80">
        <v>275000</v>
      </c>
      <c r="AB29" s="65" t="s">
        <v>295</v>
      </c>
      <c r="AC29" s="65"/>
      <c r="AD29" s="65" t="s">
        <v>166</v>
      </c>
      <c r="AE29" s="65" t="s">
        <v>296</v>
      </c>
      <c r="AF29" s="65" t="s">
        <v>49</v>
      </c>
      <c r="AG29" s="65">
        <v>0</v>
      </c>
      <c r="AH29" s="65" t="s">
        <v>49</v>
      </c>
      <c r="AI29" s="65"/>
      <c r="AJ29" s="65"/>
    </row>
    <row r="30" spans="1:36" x14ac:dyDescent="0.35">
      <c r="A30" s="65">
        <v>31</v>
      </c>
      <c r="B30" s="65" t="s">
        <v>297</v>
      </c>
      <c r="C30" s="65" t="s">
        <v>46</v>
      </c>
      <c r="D30" s="65" t="s">
        <v>57</v>
      </c>
      <c r="E30" s="65">
        <v>7471</v>
      </c>
      <c r="F30" s="65" t="s">
        <v>48</v>
      </c>
      <c r="G30" s="65" t="s">
        <v>170</v>
      </c>
      <c r="H30" s="65" t="s">
        <v>171</v>
      </c>
      <c r="I30" s="65" t="s">
        <v>172</v>
      </c>
      <c r="J30" s="65" t="s">
        <v>173</v>
      </c>
      <c r="K30" s="65" t="s">
        <v>83</v>
      </c>
      <c r="L30" s="65" t="s">
        <v>74</v>
      </c>
      <c r="M30" s="65" t="s">
        <v>65</v>
      </c>
      <c r="N30" s="65" t="s">
        <v>52</v>
      </c>
      <c r="O30" s="65">
        <v>275000</v>
      </c>
      <c r="P30" s="65" t="s">
        <v>298</v>
      </c>
      <c r="Q30" s="65" t="s">
        <v>149</v>
      </c>
      <c r="R30" s="65">
        <v>275000</v>
      </c>
      <c r="S30" s="65">
        <v>0</v>
      </c>
      <c r="T30" s="65">
        <v>0</v>
      </c>
      <c r="U30" s="65" t="s">
        <v>49</v>
      </c>
      <c r="V30" s="65">
        <v>275000</v>
      </c>
      <c r="W30" s="65">
        <v>275000</v>
      </c>
      <c r="X30" s="65">
        <v>0</v>
      </c>
      <c r="Y30" s="65">
        <v>0</v>
      </c>
      <c r="Z30" s="65" t="s">
        <v>54</v>
      </c>
      <c r="AA30" s="80">
        <v>275000</v>
      </c>
      <c r="AB30" s="65" t="s">
        <v>299</v>
      </c>
      <c r="AC30" s="65"/>
      <c r="AD30" s="65" t="s">
        <v>170</v>
      </c>
      <c r="AE30" s="65" t="s">
        <v>300</v>
      </c>
      <c r="AF30" s="65" t="s">
        <v>59</v>
      </c>
      <c r="AG30" s="65" t="s">
        <v>300</v>
      </c>
      <c r="AH30" s="65" t="s">
        <v>49</v>
      </c>
      <c r="AI30" s="65"/>
      <c r="AJ30" s="65"/>
    </row>
    <row r="31" spans="1:36" x14ac:dyDescent="0.35">
      <c r="O31" s="81">
        <f t="shared" ref="O31:AA31" si="0">SUM(O5:O30)</f>
        <v>4350000</v>
      </c>
      <c r="P31" s="81">
        <f t="shared" si="0"/>
        <v>0</v>
      </c>
      <c r="Q31" s="81">
        <f t="shared" si="0"/>
        <v>0</v>
      </c>
      <c r="R31" s="81">
        <f t="shared" si="0"/>
        <v>4350000</v>
      </c>
      <c r="S31" s="81">
        <f t="shared" si="0"/>
        <v>0</v>
      </c>
      <c r="T31" s="81">
        <f t="shared" si="0"/>
        <v>0</v>
      </c>
      <c r="U31" s="81">
        <f t="shared" si="0"/>
        <v>0</v>
      </c>
      <c r="V31" s="81">
        <f t="shared" si="0"/>
        <v>4350000</v>
      </c>
      <c r="W31" s="81">
        <f t="shared" si="0"/>
        <v>4350000</v>
      </c>
      <c r="X31" s="81">
        <f t="shared" si="0"/>
        <v>0</v>
      </c>
      <c r="Y31" s="81">
        <f t="shared" si="0"/>
        <v>0</v>
      </c>
      <c r="Z31" s="81">
        <f t="shared" si="0"/>
        <v>0</v>
      </c>
      <c r="AA31" s="81">
        <f t="shared" si="0"/>
        <v>4350000</v>
      </c>
    </row>
  </sheetData>
  <autoFilter ref="A4:AD4"/>
  <mergeCells count="1">
    <mergeCell ref="B3:J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I52"/>
  <sheetViews>
    <sheetView tabSelected="1" zoomScale="99" zoomScaleNormal="99" workbookViewId="0">
      <pane xSplit="4" ySplit="4" topLeftCell="E41" activePane="bottomRight" state="frozen"/>
      <selection pane="topRight" activeCell="E1" sqref="E1"/>
      <selection pane="bottomLeft" activeCell="A5" sqref="A5"/>
      <selection pane="bottomRight" activeCell="A5" sqref="A5:A52"/>
    </sheetView>
  </sheetViews>
  <sheetFormatPr defaultRowHeight="14.5" x14ac:dyDescent="0.35"/>
  <cols>
    <col min="1" max="1" width="11" style="85" customWidth="1"/>
    <col min="2" max="2" width="14.6328125" style="82" customWidth="1"/>
    <col min="3" max="3" width="12.1796875" style="82" bestFit="1" customWidth="1"/>
    <col min="4" max="4" width="19.54296875" style="82" bestFit="1" customWidth="1"/>
    <col min="5" max="5" width="8.81640625" style="82" bestFit="1" customWidth="1"/>
    <col min="6" max="6" width="8.7265625" style="82"/>
    <col min="7" max="7" width="10.81640625" style="82" customWidth="1"/>
    <col min="8" max="8" width="8.7265625" style="82"/>
    <col min="9" max="9" width="18.6328125" style="82" customWidth="1"/>
    <col min="10" max="10" width="8.7265625" style="82"/>
    <col min="11" max="11" width="14.81640625" style="83" customWidth="1"/>
    <col min="12" max="13" width="8.7265625" style="82"/>
    <col min="14" max="14" width="11.08984375" style="84" bestFit="1" customWidth="1"/>
    <col min="15" max="15" width="10.1796875" style="84" bestFit="1" customWidth="1"/>
    <col min="16" max="16" width="8.7265625" style="84"/>
    <col min="17" max="17" width="11.36328125" style="84" customWidth="1"/>
    <col min="18" max="18" width="10.1796875" style="84" bestFit="1" customWidth="1"/>
    <col min="19" max="20" width="8.81640625" style="84" bestFit="1" customWidth="1"/>
    <col min="21" max="21" width="13.1796875" style="84" customWidth="1"/>
    <col min="22" max="22" width="13.90625" style="84" customWidth="1"/>
    <col min="23" max="23" width="10.1796875" style="84" bestFit="1" customWidth="1"/>
    <col min="24" max="25" width="8.81640625" style="84" bestFit="1" customWidth="1"/>
    <col min="26" max="26" width="15.08984375" style="84" customWidth="1"/>
    <col min="27" max="27" width="19.26953125" style="82" bestFit="1" customWidth="1"/>
    <col min="28" max="28" width="18.90625" style="82" bestFit="1" customWidth="1"/>
    <col min="29" max="29" width="8.7265625" style="82"/>
    <col min="30" max="30" width="19.26953125" style="82" bestFit="1" customWidth="1"/>
    <col min="31" max="31" width="16.26953125" style="82" bestFit="1" customWidth="1"/>
    <col min="32" max="32" width="19.26953125" style="82" bestFit="1" customWidth="1"/>
    <col min="33" max="33" width="14.54296875" style="82" bestFit="1" customWidth="1"/>
    <col min="34" max="34" width="19.26953125" style="82" bestFit="1" customWidth="1"/>
    <col min="35" max="35" width="17.26953125" style="82" bestFit="1" customWidth="1"/>
    <col min="36" max="16384" width="8.7265625" style="82"/>
  </cols>
  <sheetData>
    <row r="1" spans="1:35" x14ac:dyDescent="0.35">
      <c r="A1" s="68" t="s">
        <v>301</v>
      </c>
    </row>
    <row r="2" spans="1:35" x14ac:dyDescent="0.35">
      <c r="A2" s="68" t="str">
        <f>'[1]AYO-Mei''26'!A2</f>
        <v>Laporan Periode Mei 1, 2026 - Mei 31, 2026</v>
      </c>
    </row>
    <row r="3" spans="1:35" ht="15" thickBot="1" x14ac:dyDescent="0.4"/>
    <row r="4" spans="1:35" s="96" customFormat="1" ht="31" customHeight="1" thickBot="1" x14ac:dyDescent="0.4">
      <c r="A4" s="86" t="s">
        <v>302</v>
      </c>
      <c r="B4" s="86" t="s">
        <v>19</v>
      </c>
      <c r="C4" s="86" t="s">
        <v>20</v>
      </c>
      <c r="D4" s="86" t="s">
        <v>21</v>
      </c>
      <c r="E4" s="86" t="s">
        <v>22</v>
      </c>
      <c r="F4" s="87" t="s">
        <v>23</v>
      </c>
      <c r="G4" s="88" t="s">
        <v>24</v>
      </c>
      <c r="H4" s="86" t="s">
        <v>25</v>
      </c>
      <c r="I4" s="86" t="s">
        <v>26</v>
      </c>
      <c r="J4" s="86" t="s">
        <v>27</v>
      </c>
      <c r="K4" s="89" t="s">
        <v>28</v>
      </c>
      <c r="L4" s="86" t="s">
        <v>29</v>
      </c>
      <c r="M4" s="88" t="s">
        <v>30</v>
      </c>
      <c r="N4" s="90" t="s">
        <v>31</v>
      </c>
      <c r="O4" s="90" t="s">
        <v>32</v>
      </c>
      <c r="P4" s="91" t="s">
        <v>33</v>
      </c>
      <c r="Q4" s="92" t="s">
        <v>34</v>
      </c>
      <c r="R4" s="90" t="s">
        <v>35</v>
      </c>
      <c r="S4" s="90" t="s">
        <v>36</v>
      </c>
      <c r="T4" s="90" t="s">
        <v>37</v>
      </c>
      <c r="U4" s="91" t="s">
        <v>38</v>
      </c>
      <c r="V4" s="91" t="s">
        <v>39</v>
      </c>
      <c r="W4" s="90" t="s">
        <v>40</v>
      </c>
      <c r="X4" s="90" t="s">
        <v>41</v>
      </c>
      <c r="Y4" s="90" t="s">
        <v>42</v>
      </c>
      <c r="Z4" s="93" t="s">
        <v>43</v>
      </c>
      <c r="AA4" s="94" t="s">
        <v>44</v>
      </c>
      <c r="AB4" s="95" t="s">
        <v>45</v>
      </c>
      <c r="AC4" s="79" t="s">
        <v>142</v>
      </c>
      <c r="AD4" s="77" t="s">
        <v>143</v>
      </c>
      <c r="AE4" s="79" t="s">
        <v>144</v>
      </c>
      <c r="AF4" s="77" t="s">
        <v>145</v>
      </c>
      <c r="AG4" s="79" t="s">
        <v>146</v>
      </c>
      <c r="AH4" s="77" t="s">
        <v>147</v>
      </c>
      <c r="AI4" s="79" t="s">
        <v>148</v>
      </c>
    </row>
    <row r="5" spans="1:35" s="66" customFormat="1" x14ac:dyDescent="0.35">
      <c r="A5" s="97" t="s">
        <v>83</v>
      </c>
      <c r="B5" s="98" t="s">
        <v>174</v>
      </c>
      <c r="C5" s="99" t="s">
        <v>46</v>
      </c>
      <c r="D5" s="99" t="s">
        <v>56</v>
      </c>
      <c r="E5" s="99">
        <v>5299</v>
      </c>
      <c r="F5" s="99" t="s">
        <v>48</v>
      </c>
      <c r="G5" s="99" t="s">
        <v>158</v>
      </c>
      <c r="H5" s="99" t="s">
        <v>159</v>
      </c>
      <c r="I5" s="99" t="s">
        <v>160</v>
      </c>
      <c r="J5" s="99" t="s">
        <v>161</v>
      </c>
      <c r="K5" s="99" t="s">
        <v>50</v>
      </c>
      <c r="L5" s="99" t="s">
        <v>51</v>
      </c>
      <c r="M5" s="99" t="s">
        <v>52</v>
      </c>
      <c r="N5" s="99">
        <v>150000</v>
      </c>
      <c r="O5" s="99" t="s">
        <v>175</v>
      </c>
      <c r="P5" s="99" t="s">
        <v>149</v>
      </c>
      <c r="Q5" s="99">
        <v>150000</v>
      </c>
      <c r="R5" s="99">
        <v>0</v>
      </c>
      <c r="S5" s="99">
        <v>0</v>
      </c>
      <c r="T5" s="99" t="s">
        <v>49</v>
      </c>
      <c r="U5" s="99">
        <v>150000</v>
      </c>
      <c r="V5" s="99">
        <v>150000</v>
      </c>
      <c r="W5" s="99">
        <v>0</v>
      </c>
      <c r="X5" s="99">
        <v>0</v>
      </c>
      <c r="Y5" s="99" t="s">
        <v>54</v>
      </c>
      <c r="Z5" s="99">
        <v>150000</v>
      </c>
      <c r="AA5" s="99" t="s">
        <v>176</v>
      </c>
      <c r="AB5" s="99"/>
      <c r="AC5" s="99" t="s">
        <v>158</v>
      </c>
      <c r="AD5" s="99" t="s">
        <v>177</v>
      </c>
      <c r="AE5" s="99" t="s">
        <v>49</v>
      </c>
      <c r="AF5" s="99">
        <v>0</v>
      </c>
      <c r="AG5" s="99" t="s">
        <v>49</v>
      </c>
      <c r="AH5" s="99"/>
      <c r="AI5" s="100"/>
    </row>
    <row r="6" spans="1:35" s="66" customFormat="1" x14ac:dyDescent="0.35">
      <c r="A6" s="101"/>
      <c r="B6" s="102" t="s">
        <v>188</v>
      </c>
      <c r="C6" s="65" t="s">
        <v>46</v>
      </c>
      <c r="D6" s="65" t="s">
        <v>56</v>
      </c>
      <c r="E6" s="65">
        <v>5299</v>
      </c>
      <c r="F6" s="65" t="s">
        <v>48</v>
      </c>
      <c r="G6" s="65" t="s">
        <v>158</v>
      </c>
      <c r="H6" s="65" t="s">
        <v>159</v>
      </c>
      <c r="I6" s="65" t="s">
        <v>160</v>
      </c>
      <c r="J6" s="65" t="s">
        <v>161</v>
      </c>
      <c r="K6" s="65" t="s">
        <v>51</v>
      </c>
      <c r="L6" s="65" t="s">
        <v>58</v>
      </c>
      <c r="M6" s="65" t="s">
        <v>52</v>
      </c>
      <c r="N6" s="65">
        <v>150000</v>
      </c>
      <c r="O6" s="65" t="s">
        <v>175</v>
      </c>
      <c r="P6" s="65" t="s">
        <v>149</v>
      </c>
      <c r="Q6" s="65">
        <v>150000</v>
      </c>
      <c r="R6" s="65">
        <v>0</v>
      </c>
      <c r="S6" s="65">
        <v>0</v>
      </c>
      <c r="T6" s="65" t="s">
        <v>49</v>
      </c>
      <c r="U6" s="65">
        <v>150000</v>
      </c>
      <c r="V6" s="65">
        <v>150000</v>
      </c>
      <c r="W6" s="65">
        <v>0</v>
      </c>
      <c r="X6" s="65">
        <v>0</v>
      </c>
      <c r="Y6" s="65" t="s">
        <v>54</v>
      </c>
      <c r="Z6" s="65">
        <v>150000</v>
      </c>
      <c r="AA6" s="65" t="s">
        <v>189</v>
      </c>
      <c r="AB6" s="65"/>
      <c r="AC6" s="65" t="s">
        <v>158</v>
      </c>
      <c r="AD6" s="65" t="s">
        <v>177</v>
      </c>
      <c r="AE6" s="65" t="s">
        <v>49</v>
      </c>
      <c r="AF6" s="65">
        <v>0</v>
      </c>
      <c r="AG6" s="65" t="s">
        <v>49</v>
      </c>
      <c r="AH6" s="65"/>
      <c r="AI6" s="103"/>
    </row>
    <row r="7" spans="1:35" s="66" customFormat="1" x14ac:dyDescent="0.35">
      <c r="A7" s="101"/>
      <c r="B7" s="102" t="s">
        <v>197</v>
      </c>
      <c r="C7" s="65" t="s">
        <v>46</v>
      </c>
      <c r="D7" s="65" t="s">
        <v>56</v>
      </c>
      <c r="E7" s="65">
        <v>5299</v>
      </c>
      <c r="F7" s="65" t="s">
        <v>48</v>
      </c>
      <c r="G7" s="65" t="s">
        <v>198</v>
      </c>
      <c r="H7" s="65" t="s">
        <v>199</v>
      </c>
      <c r="I7" s="65" t="s">
        <v>200</v>
      </c>
      <c r="J7" s="65" t="s">
        <v>201</v>
      </c>
      <c r="K7" s="65" t="s">
        <v>58</v>
      </c>
      <c r="L7" s="65" t="s">
        <v>60</v>
      </c>
      <c r="M7" s="65" t="s">
        <v>52</v>
      </c>
      <c r="N7" s="65">
        <v>150000</v>
      </c>
      <c r="O7" s="65" t="s">
        <v>202</v>
      </c>
      <c r="P7" s="65" t="s">
        <v>149</v>
      </c>
      <c r="Q7" s="65">
        <v>150000</v>
      </c>
      <c r="R7" s="65">
        <v>0</v>
      </c>
      <c r="S7" s="65">
        <v>0</v>
      </c>
      <c r="T7" s="65" t="s">
        <v>49</v>
      </c>
      <c r="U7" s="65">
        <v>150000</v>
      </c>
      <c r="V7" s="65">
        <v>150000</v>
      </c>
      <c r="W7" s="65">
        <v>0</v>
      </c>
      <c r="X7" s="65">
        <v>0</v>
      </c>
      <c r="Y7" s="65" t="s">
        <v>54</v>
      </c>
      <c r="Z7" s="65">
        <v>150000</v>
      </c>
      <c r="AA7" s="65" t="s">
        <v>203</v>
      </c>
      <c r="AB7" s="65"/>
      <c r="AC7" s="65" t="s">
        <v>198</v>
      </c>
      <c r="AD7" s="65" t="s">
        <v>204</v>
      </c>
      <c r="AE7" s="65" t="s">
        <v>49</v>
      </c>
      <c r="AF7" s="65">
        <v>0</v>
      </c>
      <c r="AG7" s="65" t="s">
        <v>49</v>
      </c>
      <c r="AH7" s="65"/>
      <c r="AI7" s="103"/>
    </row>
    <row r="8" spans="1:35" s="66" customFormat="1" x14ac:dyDescent="0.35">
      <c r="A8" s="101"/>
      <c r="B8" s="102" t="s">
        <v>209</v>
      </c>
      <c r="C8" s="65" t="s">
        <v>46</v>
      </c>
      <c r="D8" s="65" t="s">
        <v>56</v>
      </c>
      <c r="E8" s="65">
        <v>5299</v>
      </c>
      <c r="F8" s="65" t="s">
        <v>48</v>
      </c>
      <c r="G8" s="65" t="s">
        <v>210</v>
      </c>
      <c r="H8" s="65" t="s">
        <v>211</v>
      </c>
      <c r="I8" s="65" t="s">
        <v>212</v>
      </c>
      <c r="J8" s="65" t="s">
        <v>213</v>
      </c>
      <c r="K8" s="65" t="s">
        <v>60</v>
      </c>
      <c r="L8" s="65" t="s">
        <v>62</v>
      </c>
      <c r="M8" s="65" t="s">
        <v>52</v>
      </c>
      <c r="N8" s="65">
        <v>150000</v>
      </c>
      <c r="O8" s="65" t="s">
        <v>214</v>
      </c>
      <c r="P8" s="65" t="s">
        <v>149</v>
      </c>
      <c r="Q8" s="65">
        <v>150000</v>
      </c>
      <c r="R8" s="65">
        <v>0</v>
      </c>
      <c r="S8" s="65">
        <v>0</v>
      </c>
      <c r="T8" s="65" t="s">
        <v>49</v>
      </c>
      <c r="U8" s="65">
        <v>150000</v>
      </c>
      <c r="V8" s="65">
        <v>150000</v>
      </c>
      <c r="W8" s="65">
        <v>0</v>
      </c>
      <c r="X8" s="65">
        <v>0</v>
      </c>
      <c r="Y8" s="65" t="s">
        <v>54</v>
      </c>
      <c r="Z8" s="65">
        <v>150000</v>
      </c>
      <c r="AA8" s="65" t="s">
        <v>215</v>
      </c>
      <c r="AB8" s="65"/>
      <c r="AC8" s="65" t="s">
        <v>210</v>
      </c>
      <c r="AD8" s="65" t="s">
        <v>216</v>
      </c>
      <c r="AE8" s="65" t="s">
        <v>49</v>
      </c>
      <c r="AF8" s="65">
        <v>0</v>
      </c>
      <c r="AG8" s="65" t="s">
        <v>49</v>
      </c>
      <c r="AH8" s="65"/>
      <c r="AI8" s="103"/>
    </row>
    <row r="9" spans="1:35" s="66" customFormat="1" x14ac:dyDescent="0.35">
      <c r="A9" s="101"/>
      <c r="B9" s="102" t="s">
        <v>221</v>
      </c>
      <c r="C9" s="65" t="s">
        <v>46</v>
      </c>
      <c r="D9" s="65" t="s">
        <v>56</v>
      </c>
      <c r="E9" s="65">
        <v>5299</v>
      </c>
      <c r="F9" s="65" t="s">
        <v>48</v>
      </c>
      <c r="G9" s="65" t="s">
        <v>154</v>
      </c>
      <c r="H9" s="65" t="s">
        <v>155</v>
      </c>
      <c r="I9" s="65" t="s">
        <v>156</v>
      </c>
      <c r="J9" s="65" t="s">
        <v>157</v>
      </c>
      <c r="K9" s="65" t="s">
        <v>75</v>
      </c>
      <c r="L9" s="65" t="s">
        <v>76</v>
      </c>
      <c r="M9" s="65" t="s">
        <v>52</v>
      </c>
      <c r="N9" s="65">
        <v>150000</v>
      </c>
      <c r="O9" s="65" t="s">
        <v>222</v>
      </c>
      <c r="P9" s="65" t="s">
        <v>149</v>
      </c>
      <c r="Q9" s="65">
        <v>150000</v>
      </c>
      <c r="R9" s="65">
        <v>0</v>
      </c>
      <c r="S9" s="65">
        <v>0</v>
      </c>
      <c r="T9" s="65" t="s">
        <v>49</v>
      </c>
      <c r="U9" s="65">
        <v>150000</v>
      </c>
      <c r="V9" s="65">
        <v>150000</v>
      </c>
      <c r="W9" s="65">
        <v>0</v>
      </c>
      <c r="X9" s="65">
        <v>0</v>
      </c>
      <c r="Y9" s="65" t="s">
        <v>54</v>
      </c>
      <c r="Z9" s="65">
        <v>150000</v>
      </c>
      <c r="AA9" s="65" t="s">
        <v>223</v>
      </c>
      <c r="AB9" s="65"/>
      <c r="AC9" s="65" t="s">
        <v>154</v>
      </c>
      <c r="AD9" s="65" t="s">
        <v>224</v>
      </c>
      <c r="AE9" s="65" t="s">
        <v>49</v>
      </c>
      <c r="AF9" s="65">
        <v>0</v>
      </c>
      <c r="AG9" s="65" t="s">
        <v>49</v>
      </c>
      <c r="AH9" s="65"/>
      <c r="AI9" s="103"/>
    </row>
    <row r="10" spans="1:35" s="66" customFormat="1" x14ac:dyDescent="0.35">
      <c r="A10" s="101"/>
      <c r="B10" s="102" t="s">
        <v>229</v>
      </c>
      <c r="C10" s="65" t="s">
        <v>46</v>
      </c>
      <c r="D10" s="65" t="s">
        <v>56</v>
      </c>
      <c r="E10" s="65">
        <v>5299</v>
      </c>
      <c r="F10" s="65" t="s">
        <v>48</v>
      </c>
      <c r="G10" s="65" t="s">
        <v>230</v>
      </c>
      <c r="H10" s="65" t="s">
        <v>231</v>
      </c>
      <c r="I10" s="65" t="s">
        <v>232</v>
      </c>
      <c r="J10" s="65" t="s">
        <v>233</v>
      </c>
      <c r="K10" s="65" t="s">
        <v>76</v>
      </c>
      <c r="L10" s="65" t="s">
        <v>77</v>
      </c>
      <c r="M10" s="65" t="s">
        <v>52</v>
      </c>
      <c r="N10" s="65">
        <v>150000</v>
      </c>
      <c r="O10" s="65" t="s">
        <v>234</v>
      </c>
      <c r="P10" s="65" t="s">
        <v>149</v>
      </c>
      <c r="Q10" s="65">
        <v>150000</v>
      </c>
      <c r="R10" s="65">
        <v>0</v>
      </c>
      <c r="S10" s="65">
        <v>0</v>
      </c>
      <c r="T10" s="65" t="s">
        <v>49</v>
      </c>
      <c r="U10" s="65">
        <v>150000</v>
      </c>
      <c r="V10" s="65">
        <v>150000</v>
      </c>
      <c r="W10" s="65">
        <v>0</v>
      </c>
      <c r="X10" s="65">
        <v>0</v>
      </c>
      <c r="Y10" s="65" t="s">
        <v>54</v>
      </c>
      <c r="Z10" s="65">
        <v>150000</v>
      </c>
      <c r="AA10" s="65" t="s">
        <v>235</v>
      </c>
      <c r="AB10" s="65"/>
      <c r="AC10" s="65" t="s">
        <v>230</v>
      </c>
      <c r="AD10" s="65" t="s">
        <v>236</v>
      </c>
      <c r="AE10" s="65" t="s">
        <v>49</v>
      </c>
      <c r="AF10" s="65">
        <v>0</v>
      </c>
      <c r="AG10" s="65" t="s">
        <v>49</v>
      </c>
      <c r="AH10" s="65"/>
      <c r="AI10" s="103"/>
    </row>
    <row r="11" spans="1:35" s="66" customFormat="1" x14ac:dyDescent="0.35">
      <c r="A11" s="101"/>
      <c r="B11" s="102" t="s">
        <v>239</v>
      </c>
      <c r="C11" s="65" t="s">
        <v>46</v>
      </c>
      <c r="D11" s="65" t="s">
        <v>56</v>
      </c>
      <c r="E11" s="65">
        <v>5299</v>
      </c>
      <c r="F11" s="65" t="s">
        <v>48</v>
      </c>
      <c r="G11" s="65" t="s">
        <v>230</v>
      </c>
      <c r="H11" s="65" t="s">
        <v>231</v>
      </c>
      <c r="I11" s="65" t="s">
        <v>232</v>
      </c>
      <c r="J11" s="65" t="s">
        <v>233</v>
      </c>
      <c r="K11" s="65" t="s">
        <v>77</v>
      </c>
      <c r="L11" s="65" t="s">
        <v>79</v>
      </c>
      <c r="M11" s="65" t="s">
        <v>52</v>
      </c>
      <c r="N11" s="65">
        <v>150000</v>
      </c>
      <c r="O11" s="65" t="s">
        <v>234</v>
      </c>
      <c r="P11" s="65" t="s">
        <v>149</v>
      </c>
      <c r="Q11" s="65">
        <v>150000</v>
      </c>
      <c r="R11" s="65">
        <v>0</v>
      </c>
      <c r="S11" s="65">
        <v>0</v>
      </c>
      <c r="T11" s="65" t="s">
        <v>49</v>
      </c>
      <c r="U11" s="65">
        <v>150000</v>
      </c>
      <c r="V11" s="65">
        <v>150000</v>
      </c>
      <c r="W11" s="65">
        <v>0</v>
      </c>
      <c r="X11" s="65">
        <v>0</v>
      </c>
      <c r="Y11" s="65" t="s">
        <v>54</v>
      </c>
      <c r="Z11" s="65">
        <v>150000</v>
      </c>
      <c r="AA11" s="65" t="s">
        <v>240</v>
      </c>
      <c r="AB11" s="65"/>
      <c r="AC11" s="65" t="s">
        <v>230</v>
      </c>
      <c r="AD11" s="65" t="s">
        <v>236</v>
      </c>
      <c r="AE11" s="65" t="s">
        <v>49</v>
      </c>
      <c r="AF11" s="65">
        <v>0</v>
      </c>
      <c r="AG11" s="65" t="s">
        <v>49</v>
      </c>
      <c r="AH11" s="65"/>
      <c r="AI11" s="103"/>
    </row>
    <row r="12" spans="1:35" s="66" customFormat="1" x14ac:dyDescent="0.35">
      <c r="A12" s="101"/>
      <c r="B12" s="102" t="s">
        <v>271</v>
      </c>
      <c r="C12" s="65" t="s">
        <v>46</v>
      </c>
      <c r="D12" s="65" t="s">
        <v>56</v>
      </c>
      <c r="E12" s="65">
        <v>5299</v>
      </c>
      <c r="F12" s="65" t="s">
        <v>48</v>
      </c>
      <c r="G12" s="65" t="s">
        <v>272</v>
      </c>
      <c r="H12" s="65" t="s">
        <v>273</v>
      </c>
      <c r="I12" s="65" t="s">
        <v>274</v>
      </c>
      <c r="J12" s="65" t="s">
        <v>275</v>
      </c>
      <c r="K12" s="65" t="s">
        <v>72</v>
      </c>
      <c r="L12" s="65" t="s">
        <v>73</v>
      </c>
      <c r="M12" s="65" t="s">
        <v>52</v>
      </c>
      <c r="N12" s="65">
        <v>200000</v>
      </c>
      <c r="O12" s="65" t="s">
        <v>276</v>
      </c>
      <c r="P12" s="65" t="s">
        <v>149</v>
      </c>
      <c r="Q12" s="65">
        <v>200000</v>
      </c>
      <c r="R12" s="65">
        <v>0</v>
      </c>
      <c r="S12" s="65">
        <v>0</v>
      </c>
      <c r="T12" s="65" t="s">
        <v>49</v>
      </c>
      <c r="U12" s="65">
        <v>200000</v>
      </c>
      <c r="V12" s="65">
        <v>200000</v>
      </c>
      <c r="W12" s="65">
        <v>0</v>
      </c>
      <c r="X12" s="65">
        <v>0</v>
      </c>
      <c r="Y12" s="65" t="s">
        <v>54</v>
      </c>
      <c r="Z12" s="65">
        <v>200000</v>
      </c>
      <c r="AA12" s="65" t="s">
        <v>277</v>
      </c>
      <c r="AB12" s="65"/>
      <c r="AC12" s="65" t="s">
        <v>272</v>
      </c>
      <c r="AD12" s="65" t="s">
        <v>278</v>
      </c>
      <c r="AE12" s="65" t="s">
        <v>49</v>
      </c>
      <c r="AF12" s="65">
        <v>0</v>
      </c>
      <c r="AG12" s="65" t="s">
        <v>49</v>
      </c>
      <c r="AH12" s="65"/>
      <c r="AI12" s="103"/>
    </row>
    <row r="13" spans="1:35" s="66" customFormat="1" x14ac:dyDescent="0.35">
      <c r="A13" s="101"/>
      <c r="B13" s="102" t="s">
        <v>293</v>
      </c>
      <c r="C13" s="65" t="s">
        <v>46</v>
      </c>
      <c r="D13" s="65" t="s">
        <v>56</v>
      </c>
      <c r="E13" s="65">
        <v>5299</v>
      </c>
      <c r="F13" s="65" t="s">
        <v>48</v>
      </c>
      <c r="G13" s="65" t="s">
        <v>166</v>
      </c>
      <c r="H13" s="65" t="s">
        <v>167</v>
      </c>
      <c r="I13" s="65" t="s">
        <v>168</v>
      </c>
      <c r="J13" s="65" t="s">
        <v>169</v>
      </c>
      <c r="K13" s="65" t="s">
        <v>74</v>
      </c>
      <c r="L13" s="65" t="s">
        <v>65</v>
      </c>
      <c r="M13" s="65" t="s">
        <v>52</v>
      </c>
      <c r="N13" s="65">
        <v>275000</v>
      </c>
      <c r="O13" s="65" t="s">
        <v>294</v>
      </c>
      <c r="P13" s="65" t="s">
        <v>149</v>
      </c>
      <c r="Q13" s="65">
        <v>275000</v>
      </c>
      <c r="R13" s="65">
        <v>0</v>
      </c>
      <c r="S13" s="65">
        <v>0</v>
      </c>
      <c r="T13" s="65" t="s">
        <v>49</v>
      </c>
      <c r="U13" s="65">
        <v>275000</v>
      </c>
      <c r="V13" s="65">
        <v>275000</v>
      </c>
      <c r="W13" s="65">
        <v>0</v>
      </c>
      <c r="X13" s="65">
        <v>0</v>
      </c>
      <c r="Y13" s="65" t="s">
        <v>54</v>
      </c>
      <c r="Z13" s="65">
        <v>275000</v>
      </c>
      <c r="AA13" s="65" t="s">
        <v>295</v>
      </c>
      <c r="AB13" s="65"/>
      <c r="AC13" s="65" t="s">
        <v>166</v>
      </c>
      <c r="AD13" s="65" t="s">
        <v>296</v>
      </c>
      <c r="AE13" s="65" t="s">
        <v>49</v>
      </c>
      <c r="AF13" s="65">
        <v>0</v>
      </c>
      <c r="AG13" s="65" t="s">
        <v>49</v>
      </c>
      <c r="AH13" s="65"/>
      <c r="AI13" s="103"/>
    </row>
    <row r="14" spans="1:35" s="66" customFormat="1" x14ac:dyDescent="0.35">
      <c r="A14" s="101"/>
      <c r="B14" s="102" t="s">
        <v>114</v>
      </c>
      <c r="C14" s="65" t="s">
        <v>46</v>
      </c>
      <c r="D14" s="65" t="s">
        <v>56</v>
      </c>
      <c r="E14" s="65">
        <v>5299</v>
      </c>
      <c r="F14" s="65" t="s">
        <v>48</v>
      </c>
      <c r="G14" s="65" t="s">
        <v>78</v>
      </c>
      <c r="H14" s="65"/>
      <c r="I14" s="65" t="s">
        <v>64</v>
      </c>
      <c r="J14" s="65" t="s">
        <v>49</v>
      </c>
      <c r="K14" s="65" t="s">
        <v>65</v>
      </c>
      <c r="L14" s="65" t="s">
        <v>66</v>
      </c>
      <c r="M14" s="65" t="s">
        <v>52</v>
      </c>
      <c r="N14" s="65">
        <v>220000</v>
      </c>
      <c r="O14" s="65" t="s">
        <v>49</v>
      </c>
      <c r="P14" s="65" t="s">
        <v>53</v>
      </c>
      <c r="Q14" s="65">
        <v>220000</v>
      </c>
      <c r="R14" s="65">
        <v>0</v>
      </c>
      <c r="S14" s="65">
        <v>0</v>
      </c>
      <c r="T14" s="65" t="s">
        <v>49</v>
      </c>
      <c r="U14" s="65">
        <v>220000</v>
      </c>
      <c r="V14" s="65">
        <v>0</v>
      </c>
      <c r="W14" s="65">
        <v>0</v>
      </c>
      <c r="X14" s="65">
        <v>0</v>
      </c>
      <c r="Y14" s="65" t="s">
        <v>54</v>
      </c>
      <c r="Z14" s="65">
        <v>220000</v>
      </c>
      <c r="AA14" s="65" t="s">
        <v>115</v>
      </c>
      <c r="AB14" s="65"/>
      <c r="AC14" s="65" t="s">
        <v>59</v>
      </c>
      <c r="AD14" s="65" t="s">
        <v>116</v>
      </c>
      <c r="AE14" s="65" t="s">
        <v>59</v>
      </c>
      <c r="AF14" s="65" t="s">
        <v>117</v>
      </c>
      <c r="AG14" s="65" t="s">
        <v>49</v>
      </c>
      <c r="AH14" s="65"/>
      <c r="AI14" s="103"/>
    </row>
    <row r="15" spans="1:35" s="66" customFormat="1" x14ac:dyDescent="0.35">
      <c r="A15" s="101"/>
      <c r="B15" s="102" t="s">
        <v>128</v>
      </c>
      <c r="C15" s="65" t="s">
        <v>46</v>
      </c>
      <c r="D15" s="65" t="s">
        <v>56</v>
      </c>
      <c r="E15" s="65">
        <v>5299</v>
      </c>
      <c r="F15" s="65" t="s">
        <v>48</v>
      </c>
      <c r="G15" s="65" t="s">
        <v>78</v>
      </c>
      <c r="H15" s="65"/>
      <c r="I15" s="65" t="s">
        <v>64</v>
      </c>
      <c r="J15" s="65" t="s">
        <v>49</v>
      </c>
      <c r="K15" s="65" t="s">
        <v>66</v>
      </c>
      <c r="L15" s="65" t="s">
        <v>67</v>
      </c>
      <c r="M15" s="65" t="s">
        <v>52</v>
      </c>
      <c r="N15" s="65">
        <v>220000</v>
      </c>
      <c r="O15" s="65" t="s">
        <v>49</v>
      </c>
      <c r="P15" s="65" t="s">
        <v>53</v>
      </c>
      <c r="Q15" s="65">
        <v>220000</v>
      </c>
      <c r="R15" s="65">
        <v>0</v>
      </c>
      <c r="S15" s="65">
        <v>0</v>
      </c>
      <c r="T15" s="65" t="s">
        <v>49</v>
      </c>
      <c r="U15" s="65">
        <v>220000</v>
      </c>
      <c r="V15" s="65">
        <v>0</v>
      </c>
      <c r="W15" s="65">
        <v>0</v>
      </c>
      <c r="X15" s="65">
        <v>0</v>
      </c>
      <c r="Y15" s="65" t="s">
        <v>54</v>
      </c>
      <c r="Z15" s="65">
        <v>220000</v>
      </c>
      <c r="AA15" s="65" t="s">
        <v>129</v>
      </c>
      <c r="AB15" s="65"/>
      <c r="AC15" s="65" t="s">
        <v>59</v>
      </c>
      <c r="AD15" s="65" t="s">
        <v>116</v>
      </c>
      <c r="AE15" s="65" t="s">
        <v>59</v>
      </c>
      <c r="AF15" s="65" t="s">
        <v>130</v>
      </c>
      <c r="AG15" s="65" t="s">
        <v>49</v>
      </c>
      <c r="AH15" s="65"/>
      <c r="AI15" s="103"/>
    </row>
    <row r="16" spans="1:35" s="66" customFormat="1" x14ac:dyDescent="0.35">
      <c r="A16" s="101"/>
      <c r="B16" s="102" t="s">
        <v>132</v>
      </c>
      <c r="C16" s="65" t="s">
        <v>46</v>
      </c>
      <c r="D16" s="65" t="s">
        <v>56</v>
      </c>
      <c r="E16" s="65">
        <v>5299</v>
      </c>
      <c r="F16" s="65" t="s">
        <v>48</v>
      </c>
      <c r="G16" s="65" t="s">
        <v>133</v>
      </c>
      <c r="H16" s="65"/>
      <c r="I16" s="65" t="s">
        <v>134</v>
      </c>
      <c r="J16" s="65" t="s">
        <v>49</v>
      </c>
      <c r="K16" s="65" t="s">
        <v>67</v>
      </c>
      <c r="L16" s="65" t="s">
        <v>71</v>
      </c>
      <c r="M16" s="65" t="s">
        <v>52</v>
      </c>
      <c r="N16" s="65">
        <v>200000</v>
      </c>
      <c r="O16" s="65" t="s">
        <v>49</v>
      </c>
      <c r="P16" s="65" t="s">
        <v>53</v>
      </c>
      <c r="Q16" s="65">
        <v>200000</v>
      </c>
      <c r="R16" s="65">
        <v>0</v>
      </c>
      <c r="S16" s="65">
        <v>0</v>
      </c>
      <c r="T16" s="65" t="s">
        <v>49</v>
      </c>
      <c r="U16" s="65">
        <v>200000</v>
      </c>
      <c r="V16" s="65">
        <v>0</v>
      </c>
      <c r="W16" s="65">
        <v>0</v>
      </c>
      <c r="X16" s="65">
        <v>0</v>
      </c>
      <c r="Y16" s="65" t="s">
        <v>54</v>
      </c>
      <c r="Z16" s="65">
        <v>200000</v>
      </c>
      <c r="AA16" s="65" t="s">
        <v>135</v>
      </c>
      <c r="AB16" s="65"/>
      <c r="AC16" s="65" t="s">
        <v>55</v>
      </c>
      <c r="AD16" s="65" t="s">
        <v>136</v>
      </c>
      <c r="AE16" s="65" t="s">
        <v>49</v>
      </c>
      <c r="AF16" s="65"/>
      <c r="AG16" s="65" t="s">
        <v>49</v>
      </c>
      <c r="AH16" s="65"/>
      <c r="AI16" s="103"/>
    </row>
    <row r="17" spans="1:35" x14ac:dyDescent="0.35">
      <c r="A17" s="101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5"/>
      <c r="N17" s="106">
        <f>SUM(N5:N16)</f>
        <v>2165000</v>
      </c>
      <c r="O17" s="106">
        <f t="shared" ref="O17:Z17" si="0">SUM(O5:O16)</f>
        <v>0</v>
      </c>
      <c r="P17" s="106">
        <f t="shared" si="0"/>
        <v>0</v>
      </c>
      <c r="Q17" s="106">
        <f t="shared" si="0"/>
        <v>2165000</v>
      </c>
      <c r="R17" s="106">
        <f t="shared" si="0"/>
        <v>0</v>
      </c>
      <c r="S17" s="106">
        <f t="shared" si="0"/>
        <v>0</v>
      </c>
      <c r="T17" s="106">
        <f t="shared" si="0"/>
        <v>0</v>
      </c>
      <c r="U17" s="106">
        <f t="shared" si="0"/>
        <v>2165000</v>
      </c>
      <c r="V17" s="106">
        <f t="shared" si="0"/>
        <v>1525000</v>
      </c>
      <c r="W17" s="106">
        <f t="shared" si="0"/>
        <v>0</v>
      </c>
      <c r="X17" s="106">
        <f t="shared" si="0"/>
        <v>0</v>
      </c>
      <c r="Y17" s="106">
        <f t="shared" si="0"/>
        <v>0</v>
      </c>
      <c r="Z17" s="106">
        <f t="shared" si="0"/>
        <v>2165000</v>
      </c>
      <c r="AA17" s="104"/>
      <c r="AB17" s="104"/>
      <c r="AC17" s="104"/>
      <c r="AD17" s="104"/>
      <c r="AE17" s="104"/>
      <c r="AF17" s="104"/>
      <c r="AG17" s="104"/>
      <c r="AH17" s="104"/>
      <c r="AI17" s="107"/>
    </row>
    <row r="18" spans="1:35" s="66" customFormat="1" x14ac:dyDescent="0.35">
      <c r="A18" s="101"/>
      <c r="B18" s="102" t="s">
        <v>178</v>
      </c>
      <c r="C18" s="65" t="s">
        <v>46</v>
      </c>
      <c r="D18" s="65" t="s">
        <v>47</v>
      </c>
      <c r="E18" s="65">
        <v>7470</v>
      </c>
      <c r="F18" s="65" t="s">
        <v>48</v>
      </c>
      <c r="G18" s="65" t="s">
        <v>179</v>
      </c>
      <c r="H18" s="65" t="s">
        <v>180</v>
      </c>
      <c r="I18" s="65" t="s">
        <v>181</v>
      </c>
      <c r="J18" s="65" t="s">
        <v>182</v>
      </c>
      <c r="K18" s="65" t="s">
        <v>51</v>
      </c>
      <c r="L18" s="65" t="s">
        <v>58</v>
      </c>
      <c r="M18" s="65" t="s">
        <v>52</v>
      </c>
      <c r="N18" s="65">
        <v>150000</v>
      </c>
      <c r="O18" s="65" t="s">
        <v>183</v>
      </c>
      <c r="P18" s="65" t="s">
        <v>149</v>
      </c>
      <c r="Q18" s="65">
        <v>150000</v>
      </c>
      <c r="R18" s="65">
        <v>0</v>
      </c>
      <c r="S18" s="65">
        <v>0</v>
      </c>
      <c r="T18" s="65" t="s">
        <v>49</v>
      </c>
      <c r="U18" s="65">
        <v>150000</v>
      </c>
      <c r="V18" s="65">
        <v>150000</v>
      </c>
      <c r="W18" s="65">
        <v>0</v>
      </c>
      <c r="X18" s="65">
        <v>0</v>
      </c>
      <c r="Y18" s="65" t="s">
        <v>54</v>
      </c>
      <c r="Z18" s="65">
        <v>150000</v>
      </c>
      <c r="AA18" s="65" t="s">
        <v>184</v>
      </c>
      <c r="AB18" s="65"/>
      <c r="AC18" s="65" t="s">
        <v>179</v>
      </c>
      <c r="AD18" s="65" t="s">
        <v>185</v>
      </c>
      <c r="AE18" s="65" t="s">
        <v>49</v>
      </c>
      <c r="AF18" s="65">
        <v>0</v>
      </c>
      <c r="AG18" s="65" t="s">
        <v>49</v>
      </c>
      <c r="AH18" s="65"/>
      <c r="AI18" s="103"/>
    </row>
    <row r="19" spans="1:35" s="66" customFormat="1" x14ac:dyDescent="0.35">
      <c r="A19" s="101"/>
      <c r="B19" s="102" t="s">
        <v>205</v>
      </c>
      <c r="C19" s="65" t="s">
        <v>46</v>
      </c>
      <c r="D19" s="65" t="s">
        <v>47</v>
      </c>
      <c r="E19" s="65">
        <v>7470</v>
      </c>
      <c r="F19" s="65" t="s">
        <v>48</v>
      </c>
      <c r="G19" s="65" t="s">
        <v>179</v>
      </c>
      <c r="H19" s="65" t="s">
        <v>180</v>
      </c>
      <c r="I19" s="65" t="s">
        <v>181</v>
      </c>
      <c r="J19" s="65" t="s">
        <v>182</v>
      </c>
      <c r="K19" s="65" t="s">
        <v>58</v>
      </c>
      <c r="L19" s="65" t="s">
        <v>60</v>
      </c>
      <c r="M19" s="65" t="s">
        <v>52</v>
      </c>
      <c r="N19" s="65">
        <v>150000</v>
      </c>
      <c r="O19" s="65" t="s">
        <v>183</v>
      </c>
      <c r="P19" s="65" t="s">
        <v>149</v>
      </c>
      <c r="Q19" s="65">
        <v>150000</v>
      </c>
      <c r="R19" s="65">
        <v>0</v>
      </c>
      <c r="S19" s="65">
        <v>0</v>
      </c>
      <c r="T19" s="65" t="s">
        <v>49</v>
      </c>
      <c r="U19" s="65">
        <v>150000</v>
      </c>
      <c r="V19" s="65">
        <v>150000</v>
      </c>
      <c r="W19" s="65">
        <v>0</v>
      </c>
      <c r="X19" s="65">
        <v>0</v>
      </c>
      <c r="Y19" s="65" t="s">
        <v>54</v>
      </c>
      <c r="Z19" s="65">
        <v>150000</v>
      </c>
      <c r="AA19" s="65" t="s">
        <v>206</v>
      </c>
      <c r="AB19" s="65"/>
      <c r="AC19" s="65" t="s">
        <v>179</v>
      </c>
      <c r="AD19" s="65" t="s">
        <v>185</v>
      </c>
      <c r="AE19" s="65" t="s">
        <v>49</v>
      </c>
      <c r="AF19" s="65">
        <v>0</v>
      </c>
      <c r="AG19" s="65" t="s">
        <v>49</v>
      </c>
      <c r="AH19" s="65"/>
      <c r="AI19" s="103"/>
    </row>
    <row r="20" spans="1:35" s="66" customFormat="1" x14ac:dyDescent="0.35">
      <c r="A20" s="101"/>
      <c r="B20" s="102" t="s">
        <v>86</v>
      </c>
      <c r="C20" s="65" t="s">
        <v>46</v>
      </c>
      <c r="D20" s="65" t="s">
        <v>47</v>
      </c>
      <c r="E20" s="65">
        <v>7470</v>
      </c>
      <c r="F20" s="65" t="s">
        <v>48</v>
      </c>
      <c r="G20" s="65" t="s">
        <v>87</v>
      </c>
      <c r="H20" s="65"/>
      <c r="I20" s="65" t="s">
        <v>88</v>
      </c>
      <c r="J20" s="65" t="s">
        <v>49</v>
      </c>
      <c r="K20" s="65" t="s">
        <v>60</v>
      </c>
      <c r="L20" s="65" t="s">
        <v>62</v>
      </c>
      <c r="M20" s="65" t="s">
        <v>52</v>
      </c>
      <c r="N20" s="65">
        <v>150000</v>
      </c>
      <c r="O20" s="65" t="s">
        <v>49</v>
      </c>
      <c r="P20" s="65" t="s">
        <v>53</v>
      </c>
      <c r="Q20" s="65">
        <v>150000</v>
      </c>
      <c r="R20" s="65">
        <v>0</v>
      </c>
      <c r="S20" s="65">
        <v>0</v>
      </c>
      <c r="T20" s="65" t="s">
        <v>49</v>
      </c>
      <c r="U20" s="65">
        <v>150000</v>
      </c>
      <c r="V20" s="65">
        <v>0</v>
      </c>
      <c r="W20" s="65">
        <v>0</v>
      </c>
      <c r="X20" s="65">
        <v>0</v>
      </c>
      <c r="Y20" s="65" t="s">
        <v>54</v>
      </c>
      <c r="Z20" s="65">
        <v>150000</v>
      </c>
      <c r="AA20" s="65" t="s">
        <v>89</v>
      </c>
      <c r="AB20" s="65"/>
      <c r="AC20" s="65" t="s">
        <v>55</v>
      </c>
      <c r="AD20" s="65" t="s">
        <v>89</v>
      </c>
      <c r="AE20" s="65" t="s">
        <v>59</v>
      </c>
      <c r="AF20" s="65" t="s">
        <v>90</v>
      </c>
      <c r="AG20" s="65" t="s">
        <v>49</v>
      </c>
      <c r="AH20" s="65"/>
      <c r="AI20" s="103"/>
    </row>
    <row r="21" spans="1:35" s="66" customFormat="1" x14ac:dyDescent="0.35">
      <c r="A21" s="101"/>
      <c r="B21" s="102" t="s">
        <v>241</v>
      </c>
      <c r="C21" s="65" t="s">
        <v>46</v>
      </c>
      <c r="D21" s="65" t="s">
        <v>47</v>
      </c>
      <c r="E21" s="65">
        <v>7470</v>
      </c>
      <c r="F21" s="65" t="s">
        <v>48</v>
      </c>
      <c r="G21" s="65" t="s">
        <v>242</v>
      </c>
      <c r="H21" s="65" t="s">
        <v>243</v>
      </c>
      <c r="I21" s="65" t="s">
        <v>244</v>
      </c>
      <c r="J21" s="65" t="s">
        <v>245</v>
      </c>
      <c r="K21" s="65" t="s">
        <v>77</v>
      </c>
      <c r="L21" s="65" t="s">
        <v>79</v>
      </c>
      <c r="M21" s="65" t="s">
        <v>52</v>
      </c>
      <c r="N21" s="65">
        <v>150000</v>
      </c>
      <c r="O21" s="65" t="s">
        <v>246</v>
      </c>
      <c r="P21" s="65" t="s">
        <v>149</v>
      </c>
      <c r="Q21" s="65">
        <v>150000</v>
      </c>
      <c r="R21" s="65">
        <v>0</v>
      </c>
      <c r="S21" s="65">
        <v>0</v>
      </c>
      <c r="T21" s="65" t="s">
        <v>49</v>
      </c>
      <c r="U21" s="65">
        <v>150000</v>
      </c>
      <c r="V21" s="65">
        <v>150000</v>
      </c>
      <c r="W21" s="65">
        <v>0</v>
      </c>
      <c r="X21" s="65">
        <v>0</v>
      </c>
      <c r="Y21" s="65" t="s">
        <v>54</v>
      </c>
      <c r="Z21" s="65">
        <v>150000</v>
      </c>
      <c r="AA21" s="65" t="s">
        <v>247</v>
      </c>
      <c r="AB21" s="65"/>
      <c r="AC21" s="65" t="s">
        <v>242</v>
      </c>
      <c r="AD21" s="65" t="s">
        <v>248</v>
      </c>
      <c r="AE21" s="65" t="s">
        <v>49</v>
      </c>
      <c r="AF21" s="65">
        <v>0</v>
      </c>
      <c r="AG21" s="65" t="s">
        <v>49</v>
      </c>
      <c r="AH21" s="65"/>
      <c r="AI21" s="103"/>
    </row>
    <row r="22" spans="1:35" s="66" customFormat="1" x14ac:dyDescent="0.35">
      <c r="A22" s="101"/>
      <c r="B22" s="102" t="s">
        <v>259</v>
      </c>
      <c r="C22" s="65" t="s">
        <v>46</v>
      </c>
      <c r="D22" s="65" t="s">
        <v>47</v>
      </c>
      <c r="E22" s="65">
        <v>7470</v>
      </c>
      <c r="F22" s="65" t="s">
        <v>48</v>
      </c>
      <c r="G22" s="65" t="s">
        <v>260</v>
      </c>
      <c r="H22" s="65" t="s">
        <v>261</v>
      </c>
      <c r="I22" s="65" t="s">
        <v>262</v>
      </c>
      <c r="J22" s="65" t="s">
        <v>263</v>
      </c>
      <c r="K22" s="65" t="s">
        <v>79</v>
      </c>
      <c r="L22" s="65" t="s">
        <v>72</v>
      </c>
      <c r="M22" s="65" t="s">
        <v>52</v>
      </c>
      <c r="N22" s="65">
        <v>150000</v>
      </c>
      <c r="O22" s="65" t="s">
        <v>264</v>
      </c>
      <c r="P22" s="65" t="s">
        <v>149</v>
      </c>
      <c r="Q22" s="65">
        <v>150000</v>
      </c>
      <c r="R22" s="65">
        <v>0</v>
      </c>
      <c r="S22" s="65">
        <v>0</v>
      </c>
      <c r="T22" s="65" t="s">
        <v>49</v>
      </c>
      <c r="U22" s="65">
        <v>150000</v>
      </c>
      <c r="V22" s="65">
        <v>150000</v>
      </c>
      <c r="W22" s="65">
        <v>0</v>
      </c>
      <c r="X22" s="65">
        <v>0</v>
      </c>
      <c r="Y22" s="65" t="s">
        <v>54</v>
      </c>
      <c r="Z22" s="65">
        <v>150000</v>
      </c>
      <c r="AA22" s="65" t="s">
        <v>265</v>
      </c>
      <c r="AB22" s="65"/>
      <c r="AC22" s="65" t="s">
        <v>260</v>
      </c>
      <c r="AD22" s="65" t="s">
        <v>266</v>
      </c>
      <c r="AE22" s="65" t="s">
        <v>49</v>
      </c>
      <c r="AF22" s="65">
        <v>0</v>
      </c>
      <c r="AG22" s="65" t="s">
        <v>49</v>
      </c>
      <c r="AH22" s="65"/>
      <c r="AI22" s="103"/>
    </row>
    <row r="23" spans="1:35" s="66" customFormat="1" x14ac:dyDescent="0.35">
      <c r="A23" s="101"/>
      <c r="B23" s="102" t="s">
        <v>279</v>
      </c>
      <c r="C23" s="65" t="s">
        <v>46</v>
      </c>
      <c r="D23" s="65" t="s">
        <v>47</v>
      </c>
      <c r="E23" s="65">
        <v>7470</v>
      </c>
      <c r="F23" s="65" t="s">
        <v>48</v>
      </c>
      <c r="G23" s="65" t="s">
        <v>280</v>
      </c>
      <c r="H23" s="65" t="s">
        <v>281</v>
      </c>
      <c r="I23" s="65" t="s">
        <v>282</v>
      </c>
      <c r="J23" s="65" t="s">
        <v>283</v>
      </c>
      <c r="K23" s="65" t="s">
        <v>72</v>
      </c>
      <c r="L23" s="65" t="s">
        <v>73</v>
      </c>
      <c r="M23" s="65" t="s">
        <v>52</v>
      </c>
      <c r="N23" s="65">
        <v>200000</v>
      </c>
      <c r="O23" s="65" t="s">
        <v>284</v>
      </c>
      <c r="P23" s="65" t="s">
        <v>149</v>
      </c>
      <c r="Q23" s="65">
        <v>200000</v>
      </c>
      <c r="R23" s="65">
        <v>0</v>
      </c>
      <c r="S23" s="65">
        <v>0</v>
      </c>
      <c r="T23" s="65" t="s">
        <v>49</v>
      </c>
      <c r="U23" s="65">
        <v>200000</v>
      </c>
      <c r="V23" s="65">
        <v>200000</v>
      </c>
      <c r="W23" s="65">
        <v>0</v>
      </c>
      <c r="X23" s="65">
        <v>0</v>
      </c>
      <c r="Y23" s="65" t="s">
        <v>54</v>
      </c>
      <c r="Z23" s="65">
        <v>200000</v>
      </c>
      <c r="AA23" s="65" t="s">
        <v>285</v>
      </c>
      <c r="AB23" s="65"/>
      <c r="AC23" s="65" t="s">
        <v>280</v>
      </c>
      <c r="AD23" s="65" t="s">
        <v>286</v>
      </c>
      <c r="AE23" s="65" t="s">
        <v>49</v>
      </c>
      <c r="AF23" s="65">
        <v>0</v>
      </c>
      <c r="AG23" s="65" t="s">
        <v>49</v>
      </c>
      <c r="AH23" s="65"/>
      <c r="AI23" s="103"/>
    </row>
    <row r="24" spans="1:35" s="66" customFormat="1" x14ac:dyDescent="0.35">
      <c r="A24" s="101"/>
      <c r="B24" s="102" t="s">
        <v>287</v>
      </c>
      <c r="C24" s="65" t="s">
        <v>46</v>
      </c>
      <c r="D24" s="65" t="s">
        <v>47</v>
      </c>
      <c r="E24" s="65">
        <v>7470</v>
      </c>
      <c r="F24" s="65" t="s">
        <v>48</v>
      </c>
      <c r="G24" s="65" t="s">
        <v>280</v>
      </c>
      <c r="H24" s="65" t="s">
        <v>281</v>
      </c>
      <c r="I24" s="65" t="s">
        <v>282</v>
      </c>
      <c r="J24" s="65" t="s">
        <v>283</v>
      </c>
      <c r="K24" s="65" t="s">
        <v>73</v>
      </c>
      <c r="L24" s="65" t="s">
        <v>74</v>
      </c>
      <c r="M24" s="65" t="s">
        <v>52</v>
      </c>
      <c r="N24" s="65">
        <v>200000</v>
      </c>
      <c r="O24" s="65" t="s">
        <v>284</v>
      </c>
      <c r="P24" s="65" t="s">
        <v>149</v>
      </c>
      <c r="Q24" s="65">
        <v>200000</v>
      </c>
      <c r="R24" s="65">
        <v>0</v>
      </c>
      <c r="S24" s="65">
        <v>0</v>
      </c>
      <c r="T24" s="65" t="s">
        <v>49</v>
      </c>
      <c r="U24" s="65">
        <v>200000</v>
      </c>
      <c r="V24" s="65">
        <v>200000</v>
      </c>
      <c r="W24" s="65">
        <v>0</v>
      </c>
      <c r="X24" s="65">
        <v>0</v>
      </c>
      <c r="Y24" s="65" t="s">
        <v>54</v>
      </c>
      <c r="Z24" s="65">
        <v>200000</v>
      </c>
      <c r="AA24" s="65" t="s">
        <v>288</v>
      </c>
      <c r="AB24" s="65"/>
      <c r="AC24" s="65" t="s">
        <v>280</v>
      </c>
      <c r="AD24" s="65" t="s">
        <v>286</v>
      </c>
      <c r="AE24" s="65" t="s">
        <v>49</v>
      </c>
      <c r="AF24" s="65">
        <v>0</v>
      </c>
      <c r="AG24" s="65" t="s">
        <v>49</v>
      </c>
      <c r="AH24" s="65"/>
      <c r="AI24" s="103"/>
    </row>
    <row r="25" spans="1:35" s="66" customFormat="1" x14ac:dyDescent="0.35">
      <c r="A25" s="101"/>
      <c r="B25" s="102" t="s">
        <v>110</v>
      </c>
      <c r="C25" s="65" t="s">
        <v>46</v>
      </c>
      <c r="D25" s="65" t="s">
        <v>47</v>
      </c>
      <c r="E25" s="65">
        <v>7470</v>
      </c>
      <c r="F25" s="65" t="s">
        <v>48</v>
      </c>
      <c r="G25" s="65" t="s">
        <v>78</v>
      </c>
      <c r="H25" s="65"/>
      <c r="I25" s="65" t="s">
        <v>61</v>
      </c>
      <c r="J25" s="65" t="s">
        <v>49</v>
      </c>
      <c r="K25" s="65" t="s">
        <v>65</v>
      </c>
      <c r="L25" s="65" t="s">
        <v>66</v>
      </c>
      <c r="M25" s="65" t="s">
        <v>52</v>
      </c>
      <c r="N25" s="65">
        <v>220000</v>
      </c>
      <c r="O25" s="65" t="s">
        <v>49</v>
      </c>
      <c r="P25" s="65" t="s">
        <v>53</v>
      </c>
      <c r="Q25" s="65">
        <v>220000</v>
      </c>
      <c r="R25" s="65">
        <v>0</v>
      </c>
      <c r="S25" s="65">
        <v>0</v>
      </c>
      <c r="T25" s="65" t="s">
        <v>49</v>
      </c>
      <c r="U25" s="65">
        <v>220000</v>
      </c>
      <c r="V25" s="65">
        <v>0</v>
      </c>
      <c r="W25" s="65">
        <v>0</v>
      </c>
      <c r="X25" s="65">
        <v>0</v>
      </c>
      <c r="Y25" s="65" t="s">
        <v>54</v>
      </c>
      <c r="Z25" s="65">
        <v>220000</v>
      </c>
      <c r="AA25" s="65" t="s">
        <v>111</v>
      </c>
      <c r="AB25" s="65"/>
      <c r="AC25" s="65" t="s">
        <v>59</v>
      </c>
      <c r="AD25" s="65" t="s">
        <v>112</v>
      </c>
      <c r="AE25" s="65" t="s">
        <v>59</v>
      </c>
      <c r="AF25" s="65" t="s">
        <v>113</v>
      </c>
      <c r="AG25" s="65" t="s">
        <v>49</v>
      </c>
      <c r="AH25" s="65"/>
      <c r="AI25" s="103"/>
    </row>
    <row r="26" spans="1:35" s="66" customFormat="1" x14ac:dyDescent="0.35">
      <c r="A26" s="101"/>
      <c r="B26" s="102" t="s">
        <v>125</v>
      </c>
      <c r="C26" s="65" t="s">
        <v>46</v>
      </c>
      <c r="D26" s="65" t="s">
        <v>47</v>
      </c>
      <c r="E26" s="65">
        <v>7470</v>
      </c>
      <c r="F26" s="65" t="s">
        <v>48</v>
      </c>
      <c r="G26" s="65" t="s">
        <v>78</v>
      </c>
      <c r="H26" s="65"/>
      <c r="I26" s="65" t="s">
        <v>61</v>
      </c>
      <c r="J26" s="65" t="s">
        <v>49</v>
      </c>
      <c r="K26" s="65" t="s">
        <v>66</v>
      </c>
      <c r="L26" s="65" t="s">
        <v>67</v>
      </c>
      <c r="M26" s="65" t="s">
        <v>52</v>
      </c>
      <c r="N26" s="65">
        <v>220000</v>
      </c>
      <c r="O26" s="65" t="s">
        <v>49</v>
      </c>
      <c r="P26" s="65" t="s">
        <v>53</v>
      </c>
      <c r="Q26" s="65">
        <v>220000</v>
      </c>
      <c r="R26" s="65">
        <v>0</v>
      </c>
      <c r="S26" s="65">
        <v>0</v>
      </c>
      <c r="T26" s="65" t="s">
        <v>49</v>
      </c>
      <c r="U26" s="65">
        <v>220000</v>
      </c>
      <c r="V26" s="65">
        <v>0</v>
      </c>
      <c r="W26" s="65">
        <v>0</v>
      </c>
      <c r="X26" s="65">
        <v>0</v>
      </c>
      <c r="Y26" s="65" t="s">
        <v>54</v>
      </c>
      <c r="Z26" s="65">
        <v>220000</v>
      </c>
      <c r="AA26" s="65" t="s">
        <v>126</v>
      </c>
      <c r="AB26" s="65"/>
      <c r="AC26" s="65" t="s">
        <v>59</v>
      </c>
      <c r="AD26" s="65" t="s">
        <v>112</v>
      </c>
      <c r="AE26" s="65" t="s">
        <v>59</v>
      </c>
      <c r="AF26" s="65" t="s">
        <v>127</v>
      </c>
      <c r="AG26" s="65" t="s">
        <v>49</v>
      </c>
      <c r="AH26" s="65"/>
      <c r="AI26" s="103"/>
    </row>
    <row r="27" spans="1:35" x14ac:dyDescent="0.35">
      <c r="A27" s="101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5"/>
      <c r="N27" s="106">
        <f>SUM(N18:N26)</f>
        <v>1590000</v>
      </c>
      <c r="O27" s="106">
        <f t="shared" ref="O27:Z27" si="1">SUM(O18:O26)</f>
        <v>0</v>
      </c>
      <c r="P27" s="106">
        <f t="shared" si="1"/>
        <v>0</v>
      </c>
      <c r="Q27" s="106">
        <f t="shared" si="1"/>
        <v>1590000</v>
      </c>
      <c r="R27" s="106">
        <f t="shared" si="1"/>
        <v>0</v>
      </c>
      <c r="S27" s="106">
        <f t="shared" si="1"/>
        <v>0</v>
      </c>
      <c r="T27" s="106">
        <f t="shared" si="1"/>
        <v>0</v>
      </c>
      <c r="U27" s="106">
        <f t="shared" si="1"/>
        <v>1590000</v>
      </c>
      <c r="V27" s="106">
        <f t="shared" si="1"/>
        <v>1000000</v>
      </c>
      <c r="W27" s="106">
        <f t="shared" si="1"/>
        <v>0</v>
      </c>
      <c r="X27" s="106">
        <f t="shared" si="1"/>
        <v>0</v>
      </c>
      <c r="Y27" s="106">
        <f t="shared" si="1"/>
        <v>0</v>
      </c>
      <c r="Z27" s="106">
        <f t="shared" si="1"/>
        <v>1590000</v>
      </c>
      <c r="AA27" s="104"/>
      <c r="AB27" s="104"/>
      <c r="AC27" s="104"/>
      <c r="AD27" s="104"/>
      <c r="AE27" s="104"/>
      <c r="AF27" s="104"/>
      <c r="AG27" s="104"/>
      <c r="AH27" s="104"/>
      <c r="AI27" s="107"/>
    </row>
    <row r="28" spans="1:35" s="66" customFormat="1" x14ac:dyDescent="0.35">
      <c r="A28" s="101"/>
      <c r="B28" s="102" t="s">
        <v>186</v>
      </c>
      <c r="C28" s="65" t="s">
        <v>46</v>
      </c>
      <c r="D28" s="65" t="s">
        <v>57</v>
      </c>
      <c r="E28" s="65">
        <v>7471</v>
      </c>
      <c r="F28" s="65" t="s">
        <v>48</v>
      </c>
      <c r="G28" s="65" t="s">
        <v>179</v>
      </c>
      <c r="H28" s="65" t="s">
        <v>180</v>
      </c>
      <c r="I28" s="65" t="s">
        <v>181</v>
      </c>
      <c r="J28" s="65" t="s">
        <v>182</v>
      </c>
      <c r="K28" s="65" t="s">
        <v>51</v>
      </c>
      <c r="L28" s="65" t="s">
        <v>58</v>
      </c>
      <c r="M28" s="65" t="s">
        <v>52</v>
      </c>
      <c r="N28" s="65">
        <v>150000</v>
      </c>
      <c r="O28" s="65" t="s">
        <v>183</v>
      </c>
      <c r="P28" s="65" t="s">
        <v>149</v>
      </c>
      <c r="Q28" s="65">
        <v>150000</v>
      </c>
      <c r="R28" s="65">
        <v>0</v>
      </c>
      <c r="S28" s="65">
        <v>0</v>
      </c>
      <c r="T28" s="65" t="s">
        <v>49</v>
      </c>
      <c r="U28" s="65">
        <v>150000</v>
      </c>
      <c r="V28" s="65">
        <v>150000</v>
      </c>
      <c r="W28" s="65">
        <v>0</v>
      </c>
      <c r="X28" s="65">
        <v>0</v>
      </c>
      <c r="Y28" s="65" t="s">
        <v>54</v>
      </c>
      <c r="Z28" s="65">
        <v>150000</v>
      </c>
      <c r="AA28" s="65" t="s">
        <v>187</v>
      </c>
      <c r="AB28" s="65"/>
      <c r="AC28" s="65" t="s">
        <v>179</v>
      </c>
      <c r="AD28" s="65" t="s">
        <v>185</v>
      </c>
      <c r="AE28" s="65" t="s">
        <v>49</v>
      </c>
      <c r="AF28" s="65">
        <v>0</v>
      </c>
      <c r="AG28" s="65" t="s">
        <v>49</v>
      </c>
      <c r="AH28" s="65"/>
      <c r="AI28" s="103"/>
    </row>
    <row r="29" spans="1:35" s="66" customFormat="1" x14ac:dyDescent="0.35">
      <c r="A29" s="101"/>
      <c r="B29" s="102" t="s">
        <v>207</v>
      </c>
      <c r="C29" s="65" t="s">
        <v>46</v>
      </c>
      <c r="D29" s="65" t="s">
        <v>57</v>
      </c>
      <c r="E29" s="65">
        <v>7471</v>
      </c>
      <c r="F29" s="65" t="s">
        <v>48</v>
      </c>
      <c r="G29" s="65" t="s">
        <v>179</v>
      </c>
      <c r="H29" s="65" t="s">
        <v>180</v>
      </c>
      <c r="I29" s="65" t="s">
        <v>181</v>
      </c>
      <c r="J29" s="65" t="s">
        <v>182</v>
      </c>
      <c r="K29" s="65" t="s">
        <v>58</v>
      </c>
      <c r="L29" s="65" t="s">
        <v>60</v>
      </c>
      <c r="M29" s="65" t="s">
        <v>52</v>
      </c>
      <c r="N29" s="65">
        <v>150000</v>
      </c>
      <c r="O29" s="65" t="s">
        <v>183</v>
      </c>
      <c r="P29" s="65" t="s">
        <v>149</v>
      </c>
      <c r="Q29" s="65">
        <v>150000</v>
      </c>
      <c r="R29" s="65">
        <v>0</v>
      </c>
      <c r="S29" s="65">
        <v>0</v>
      </c>
      <c r="T29" s="65" t="s">
        <v>49</v>
      </c>
      <c r="U29" s="65">
        <v>150000</v>
      </c>
      <c r="V29" s="65">
        <v>150000</v>
      </c>
      <c r="W29" s="65">
        <v>0</v>
      </c>
      <c r="X29" s="65">
        <v>0</v>
      </c>
      <c r="Y29" s="65" t="s">
        <v>54</v>
      </c>
      <c r="Z29" s="65">
        <v>150000</v>
      </c>
      <c r="AA29" s="65" t="s">
        <v>208</v>
      </c>
      <c r="AB29" s="65"/>
      <c r="AC29" s="65" t="s">
        <v>179</v>
      </c>
      <c r="AD29" s="65" t="s">
        <v>185</v>
      </c>
      <c r="AE29" s="65" t="s">
        <v>49</v>
      </c>
      <c r="AF29" s="65">
        <v>0</v>
      </c>
      <c r="AG29" s="65" t="s">
        <v>49</v>
      </c>
      <c r="AH29" s="65"/>
      <c r="AI29" s="103"/>
    </row>
    <row r="30" spans="1:35" s="66" customFormat="1" x14ac:dyDescent="0.35">
      <c r="A30" s="101"/>
      <c r="B30" s="102" t="s">
        <v>93</v>
      </c>
      <c r="C30" s="65" t="s">
        <v>46</v>
      </c>
      <c r="D30" s="65" t="s">
        <v>57</v>
      </c>
      <c r="E30" s="65">
        <v>7471</v>
      </c>
      <c r="F30" s="65" t="s">
        <v>48</v>
      </c>
      <c r="G30" s="65" t="s">
        <v>94</v>
      </c>
      <c r="H30" s="65"/>
      <c r="I30" s="65" t="s">
        <v>61</v>
      </c>
      <c r="J30" s="65" t="s">
        <v>49</v>
      </c>
      <c r="K30" s="65" t="s">
        <v>76</v>
      </c>
      <c r="L30" s="65" t="s">
        <v>77</v>
      </c>
      <c r="M30" s="65" t="s">
        <v>52</v>
      </c>
      <c r="N30" s="65">
        <v>150000</v>
      </c>
      <c r="O30" s="65" t="s">
        <v>49</v>
      </c>
      <c r="P30" s="65" t="s">
        <v>53</v>
      </c>
      <c r="Q30" s="65">
        <v>150000</v>
      </c>
      <c r="R30" s="65">
        <v>0</v>
      </c>
      <c r="S30" s="65">
        <v>0</v>
      </c>
      <c r="T30" s="65" t="s">
        <v>49</v>
      </c>
      <c r="U30" s="65">
        <v>150000</v>
      </c>
      <c r="V30" s="65">
        <v>0</v>
      </c>
      <c r="W30" s="65">
        <v>0</v>
      </c>
      <c r="X30" s="65">
        <v>0</v>
      </c>
      <c r="Y30" s="65" t="s">
        <v>54</v>
      </c>
      <c r="Z30" s="65">
        <v>150000</v>
      </c>
      <c r="AA30" s="65" t="s">
        <v>95</v>
      </c>
      <c r="AB30" s="65"/>
      <c r="AC30" s="65" t="s">
        <v>55</v>
      </c>
      <c r="AD30" s="65" t="s">
        <v>96</v>
      </c>
      <c r="AE30" s="65" t="s">
        <v>49</v>
      </c>
      <c r="AF30" s="65"/>
      <c r="AG30" s="65" t="s">
        <v>49</v>
      </c>
      <c r="AH30" s="65"/>
      <c r="AI30" s="103"/>
    </row>
    <row r="31" spans="1:35" s="66" customFormat="1" x14ac:dyDescent="0.35">
      <c r="A31" s="101"/>
      <c r="B31" s="102" t="s">
        <v>249</v>
      </c>
      <c r="C31" s="65" t="s">
        <v>46</v>
      </c>
      <c r="D31" s="65" t="s">
        <v>57</v>
      </c>
      <c r="E31" s="65">
        <v>7471</v>
      </c>
      <c r="F31" s="65" t="s">
        <v>48</v>
      </c>
      <c r="G31" s="65" t="s">
        <v>250</v>
      </c>
      <c r="H31" s="65" t="s">
        <v>251</v>
      </c>
      <c r="I31" s="65" t="s">
        <v>252</v>
      </c>
      <c r="J31" s="65" t="s">
        <v>253</v>
      </c>
      <c r="K31" s="65" t="s">
        <v>77</v>
      </c>
      <c r="L31" s="65" t="s">
        <v>79</v>
      </c>
      <c r="M31" s="65" t="s">
        <v>52</v>
      </c>
      <c r="N31" s="65">
        <v>150000</v>
      </c>
      <c r="O31" s="65" t="s">
        <v>254</v>
      </c>
      <c r="P31" s="65" t="s">
        <v>149</v>
      </c>
      <c r="Q31" s="65">
        <v>150000</v>
      </c>
      <c r="R31" s="65">
        <v>0</v>
      </c>
      <c r="S31" s="65">
        <v>0</v>
      </c>
      <c r="T31" s="65" t="s">
        <v>49</v>
      </c>
      <c r="U31" s="65">
        <v>150000</v>
      </c>
      <c r="V31" s="65">
        <v>150000</v>
      </c>
      <c r="W31" s="65">
        <v>0</v>
      </c>
      <c r="X31" s="65">
        <v>0</v>
      </c>
      <c r="Y31" s="65" t="s">
        <v>54</v>
      </c>
      <c r="Z31" s="65">
        <v>150000</v>
      </c>
      <c r="AA31" s="65" t="s">
        <v>255</v>
      </c>
      <c r="AB31" s="65"/>
      <c r="AC31" s="65" t="s">
        <v>250</v>
      </c>
      <c r="AD31" s="65" t="s">
        <v>256</v>
      </c>
      <c r="AE31" s="65" t="s">
        <v>49</v>
      </c>
      <c r="AF31" s="65">
        <v>0</v>
      </c>
      <c r="AG31" s="65" t="s">
        <v>49</v>
      </c>
      <c r="AH31" s="65"/>
      <c r="AI31" s="103"/>
    </row>
    <row r="32" spans="1:35" s="66" customFormat="1" x14ac:dyDescent="0.35">
      <c r="A32" s="101"/>
      <c r="B32" s="102" t="s">
        <v>257</v>
      </c>
      <c r="C32" s="65" t="s">
        <v>46</v>
      </c>
      <c r="D32" s="65" t="s">
        <v>57</v>
      </c>
      <c r="E32" s="65">
        <v>7471</v>
      </c>
      <c r="F32" s="65" t="s">
        <v>48</v>
      </c>
      <c r="G32" s="65" t="s">
        <v>250</v>
      </c>
      <c r="H32" s="65" t="s">
        <v>251</v>
      </c>
      <c r="I32" s="65" t="s">
        <v>252</v>
      </c>
      <c r="J32" s="65" t="s">
        <v>253</v>
      </c>
      <c r="K32" s="65" t="s">
        <v>79</v>
      </c>
      <c r="L32" s="65" t="s">
        <v>72</v>
      </c>
      <c r="M32" s="65" t="s">
        <v>52</v>
      </c>
      <c r="N32" s="65">
        <v>150000</v>
      </c>
      <c r="O32" s="65" t="s">
        <v>254</v>
      </c>
      <c r="P32" s="65" t="s">
        <v>149</v>
      </c>
      <c r="Q32" s="65">
        <v>150000</v>
      </c>
      <c r="R32" s="65">
        <v>0</v>
      </c>
      <c r="S32" s="65">
        <v>0</v>
      </c>
      <c r="T32" s="65" t="s">
        <v>49</v>
      </c>
      <c r="U32" s="65">
        <v>150000</v>
      </c>
      <c r="V32" s="65">
        <v>150000</v>
      </c>
      <c r="W32" s="65">
        <v>0</v>
      </c>
      <c r="X32" s="65">
        <v>0</v>
      </c>
      <c r="Y32" s="65" t="s">
        <v>54</v>
      </c>
      <c r="Z32" s="65">
        <v>150000</v>
      </c>
      <c r="AA32" s="65" t="s">
        <v>258</v>
      </c>
      <c r="AB32" s="65"/>
      <c r="AC32" s="65" t="s">
        <v>250</v>
      </c>
      <c r="AD32" s="65" t="s">
        <v>256</v>
      </c>
      <c r="AE32" s="65" t="s">
        <v>49</v>
      </c>
      <c r="AF32" s="65">
        <v>0</v>
      </c>
      <c r="AG32" s="65" t="s">
        <v>49</v>
      </c>
      <c r="AH32" s="65"/>
      <c r="AI32" s="103"/>
    </row>
    <row r="33" spans="1:35" s="66" customFormat="1" x14ac:dyDescent="0.35">
      <c r="A33" s="101"/>
      <c r="B33" s="102" t="s">
        <v>97</v>
      </c>
      <c r="C33" s="65" t="s">
        <v>46</v>
      </c>
      <c r="D33" s="65" t="s">
        <v>57</v>
      </c>
      <c r="E33" s="65">
        <v>7471</v>
      </c>
      <c r="F33" s="65" t="s">
        <v>48</v>
      </c>
      <c r="G33" s="65" t="s">
        <v>98</v>
      </c>
      <c r="H33" s="65"/>
      <c r="I33" s="65" t="s">
        <v>61</v>
      </c>
      <c r="J33" s="65" t="s">
        <v>49</v>
      </c>
      <c r="K33" s="65" t="s">
        <v>72</v>
      </c>
      <c r="L33" s="65" t="s">
        <v>73</v>
      </c>
      <c r="M33" s="65" t="s">
        <v>52</v>
      </c>
      <c r="N33" s="65">
        <v>200000</v>
      </c>
      <c r="O33" s="65" t="s">
        <v>49</v>
      </c>
      <c r="P33" s="65" t="s">
        <v>53</v>
      </c>
      <c r="Q33" s="65">
        <v>200000</v>
      </c>
      <c r="R33" s="65">
        <v>0</v>
      </c>
      <c r="S33" s="65">
        <v>0</v>
      </c>
      <c r="T33" s="65" t="s">
        <v>49</v>
      </c>
      <c r="U33" s="65">
        <v>200000</v>
      </c>
      <c r="V33" s="65">
        <v>0</v>
      </c>
      <c r="W33" s="65">
        <v>0</v>
      </c>
      <c r="X33" s="65">
        <v>0</v>
      </c>
      <c r="Y33" s="65" t="s">
        <v>54</v>
      </c>
      <c r="Z33" s="65">
        <v>200000</v>
      </c>
      <c r="AA33" s="65" t="s">
        <v>99</v>
      </c>
      <c r="AB33" s="65"/>
      <c r="AC33" s="65" t="s">
        <v>59</v>
      </c>
      <c r="AD33" s="65" t="s">
        <v>100</v>
      </c>
      <c r="AE33" s="65" t="s">
        <v>59</v>
      </c>
      <c r="AF33" s="65" t="s">
        <v>101</v>
      </c>
      <c r="AG33" s="65" t="s">
        <v>49</v>
      </c>
      <c r="AH33" s="65"/>
      <c r="AI33" s="103"/>
    </row>
    <row r="34" spans="1:35" s="66" customFormat="1" x14ac:dyDescent="0.35">
      <c r="A34" s="101"/>
      <c r="B34" s="102" t="s">
        <v>289</v>
      </c>
      <c r="C34" s="65" t="s">
        <v>46</v>
      </c>
      <c r="D34" s="65" t="s">
        <v>57</v>
      </c>
      <c r="E34" s="65">
        <v>7471</v>
      </c>
      <c r="F34" s="65" t="s">
        <v>48</v>
      </c>
      <c r="G34" s="65" t="s">
        <v>170</v>
      </c>
      <c r="H34" s="65" t="s">
        <v>171</v>
      </c>
      <c r="I34" s="65" t="s">
        <v>172</v>
      </c>
      <c r="J34" s="65" t="s">
        <v>173</v>
      </c>
      <c r="K34" s="65" t="s">
        <v>73</v>
      </c>
      <c r="L34" s="65" t="s">
        <v>74</v>
      </c>
      <c r="M34" s="65" t="s">
        <v>52</v>
      </c>
      <c r="N34" s="65">
        <v>200000</v>
      </c>
      <c r="O34" s="65" t="s">
        <v>290</v>
      </c>
      <c r="P34" s="65" t="s">
        <v>149</v>
      </c>
      <c r="Q34" s="65">
        <v>200000</v>
      </c>
      <c r="R34" s="65">
        <v>0</v>
      </c>
      <c r="S34" s="65">
        <v>0</v>
      </c>
      <c r="T34" s="65" t="s">
        <v>49</v>
      </c>
      <c r="U34" s="65">
        <v>200000</v>
      </c>
      <c r="V34" s="65">
        <v>200000</v>
      </c>
      <c r="W34" s="65">
        <v>0</v>
      </c>
      <c r="X34" s="65">
        <v>0</v>
      </c>
      <c r="Y34" s="65" t="s">
        <v>54</v>
      </c>
      <c r="Z34" s="65">
        <v>200000</v>
      </c>
      <c r="AA34" s="65" t="s">
        <v>291</v>
      </c>
      <c r="AB34" s="65"/>
      <c r="AC34" s="65" t="s">
        <v>170</v>
      </c>
      <c r="AD34" s="65" t="s">
        <v>292</v>
      </c>
      <c r="AE34" s="65" t="s">
        <v>59</v>
      </c>
      <c r="AF34" s="65" t="s">
        <v>292</v>
      </c>
      <c r="AG34" s="65" t="s">
        <v>49</v>
      </c>
      <c r="AH34" s="65"/>
      <c r="AI34" s="103"/>
    </row>
    <row r="35" spans="1:35" s="66" customFormat="1" x14ac:dyDescent="0.35">
      <c r="A35" s="101"/>
      <c r="B35" s="102" t="s">
        <v>297</v>
      </c>
      <c r="C35" s="65" t="s">
        <v>46</v>
      </c>
      <c r="D35" s="65" t="s">
        <v>57</v>
      </c>
      <c r="E35" s="65">
        <v>7471</v>
      </c>
      <c r="F35" s="65" t="s">
        <v>48</v>
      </c>
      <c r="G35" s="65" t="s">
        <v>170</v>
      </c>
      <c r="H35" s="65" t="s">
        <v>171</v>
      </c>
      <c r="I35" s="65" t="s">
        <v>172</v>
      </c>
      <c r="J35" s="65" t="s">
        <v>173</v>
      </c>
      <c r="K35" s="65" t="s">
        <v>74</v>
      </c>
      <c r="L35" s="65" t="s">
        <v>65</v>
      </c>
      <c r="M35" s="65" t="s">
        <v>52</v>
      </c>
      <c r="N35" s="65">
        <v>275000</v>
      </c>
      <c r="O35" s="65" t="s">
        <v>298</v>
      </c>
      <c r="P35" s="65" t="s">
        <v>149</v>
      </c>
      <c r="Q35" s="65">
        <v>275000</v>
      </c>
      <c r="R35" s="65">
        <v>0</v>
      </c>
      <c r="S35" s="65">
        <v>0</v>
      </c>
      <c r="T35" s="65" t="s">
        <v>49</v>
      </c>
      <c r="U35" s="65">
        <v>275000</v>
      </c>
      <c r="V35" s="65">
        <v>275000</v>
      </c>
      <c r="W35" s="65">
        <v>0</v>
      </c>
      <c r="X35" s="65">
        <v>0</v>
      </c>
      <c r="Y35" s="65" t="s">
        <v>54</v>
      </c>
      <c r="Z35" s="65">
        <v>275000</v>
      </c>
      <c r="AA35" s="65" t="s">
        <v>299</v>
      </c>
      <c r="AB35" s="65"/>
      <c r="AC35" s="65" t="s">
        <v>170</v>
      </c>
      <c r="AD35" s="65" t="s">
        <v>300</v>
      </c>
      <c r="AE35" s="65" t="s">
        <v>59</v>
      </c>
      <c r="AF35" s="65" t="s">
        <v>300</v>
      </c>
      <c r="AG35" s="65" t="s">
        <v>49</v>
      </c>
      <c r="AH35" s="65"/>
      <c r="AI35" s="103"/>
    </row>
    <row r="36" spans="1:35" s="66" customFormat="1" x14ac:dyDescent="0.35">
      <c r="A36" s="101"/>
      <c r="B36" s="102" t="s">
        <v>106</v>
      </c>
      <c r="C36" s="65" t="s">
        <v>46</v>
      </c>
      <c r="D36" s="65" t="s">
        <v>57</v>
      </c>
      <c r="E36" s="65">
        <v>7471</v>
      </c>
      <c r="F36" s="65" t="s">
        <v>48</v>
      </c>
      <c r="G36" s="65" t="s">
        <v>78</v>
      </c>
      <c r="H36" s="65"/>
      <c r="I36" s="65" t="s">
        <v>61</v>
      </c>
      <c r="J36" s="65" t="s">
        <v>49</v>
      </c>
      <c r="K36" s="65" t="s">
        <v>65</v>
      </c>
      <c r="L36" s="65" t="s">
        <v>66</v>
      </c>
      <c r="M36" s="65" t="s">
        <v>52</v>
      </c>
      <c r="N36" s="65">
        <v>220000</v>
      </c>
      <c r="O36" s="65" t="s">
        <v>49</v>
      </c>
      <c r="P36" s="65" t="s">
        <v>53</v>
      </c>
      <c r="Q36" s="65">
        <v>220000</v>
      </c>
      <c r="R36" s="65">
        <v>0</v>
      </c>
      <c r="S36" s="65">
        <v>0</v>
      </c>
      <c r="T36" s="65" t="s">
        <v>49</v>
      </c>
      <c r="U36" s="65">
        <v>220000</v>
      </c>
      <c r="V36" s="65">
        <v>0</v>
      </c>
      <c r="W36" s="65">
        <v>0</v>
      </c>
      <c r="X36" s="65">
        <v>0</v>
      </c>
      <c r="Y36" s="65" t="s">
        <v>54</v>
      </c>
      <c r="Z36" s="65">
        <v>220000</v>
      </c>
      <c r="AA36" s="65" t="s">
        <v>107</v>
      </c>
      <c r="AB36" s="65"/>
      <c r="AC36" s="65" t="s">
        <v>59</v>
      </c>
      <c r="AD36" s="65" t="s">
        <v>108</v>
      </c>
      <c r="AE36" s="65" t="s">
        <v>59</v>
      </c>
      <c r="AF36" s="65" t="s">
        <v>109</v>
      </c>
      <c r="AG36" s="65" t="s">
        <v>49</v>
      </c>
      <c r="AH36" s="65"/>
      <c r="AI36" s="103"/>
    </row>
    <row r="37" spans="1:35" s="66" customFormat="1" x14ac:dyDescent="0.35">
      <c r="A37" s="101"/>
      <c r="B37" s="102" t="s">
        <v>123</v>
      </c>
      <c r="C37" s="65" t="s">
        <v>46</v>
      </c>
      <c r="D37" s="65" t="s">
        <v>57</v>
      </c>
      <c r="E37" s="65">
        <v>7471</v>
      </c>
      <c r="F37" s="65" t="s">
        <v>48</v>
      </c>
      <c r="G37" s="65" t="s">
        <v>78</v>
      </c>
      <c r="H37" s="65"/>
      <c r="I37" s="65" t="s">
        <v>61</v>
      </c>
      <c r="J37" s="65" t="s">
        <v>49</v>
      </c>
      <c r="K37" s="65" t="s">
        <v>66</v>
      </c>
      <c r="L37" s="65" t="s">
        <v>67</v>
      </c>
      <c r="M37" s="65" t="s">
        <v>52</v>
      </c>
      <c r="N37" s="65">
        <v>220000</v>
      </c>
      <c r="O37" s="65" t="s">
        <v>49</v>
      </c>
      <c r="P37" s="65" t="s">
        <v>53</v>
      </c>
      <c r="Q37" s="65">
        <v>220000</v>
      </c>
      <c r="R37" s="65">
        <v>0</v>
      </c>
      <c r="S37" s="65">
        <v>0</v>
      </c>
      <c r="T37" s="65" t="s">
        <v>49</v>
      </c>
      <c r="U37" s="65">
        <v>220000</v>
      </c>
      <c r="V37" s="65">
        <v>0</v>
      </c>
      <c r="W37" s="65">
        <v>0</v>
      </c>
      <c r="X37" s="65">
        <v>0</v>
      </c>
      <c r="Y37" s="65" t="s">
        <v>54</v>
      </c>
      <c r="Z37" s="65">
        <v>220000</v>
      </c>
      <c r="AA37" s="65" t="s">
        <v>124</v>
      </c>
      <c r="AB37" s="65"/>
      <c r="AC37" s="65" t="s">
        <v>59</v>
      </c>
      <c r="AD37" s="65" t="s">
        <v>108</v>
      </c>
      <c r="AE37" s="65" t="s">
        <v>49</v>
      </c>
      <c r="AF37" s="65"/>
      <c r="AG37" s="65" t="s">
        <v>49</v>
      </c>
      <c r="AH37" s="65"/>
      <c r="AI37" s="103"/>
    </row>
    <row r="38" spans="1:35" x14ac:dyDescent="0.35">
      <c r="A38" s="101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5"/>
      <c r="N38" s="106">
        <f>SUM(N28:N37)</f>
        <v>1865000</v>
      </c>
      <c r="O38" s="106">
        <f t="shared" ref="O38:Z38" si="2">SUM(O28:O37)</f>
        <v>0</v>
      </c>
      <c r="P38" s="106">
        <f t="shared" si="2"/>
        <v>0</v>
      </c>
      <c r="Q38" s="106">
        <f t="shared" si="2"/>
        <v>1865000</v>
      </c>
      <c r="R38" s="106">
        <f t="shared" si="2"/>
        <v>0</v>
      </c>
      <c r="S38" s="106">
        <f t="shared" si="2"/>
        <v>0</v>
      </c>
      <c r="T38" s="106">
        <f t="shared" si="2"/>
        <v>0</v>
      </c>
      <c r="U38" s="106">
        <f t="shared" si="2"/>
        <v>1865000</v>
      </c>
      <c r="V38" s="106">
        <f t="shared" si="2"/>
        <v>1075000</v>
      </c>
      <c r="W38" s="106">
        <f t="shared" si="2"/>
        <v>0</v>
      </c>
      <c r="X38" s="106">
        <f t="shared" si="2"/>
        <v>0</v>
      </c>
      <c r="Y38" s="106">
        <f t="shared" si="2"/>
        <v>0</v>
      </c>
      <c r="Z38" s="106">
        <f t="shared" si="2"/>
        <v>1865000</v>
      </c>
      <c r="AA38" s="104"/>
      <c r="AB38" s="104"/>
      <c r="AC38" s="104"/>
      <c r="AD38" s="104"/>
      <c r="AE38" s="104"/>
      <c r="AF38" s="104"/>
      <c r="AG38" s="104"/>
      <c r="AH38" s="104"/>
      <c r="AI38" s="107"/>
    </row>
    <row r="39" spans="1:35" s="66" customFormat="1" x14ac:dyDescent="0.35">
      <c r="A39" s="101"/>
      <c r="B39" s="102" t="s">
        <v>190</v>
      </c>
      <c r="C39" s="65" t="s">
        <v>46</v>
      </c>
      <c r="D39" s="65" t="s">
        <v>63</v>
      </c>
      <c r="E39" s="65">
        <v>7472</v>
      </c>
      <c r="F39" s="65" t="s">
        <v>48</v>
      </c>
      <c r="G39" s="65" t="s">
        <v>191</v>
      </c>
      <c r="H39" s="65" t="s">
        <v>192</v>
      </c>
      <c r="I39" s="65" t="s">
        <v>193</v>
      </c>
      <c r="J39" s="65" t="s">
        <v>191</v>
      </c>
      <c r="K39" s="65" t="s">
        <v>51</v>
      </c>
      <c r="L39" s="65" t="s">
        <v>58</v>
      </c>
      <c r="M39" s="65" t="s">
        <v>52</v>
      </c>
      <c r="N39" s="65">
        <v>150000</v>
      </c>
      <c r="O39" s="65" t="s">
        <v>194</v>
      </c>
      <c r="P39" s="65" t="s">
        <v>149</v>
      </c>
      <c r="Q39" s="65">
        <v>150000</v>
      </c>
      <c r="R39" s="65">
        <v>0</v>
      </c>
      <c r="S39" s="65">
        <v>0</v>
      </c>
      <c r="T39" s="65" t="s">
        <v>49</v>
      </c>
      <c r="U39" s="65">
        <v>150000</v>
      </c>
      <c r="V39" s="65">
        <v>150000</v>
      </c>
      <c r="W39" s="65">
        <v>0</v>
      </c>
      <c r="X39" s="65">
        <v>0</v>
      </c>
      <c r="Y39" s="65" t="s">
        <v>54</v>
      </c>
      <c r="Z39" s="65">
        <v>150000</v>
      </c>
      <c r="AA39" s="65" t="s">
        <v>195</v>
      </c>
      <c r="AB39" s="65"/>
      <c r="AC39" s="65" t="s">
        <v>191</v>
      </c>
      <c r="AD39" s="65" t="s">
        <v>196</v>
      </c>
      <c r="AE39" s="65" t="s">
        <v>49</v>
      </c>
      <c r="AF39" s="65">
        <v>0</v>
      </c>
      <c r="AG39" s="65" t="s">
        <v>49</v>
      </c>
      <c r="AH39" s="65"/>
      <c r="AI39" s="103"/>
    </row>
    <row r="40" spans="1:35" s="66" customFormat="1" x14ac:dyDescent="0.35">
      <c r="A40" s="101"/>
      <c r="B40" s="102" t="s">
        <v>80</v>
      </c>
      <c r="C40" s="65" t="s">
        <v>46</v>
      </c>
      <c r="D40" s="65" t="s">
        <v>63</v>
      </c>
      <c r="E40" s="65">
        <v>7472</v>
      </c>
      <c r="F40" s="65" t="s">
        <v>48</v>
      </c>
      <c r="G40" s="65" t="s">
        <v>81</v>
      </c>
      <c r="H40" s="65"/>
      <c r="I40" s="65" t="s">
        <v>82</v>
      </c>
      <c r="J40" s="65" t="s">
        <v>49</v>
      </c>
      <c r="K40" s="65" t="s">
        <v>58</v>
      </c>
      <c r="L40" s="65" t="s">
        <v>60</v>
      </c>
      <c r="M40" s="65" t="s">
        <v>52</v>
      </c>
      <c r="N40" s="65">
        <v>150000</v>
      </c>
      <c r="O40" s="65" t="s">
        <v>49</v>
      </c>
      <c r="P40" s="65" t="s">
        <v>53</v>
      </c>
      <c r="Q40" s="65">
        <v>150000</v>
      </c>
      <c r="R40" s="65">
        <v>0</v>
      </c>
      <c r="S40" s="65">
        <v>0</v>
      </c>
      <c r="T40" s="65" t="s">
        <v>49</v>
      </c>
      <c r="U40" s="65">
        <v>150000</v>
      </c>
      <c r="V40" s="65">
        <v>0</v>
      </c>
      <c r="W40" s="65">
        <v>0</v>
      </c>
      <c r="X40" s="65">
        <v>0</v>
      </c>
      <c r="Y40" s="65" t="s">
        <v>54</v>
      </c>
      <c r="Z40" s="65">
        <v>150000</v>
      </c>
      <c r="AA40" s="65" t="s">
        <v>84</v>
      </c>
      <c r="AB40" s="65"/>
      <c r="AC40" s="65" t="s">
        <v>59</v>
      </c>
      <c r="AD40" s="65" t="s">
        <v>85</v>
      </c>
      <c r="AE40" s="65" t="s">
        <v>49</v>
      </c>
      <c r="AF40" s="65"/>
      <c r="AG40" s="65" t="s">
        <v>49</v>
      </c>
      <c r="AH40" s="65"/>
      <c r="AI40" s="103"/>
    </row>
    <row r="41" spans="1:35" s="66" customFormat="1" x14ac:dyDescent="0.35">
      <c r="A41" s="101"/>
      <c r="B41" s="102" t="s">
        <v>91</v>
      </c>
      <c r="C41" s="65" t="s">
        <v>46</v>
      </c>
      <c r="D41" s="65" t="s">
        <v>63</v>
      </c>
      <c r="E41" s="65">
        <v>7472</v>
      </c>
      <c r="F41" s="65" t="s">
        <v>48</v>
      </c>
      <c r="G41" s="65" t="s">
        <v>81</v>
      </c>
      <c r="H41" s="65"/>
      <c r="I41" s="65" t="s">
        <v>82</v>
      </c>
      <c r="J41" s="65" t="s">
        <v>49</v>
      </c>
      <c r="K41" s="65" t="s">
        <v>60</v>
      </c>
      <c r="L41" s="65" t="s">
        <v>62</v>
      </c>
      <c r="M41" s="65" t="s">
        <v>52</v>
      </c>
      <c r="N41" s="65">
        <v>150000</v>
      </c>
      <c r="O41" s="65" t="s">
        <v>49</v>
      </c>
      <c r="P41" s="65" t="s">
        <v>53</v>
      </c>
      <c r="Q41" s="65">
        <v>150000</v>
      </c>
      <c r="R41" s="65">
        <v>0</v>
      </c>
      <c r="S41" s="65">
        <v>0</v>
      </c>
      <c r="T41" s="65" t="s">
        <v>49</v>
      </c>
      <c r="U41" s="65">
        <v>150000</v>
      </c>
      <c r="V41" s="65">
        <v>0</v>
      </c>
      <c r="W41" s="65">
        <v>0</v>
      </c>
      <c r="X41" s="65">
        <v>0</v>
      </c>
      <c r="Y41" s="65" t="s">
        <v>54</v>
      </c>
      <c r="Z41" s="65">
        <v>150000</v>
      </c>
      <c r="AA41" s="65" t="s">
        <v>92</v>
      </c>
      <c r="AB41" s="65"/>
      <c r="AC41" s="65" t="s">
        <v>59</v>
      </c>
      <c r="AD41" s="65" t="s">
        <v>85</v>
      </c>
      <c r="AE41" s="65" t="s">
        <v>49</v>
      </c>
      <c r="AF41" s="65"/>
      <c r="AG41" s="65" t="s">
        <v>49</v>
      </c>
      <c r="AH41" s="65"/>
      <c r="AI41" s="103"/>
    </row>
    <row r="42" spans="1:35" s="66" customFormat="1" x14ac:dyDescent="0.35">
      <c r="A42" s="101"/>
      <c r="B42" s="102" t="s">
        <v>217</v>
      </c>
      <c r="C42" s="65" t="s">
        <v>46</v>
      </c>
      <c r="D42" s="65" t="s">
        <v>63</v>
      </c>
      <c r="E42" s="65">
        <v>7472</v>
      </c>
      <c r="F42" s="65" t="s">
        <v>48</v>
      </c>
      <c r="G42" s="65" t="s">
        <v>150</v>
      </c>
      <c r="H42" s="65" t="s">
        <v>151</v>
      </c>
      <c r="I42" s="65" t="s">
        <v>152</v>
      </c>
      <c r="J42" s="65" t="s">
        <v>153</v>
      </c>
      <c r="K42" s="65" t="s">
        <v>75</v>
      </c>
      <c r="L42" s="65" t="s">
        <v>76</v>
      </c>
      <c r="M42" s="65" t="s">
        <v>52</v>
      </c>
      <c r="N42" s="65">
        <v>150000</v>
      </c>
      <c r="O42" s="65" t="s">
        <v>218</v>
      </c>
      <c r="P42" s="65" t="s">
        <v>149</v>
      </c>
      <c r="Q42" s="65">
        <v>150000</v>
      </c>
      <c r="R42" s="65">
        <v>0</v>
      </c>
      <c r="S42" s="65">
        <v>0</v>
      </c>
      <c r="T42" s="65" t="s">
        <v>49</v>
      </c>
      <c r="U42" s="65">
        <v>150000</v>
      </c>
      <c r="V42" s="65">
        <v>150000</v>
      </c>
      <c r="W42" s="65">
        <v>0</v>
      </c>
      <c r="X42" s="65">
        <v>0</v>
      </c>
      <c r="Y42" s="65" t="s">
        <v>54</v>
      </c>
      <c r="Z42" s="65">
        <v>150000</v>
      </c>
      <c r="AA42" s="65" t="s">
        <v>219</v>
      </c>
      <c r="AB42" s="65"/>
      <c r="AC42" s="65" t="s">
        <v>150</v>
      </c>
      <c r="AD42" s="65" t="s">
        <v>220</v>
      </c>
      <c r="AE42" s="65" t="s">
        <v>49</v>
      </c>
      <c r="AF42" s="65">
        <v>0</v>
      </c>
      <c r="AG42" s="65" t="s">
        <v>49</v>
      </c>
      <c r="AH42" s="65"/>
      <c r="AI42" s="103"/>
    </row>
    <row r="43" spans="1:35" s="66" customFormat="1" x14ac:dyDescent="0.35">
      <c r="A43" s="101"/>
      <c r="B43" s="102" t="s">
        <v>225</v>
      </c>
      <c r="C43" s="65" t="s">
        <v>46</v>
      </c>
      <c r="D43" s="65" t="s">
        <v>63</v>
      </c>
      <c r="E43" s="65">
        <v>7472</v>
      </c>
      <c r="F43" s="65" t="s">
        <v>48</v>
      </c>
      <c r="G43" s="65" t="s">
        <v>150</v>
      </c>
      <c r="H43" s="65" t="s">
        <v>151</v>
      </c>
      <c r="I43" s="65" t="s">
        <v>152</v>
      </c>
      <c r="J43" s="65" t="s">
        <v>153</v>
      </c>
      <c r="K43" s="65" t="s">
        <v>76</v>
      </c>
      <c r="L43" s="65" t="s">
        <v>77</v>
      </c>
      <c r="M43" s="65" t="s">
        <v>52</v>
      </c>
      <c r="N43" s="65">
        <v>150000</v>
      </c>
      <c r="O43" s="65" t="s">
        <v>226</v>
      </c>
      <c r="P43" s="65" t="s">
        <v>149</v>
      </c>
      <c r="Q43" s="65">
        <v>150000</v>
      </c>
      <c r="R43" s="65">
        <v>0</v>
      </c>
      <c r="S43" s="65">
        <v>0</v>
      </c>
      <c r="T43" s="65" t="s">
        <v>49</v>
      </c>
      <c r="U43" s="65">
        <v>150000</v>
      </c>
      <c r="V43" s="65">
        <v>150000</v>
      </c>
      <c r="W43" s="65">
        <v>0</v>
      </c>
      <c r="X43" s="65">
        <v>0</v>
      </c>
      <c r="Y43" s="65" t="s">
        <v>54</v>
      </c>
      <c r="Z43" s="65">
        <v>150000</v>
      </c>
      <c r="AA43" s="65" t="s">
        <v>227</v>
      </c>
      <c r="AB43" s="65"/>
      <c r="AC43" s="65" t="s">
        <v>150</v>
      </c>
      <c r="AD43" s="65" t="s">
        <v>228</v>
      </c>
      <c r="AE43" s="65" t="s">
        <v>49</v>
      </c>
      <c r="AF43" s="65">
        <v>0</v>
      </c>
      <c r="AG43" s="65" t="s">
        <v>49</v>
      </c>
      <c r="AH43" s="65"/>
      <c r="AI43" s="103"/>
    </row>
    <row r="44" spans="1:35" s="66" customFormat="1" x14ac:dyDescent="0.35">
      <c r="A44" s="101"/>
      <c r="B44" s="102" t="s">
        <v>237</v>
      </c>
      <c r="C44" s="65" t="s">
        <v>46</v>
      </c>
      <c r="D44" s="65" t="s">
        <v>63</v>
      </c>
      <c r="E44" s="65">
        <v>7472</v>
      </c>
      <c r="F44" s="65" t="s">
        <v>48</v>
      </c>
      <c r="G44" s="65" t="s">
        <v>150</v>
      </c>
      <c r="H44" s="65" t="s">
        <v>151</v>
      </c>
      <c r="I44" s="65" t="s">
        <v>152</v>
      </c>
      <c r="J44" s="65" t="s">
        <v>153</v>
      </c>
      <c r="K44" s="65" t="s">
        <v>77</v>
      </c>
      <c r="L44" s="65" t="s">
        <v>79</v>
      </c>
      <c r="M44" s="65" t="s">
        <v>52</v>
      </c>
      <c r="N44" s="65">
        <v>150000</v>
      </c>
      <c r="O44" s="65" t="s">
        <v>226</v>
      </c>
      <c r="P44" s="65" t="s">
        <v>149</v>
      </c>
      <c r="Q44" s="65">
        <v>150000</v>
      </c>
      <c r="R44" s="65">
        <v>0</v>
      </c>
      <c r="S44" s="65">
        <v>0</v>
      </c>
      <c r="T44" s="65" t="s">
        <v>49</v>
      </c>
      <c r="U44" s="65">
        <v>150000</v>
      </c>
      <c r="V44" s="65">
        <v>150000</v>
      </c>
      <c r="W44" s="65">
        <v>0</v>
      </c>
      <c r="X44" s="65">
        <v>0</v>
      </c>
      <c r="Y44" s="65" t="s">
        <v>54</v>
      </c>
      <c r="Z44" s="65">
        <v>150000</v>
      </c>
      <c r="AA44" s="65" t="s">
        <v>238</v>
      </c>
      <c r="AB44" s="65"/>
      <c r="AC44" s="65" t="s">
        <v>150</v>
      </c>
      <c r="AD44" s="65" t="s">
        <v>228</v>
      </c>
      <c r="AE44" s="65" t="s">
        <v>49</v>
      </c>
      <c r="AF44" s="65">
        <v>0</v>
      </c>
      <c r="AG44" s="65" t="s">
        <v>49</v>
      </c>
      <c r="AH44" s="65"/>
      <c r="AI44" s="103"/>
    </row>
    <row r="45" spans="1:35" s="66" customFormat="1" x14ac:dyDescent="0.35">
      <c r="A45" s="101"/>
      <c r="B45" s="102" t="s">
        <v>267</v>
      </c>
      <c r="C45" s="65" t="s">
        <v>46</v>
      </c>
      <c r="D45" s="65" t="s">
        <v>63</v>
      </c>
      <c r="E45" s="65">
        <v>7472</v>
      </c>
      <c r="F45" s="65" t="s">
        <v>48</v>
      </c>
      <c r="G45" s="65" t="s">
        <v>162</v>
      </c>
      <c r="H45" s="65" t="s">
        <v>163</v>
      </c>
      <c r="I45" s="65" t="s">
        <v>164</v>
      </c>
      <c r="J45" s="65" t="s">
        <v>165</v>
      </c>
      <c r="K45" s="65" t="s">
        <v>79</v>
      </c>
      <c r="L45" s="65" t="s">
        <v>72</v>
      </c>
      <c r="M45" s="65" t="s">
        <v>52</v>
      </c>
      <c r="N45" s="65">
        <v>150000</v>
      </c>
      <c r="O45" s="65" t="s">
        <v>268</v>
      </c>
      <c r="P45" s="65" t="s">
        <v>149</v>
      </c>
      <c r="Q45" s="65">
        <v>150000</v>
      </c>
      <c r="R45" s="65">
        <v>0</v>
      </c>
      <c r="S45" s="65">
        <v>0</v>
      </c>
      <c r="T45" s="65" t="s">
        <v>49</v>
      </c>
      <c r="U45" s="65">
        <v>150000</v>
      </c>
      <c r="V45" s="65">
        <v>150000</v>
      </c>
      <c r="W45" s="65">
        <v>0</v>
      </c>
      <c r="X45" s="65">
        <v>0</v>
      </c>
      <c r="Y45" s="65" t="s">
        <v>54</v>
      </c>
      <c r="Z45" s="65">
        <v>150000</v>
      </c>
      <c r="AA45" s="65" t="s">
        <v>269</v>
      </c>
      <c r="AB45" s="65"/>
      <c r="AC45" s="65" t="s">
        <v>162</v>
      </c>
      <c r="AD45" s="65" t="s">
        <v>270</v>
      </c>
      <c r="AE45" s="65" t="s">
        <v>49</v>
      </c>
      <c r="AF45" s="65">
        <v>0</v>
      </c>
      <c r="AG45" s="65" t="s">
        <v>49</v>
      </c>
      <c r="AH45" s="65"/>
      <c r="AI45" s="103"/>
    </row>
    <row r="46" spans="1:35" s="66" customFormat="1" x14ac:dyDescent="0.35">
      <c r="A46" s="101"/>
      <c r="B46" s="102" t="s">
        <v>102</v>
      </c>
      <c r="C46" s="65" t="s">
        <v>46</v>
      </c>
      <c r="D46" s="65" t="s">
        <v>63</v>
      </c>
      <c r="E46" s="65">
        <v>7472</v>
      </c>
      <c r="F46" s="65" t="s">
        <v>48</v>
      </c>
      <c r="G46" s="65" t="s">
        <v>78</v>
      </c>
      <c r="H46" s="65"/>
      <c r="I46" s="65" t="s">
        <v>61</v>
      </c>
      <c r="J46" s="65" t="s">
        <v>49</v>
      </c>
      <c r="K46" s="65" t="s">
        <v>65</v>
      </c>
      <c r="L46" s="65" t="s">
        <v>66</v>
      </c>
      <c r="M46" s="65" t="s">
        <v>52</v>
      </c>
      <c r="N46" s="65">
        <v>220000</v>
      </c>
      <c r="O46" s="65" t="s">
        <v>49</v>
      </c>
      <c r="P46" s="65" t="s">
        <v>53</v>
      </c>
      <c r="Q46" s="65">
        <v>220000</v>
      </c>
      <c r="R46" s="65">
        <v>0</v>
      </c>
      <c r="S46" s="65">
        <v>0</v>
      </c>
      <c r="T46" s="65" t="s">
        <v>49</v>
      </c>
      <c r="U46" s="65">
        <v>220000</v>
      </c>
      <c r="V46" s="65">
        <v>0</v>
      </c>
      <c r="W46" s="65">
        <v>0</v>
      </c>
      <c r="X46" s="65">
        <v>0</v>
      </c>
      <c r="Y46" s="65" t="s">
        <v>54</v>
      </c>
      <c r="Z46" s="65">
        <v>220000</v>
      </c>
      <c r="AA46" s="65" t="s">
        <v>103</v>
      </c>
      <c r="AB46" s="65"/>
      <c r="AC46" s="65" t="s">
        <v>59</v>
      </c>
      <c r="AD46" s="65" t="s">
        <v>104</v>
      </c>
      <c r="AE46" s="65" t="s">
        <v>59</v>
      </c>
      <c r="AF46" s="65" t="s">
        <v>105</v>
      </c>
      <c r="AG46" s="65" t="s">
        <v>49</v>
      </c>
      <c r="AH46" s="65"/>
      <c r="AI46" s="103"/>
    </row>
    <row r="47" spans="1:35" s="66" customFormat="1" x14ac:dyDescent="0.35">
      <c r="A47" s="101"/>
      <c r="B47" s="102" t="s">
        <v>121</v>
      </c>
      <c r="C47" s="65" t="s">
        <v>46</v>
      </c>
      <c r="D47" s="65" t="s">
        <v>63</v>
      </c>
      <c r="E47" s="65">
        <v>7472</v>
      </c>
      <c r="F47" s="65" t="s">
        <v>48</v>
      </c>
      <c r="G47" s="65" t="s">
        <v>78</v>
      </c>
      <c r="H47" s="65"/>
      <c r="I47" s="65" t="s">
        <v>61</v>
      </c>
      <c r="J47" s="65" t="s">
        <v>49</v>
      </c>
      <c r="K47" s="65" t="s">
        <v>66</v>
      </c>
      <c r="L47" s="65" t="s">
        <v>67</v>
      </c>
      <c r="M47" s="65" t="s">
        <v>52</v>
      </c>
      <c r="N47" s="65">
        <v>220000</v>
      </c>
      <c r="O47" s="65" t="s">
        <v>49</v>
      </c>
      <c r="P47" s="65" t="s">
        <v>53</v>
      </c>
      <c r="Q47" s="65">
        <v>220000</v>
      </c>
      <c r="R47" s="65">
        <v>0</v>
      </c>
      <c r="S47" s="65">
        <v>0</v>
      </c>
      <c r="T47" s="65" t="s">
        <v>49</v>
      </c>
      <c r="U47" s="65">
        <v>220000</v>
      </c>
      <c r="V47" s="65">
        <v>0</v>
      </c>
      <c r="W47" s="65">
        <v>0</v>
      </c>
      <c r="X47" s="65">
        <v>0</v>
      </c>
      <c r="Y47" s="65" t="s">
        <v>54</v>
      </c>
      <c r="Z47" s="65">
        <v>220000</v>
      </c>
      <c r="AA47" s="65" t="s">
        <v>122</v>
      </c>
      <c r="AB47" s="65"/>
      <c r="AC47" s="65" t="s">
        <v>59</v>
      </c>
      <c r="AD47" s="65" t="s">
        <v>104</v>
      </c>
      <c r="AE47" s="65" t="s">
        <v>49</v>
      </c>
      <c r="AF47" s="65"/>
      <c r="AG47" s="65" t="s">
        <v>49</v>
      </c>
      <c r="AH47" s="65"/>
      <c r="AI47" s="103"/>
    </row>
    <row r="48" spans="1:35" x14ac:dyDescent="0.35">
      <c r="A48" s="101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5"/>
      <c r="N48" s="106">
        <f>SUM(N39:N47)</f>
        <v>1490000</v>
      </c>
      <c r="O48" s="106">
        <f t="shared" ref="O48:Z48" si="3">SUM(O39:O47)</f>
        <v>0</v>
      </c>
      <c r="P48" s="106">
        <f t="shared" si="3"/>
        <v>0</v>
      </c>
      <c r="Q48" s="106">
        <f t="shared" si="3"/>
        <v>1490000</v>
      </c>
      <c r="R48" s="106">
        <f t="shared" si="3"/>
        <v>0</v>
      </c>
      <c r="S48" s="106">
        <f t="shared" si="3"/>
        <v>0</v>
      </c>
      <c r="T48" s="106">
        <f t="shared" si="3"/>
        <v>0</v>
      </c>
      <c r="U48" s="106">
        <f t="shared" si="3"/>
        <v>1490000</v>
      </c>
      <c r="V48" s="106">
        <f t="shared" si="3"/>
        <v>750000</v>
      </c>
      <c r="W48" s="106">
        <f t="shared" si="3"/>
        <v>0</v>
      </c>
      <c r="X48" s="106">
        <f t="shared" si="3"/>
        <v>0</v>
      </c>
      <c r="Y48" s="106">
        <f t="shared" si="3"/>
        <v>0</v>
      </c>
      <c r="Z48" s="106">
        <f t="shared" si="3"/>
        <v>1490000</v>
      </c>
      <c r="AA48" s="104"/>
      <c r="AB48" s="104"/>
      <c r="AC48" s="104"/>
      <c r="AD48" s="104"/>
      <c r="AE48" s="104"/>
      <c r="AF48" s="104"/>
      <c r="AG48" s="104"/>
      <c r="AH48" s="104"/>
      <c r="AI48" s="107"/>
    </row>
    <row r="49" spans="1:35" s="66" customFormat="1" x14ac:dyDescent="0.35">
      <c r="A49" s="101"/>
      <c r="B49" s="102" t="s">
        <v>118</v>
      </c>
      <c r="C49" s="65" t="s">
        <v>46</v>
      </c>
      <c r="D49" s="65" t="s">
        <v>68</v>
      </c>
      <c r="E49" s="65">
        <v>7112</v>
      </c>
      <c r="F49" s="65" t="s">
        <v>69</v>
      </c>
      <c r="G49" s="65" t="s">
        <v>70</v>
      </c>
      <c r="H49" s="65"/>
      <c r="I49" s="65" t="s">
        <v>119</v>
      </c>
      <c r="J49" s="65" t="s">
        <v>49</v>
      </c>
      <c r="K49" s="65" t="s">
        <v>65</v>
      </c>
      <c r="L49" s="65" t="s">
        <v>66</v>
      </c>
      <c r="M49" s="65" t="s">
        <v>52</v>
      </c>
      <c r="N49" s="65">
        <v>100000</v>
      </c>
      <c r="O49" s="65" t="s">
        <v>49</v>
      </c>
      <c r="P49" s="65" t="s">
        <v>53</v>
      </c>
      <c r="Q49" s="65">
        <v>100000</v>
      </c>
      <c r="R49" s="65">
        <v>0</v>
      </c>
      <c r="S49" s="65">
        <v>0</v>
      </c>
      <c r="T49" s="65" t="s">
        <v>49</v>
      </c>
      <c r="U49" s="65">
        <v>100000</v>
      </c>
      <c r="V49" s="65">
        <v>0</v>
      </c>
      <c r="W49" s="65">
        <v>0</v>
      </c>
      <c r="X49" s="65">
        <v>0</v>
      </c>
      <c r="Y49" s="65" t="s">
        <v>54</v>
      </c>
      <c r="Z49" s="65">
        <v>100000</v>
      </c>
      <c r="AA49" s="65" t="s">
        <v>120</v>
      </c>
      <c r="AB49" s="65"/>
      <c r="AC49" s="65" t="s">
        <v>55</v>
      </c>
      <c r="AD49" s="65" t="s">
        <v>120</v>
      </c>
      <c r="AE49" s="65" t="s">
        <v>49</v>
      </c>
      <c r="AF49" s="65"/>
      <c r="AG49" s="65" t="s">
        <v>49</v>
      </c>
      <c r="AH49" s="65"/>
      <c r="AI49" s="103"/>
    </row>
    <row r="50" spans="1:35" s="66" customFormat="1" x14ac:dyDescent="0.35">
      <c r="A50" s="101"/>
      <c r="B50" s="102" t="s">
        <v>131</v>
      </c>
      <c r="C50" s="65" t="s">
        <v>46</v>
      </c>
      <c r="D50" s="65" t="s">
        <v>68</v>
      </c>
      <c r="E50" s="65">
        <v>7112</v>
      </c>
      <c r="F50" s="65" t="s">
        <v>69</v>
      </c>
      <c r="G50" s="65" t="s">
        <v>70</v>
      </c>
      <c r="H50" s="65"/>
      <c r="I50" s="65" t="s">
        <v>119</v>
      </c>
      <c r="J50" s="65" t="s">
        <v>49</v>
      </c>
      <c r="K50" s="65" t="s">
        <v>66</v>
      </c>
      <c r="L50" s="65" t="s">
        <v>67</v>
      </c>
      <c r="M50" s="65" t="s">
        <v>52</v>
      </c>
      <c r="N50" s="65">
        <v>100000</v>
      </c>
      <c r="O50" s="65" t="s">
        <v>49</v>
      </c>
      <c r="P50" s="65" t="s">
        <v>53</v>
      </c>
      <c r="Q50" s="65">
        <v>100000</v>
      </c>
      <c r="R50" s="65">
        <v>0</v>
      </c>
      <c r="S50" s="65">
        <v>0</v>
      </c>
      <c r="T50" s="65" t="s">
        <v>49</v>
      </c>
      <c r="U50" s="65">
        <v>100000</v>
      </c>
      <c r="V50" s="65">
        <v>0</v>
      </c>
      <c r="W50" s="65">
        <v>0</v>
      </c>
      <c r="X50" s="65">
        <v>0</v>
      </c>
      <c r="Y50" s="65" t="s">
        <v>54</v>
      </c>
      <c r="Z50" s="65">
        <v>100000</v>
      </c>
      <c r="AA50" s="65" t="s">
        <v>120</v>
      </c>
      <c r="AB50" s="65"/>
      <c r="AC50" s="65" t="s">
        <v>55</v>
      </c>
      <c r="AD50" s="65" t="s">
        <v>120</v>
      </c>
      <c r="AE50" s="65" t="s">
        <v>49</v>
      </c>
      <c r="AF50" s="65"/>
      <c r="AG50" s="65" t="s">
        <v>49</v>
      </c>
      <c r="AH50" s="65"/>
      <c r="AI50" s="103"/>
    </row>
    <row r="51" spans="1:35" ht="15" thickBot="1" x14ac:dyDescent="0.4">
      <c r="A51" s="101"/>
      <c r="B51" s="104"/>
      <c r="C51" s="104"/>
      <c r="D51" s="104"/>
      <c r="E51" s="104"/>
      <c r="F51" s="104"/>
      <c r="G51" s="104"/>
      <c r="H51" s="104"/>
      <c r="I51" s="104"/>
      <c r="J51" s="104"/>
      <c r="K51" s="108"/>
      <c r="L51" s="104"/>
      <c r="M51" s="104"/>
      <c r="N51" s="106">
        <f>SUM(N49:N50)</f>
        <v>200000</v>
      </c>
      <c r="O51" s="106">
        <f t="shared" ref="O51:Z51" si="4">SUM(O49:O50)</f>
        <v>0</v>
      </c>
      <c r="P51" s="106">
        <f t="shared" si="4"/>
        <v>0</v>
      </c>
      <c r="Q51" s="106">
        <f t="shared" si="4"/>
        <v>200000</v>
      </c>
      <c r="R51" s="106">
        <f t="shared" si="4"/>
        <v>0</v>
      </c>
      <c r="S51" s="106">
        <f t="shared" si="4"/>
        <v>0</v>
      </c>
      <c r="T51" s="106">
        <f t="shared" si="4"/>
        <v>0</v>
      </c>
      <c r="U51" s="106">
        <f t="shared" si="4"/>
        <v>200000</v>
      </c>
      <c r="V51" s="106">
        <f t="shared" si="4"/>
        <v>0</v>
      </c>
      <c r="W51" s="106">
        <f t="shared" si="4"/>
        <v>0</v>
      </c>
      <c r="X51" s="106">
        <f t="shared" si="4"/>
        <v>0</v>
      </c>
      <c r="Y51" s="106">
        <f t="shared" si="4"/>
        <v>0</v>
      </c>
      <c r="Z51" s="106">
        <f t="shared" si="4"/>
        <v>200000</v>
      </c>
      <c r="AA51" s="104"/>
      <c r="AB51" s="104"/>
      <c r="AC51" s="104"/>
      <c r="AD51" s="104"/>
      <c r="AE51" s="104"/>
      <c r="AF51" s="104"/>
      <c r="AG51" s="104"/>
      <c r="AH51" s="104"/>
      <c r="AI51" s="107"/>
    </row>
    <row r="52" spans="1:35" ht="15" thickBot="1" x14ac:dyDescent="0.4">
      <c r="A52" s="109"/>
      <c r="B52" s="110" t="s">
        <v>8</v>
      </c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2"/>
      <c r="N52" s="113">
        <f>N51+N48+N38+N27+N17</f>
        <v>7310000</v>
      </c>
      <c r="O52" s="113">
        <f t="shared" ref="O52:Z52" si="5">O51+O48+O38+O27+O17</f>
        <v>0</v>
      </c>
      <c r="P52" s="113">
        <f t="shared" si="5"/>
        <v>0</v>
      </c>
      <c r="Q52" s="113">
        <f t="shared" si="5"/>
        <v>7310000</v>
      </c>
      <c r="R52" s="113">
        <f t="shared" si="5"/>
        <v>0</v>
      </c>
      <c r="S52" s="113">
        <f t="shared" si="5"/>
        <v>0</v>
      </c>
      <c r="T52" s="113">
        <f t="shared" si="5"/>
        <v>0</v>
      </c>
      <c r="U52" s="113">
        <f t="shared" si="5"/>
        <v>7310000</v>
      </c>
      <c r="V52" s="113">
        <f t="shared" si="5"/>
        <v>4350000</v>
      </c>
      <c r="W52" s="113">
        <f t="shared" si="5"/>
        <v>0</v>
      </c>
      <c r="X52" s="113">
        <f t="shared" si="5"/>
        <v>0</v>
      </c>
      <c r="Y52" s="113">
        <f t="shared" si="5"/>
        <v>0</v>
      </c>
      <c r="Z52" s="113">
        <f t="shared" si="5"/>
        <v>7310000</v>
      </c>
      <c r="AA52" s="114"/>
      <c r="AB52" s="114"/>
      <c r="AC52" s="114"/>
      <c r="AD52" s="114"/>
      <c r="AE52" s="114"/>
      <c r="AF52" s="114"/>
      <c r="AG52" s="114"/>
      <c r="AH52" s="114"/>
      <c r="AI52" s="115"/>
    </row>
  </sheetData>
  <autoFilter ref="A4:AB4"/>
  <mergeCells count="2">
    <mergeCell ref="A5:A52"/>
    <mergeCell ref="B52:M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Juni'26</vt:lpstr>
      <vt:lpstr>Walk In Juni</vt:lpstr>
      <vt:lpstr>AYO-Juni</vt:lpstr>
      <vt:lpstr>ALL-Juni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2026-06-10T04:07:30Z</dcterms:created>
  <dcterms:modified xsi:type="dcterms:W3CDTF">2026-06-10T04:09:57Z</dcterms:modified>
</cp:coreProperties>
</file>