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UN'26" state="visible" r:id="rId4"/>
    <sheet sheetId="2" name="Diagnostik Import" state="visible" r:id="rId5"/>
  </sheets>
  <calcPr calcId="171027"/>
</workbook>
</file>

<file path=xl/sharedStrings.xml><?xml version="1.0" encoding="utf-8"?>
<sst xmlns="http://schemas.openxmlformats.org/spreadsheetml/2006/main" count="103" uniqueCount="71">
  <si>
    <t>Laporan Stock Opname</t>
  </si>
  <si>
    <t>Group</t>
  </si>
  <si>
    <t>Nama Barang</t>
  </si>
  <si>
    <t>Harga Beli</t>
  </si>
  <si>
    <t>Harga Jual</t>
  </si>
  <si>
    <t>Stok Awal</t>
  </si>
  <si>
    <t>Barang Masuk</t>
  </si>
  <si>
    <t>Bulan Juni</t>
  </si>
  <si>
    <t>Penjualan</t>
  </si>
  <si>
    <t>Keluar</t>
  </si>
  <si>
    <t>Stock Akhir</t>
  </si>
  <si>
    <t>Aktual</t>
  </si>
  <si>
    <t>Selisih</t>
  </si>
  <si>
    <t>MINUMAN</t>
  </si>
  <si>
    <t>NESTLE PURE LIFE 1500ML</t>
  </si>
  <si>
    <t>BOLA PADEL</t>
  </si>
  <si>
    <t>BOLA AMA PINK ISI 2</t>
  </si>
  <si>
    <t>NESTLE PURE LIFE 600ML</t>
  </si>
  <si>
    <t>GRIP</t>
  </si>
  <si>
    <t>OVERGRIPS WILSON</t>
  </si>
  <si>
    <t>BOLA PADEL ODEA ROSE</t>
  </si>
  <si>
    <t>POCARI SWEAT PET 900ML</t>
  </si>
  <si>
    <t>POCARI SWEAT PET 500 ML</t>
  </si>
  <si>
    <t>POCARI ION WATER 500ML</t>
  </si>
  <si>
    <t>GRIP LI-NING</t>
  </si>
  <si>
    <t>SNACK</t>
  </si>
  <si>
    <t>SOY JOY MULTI VARIANT</t>
  </si>
  <si>
    <t>PERMEN HACKER</t>
  </si>
  <si>
    <t>KAOS KAKI</t>
  </si>
  <si>
    <t>YONEX LADIES SOCKS # SSL-2859R-S</t>
  </si>
  <si>
    <t>BAJU PRIA</t>
  </si>
  <si>
    <t>YONEX MEN POLO T-SHIRT # PM-P064-2626-EASY3-S</t>
  </si>
  <si>
    <t>BOLA BULLPADEL PREMIUM PRO ISI 3</t>
  </si>
  <si>
    <t>SKORT WANITA</t>
  </si>
  <si>
    <t>YONEX LADIES SKORT #SKL-P061-2846-SOLID-S</t>
  </si>
  <si>
    <t>BOLA HEAD PRO ISI 3</t>
  </si>
  <si>
    <t>BOLA PADEL HEAD PRO S+ ISI 3</t>
  </si>
  <si>
    <t>GRIP YONEX AC102</t>
  </si>
  <si>
    <t>YONEX MEN SOCKS SSM-1086ID-MP6-S</t>
  </si>
  <si>
    <t>TOPI</t>
  </si>
  <si>
    <t>YONEX  WOMEN CAP SILICON</t>
  </si>
  <si>
    <t>CELANA PRIA</t>
  </si>
  <si>
    <t>YONEX MENS SHORTS # SM-P061-3085-RW2-S</t>
  </si>
  <si>
    <t>YONEX POLO MEN # PM-P064-2736-EASY4-S</t>
  </si>
  <si>
    <t>YONEX LADIES SOCKS # SSL-2860R-S</t>
  </si>
  <si>
    <t>YONEX SOCKS SSM-1055ID-MP6-SR</t>
  </si>
  <si>
    <t>BOLA ADIDAS SPEED RX ISI 3</t>
  </si>
  <si>
    <t>YONEX MEN SOCKS SSM-1255ID-MP6-SR</t>
  </si>
  <si>
    <t>KAOS KAKI NOX SOCKS SHORT</t>
  </si>
  <si>
    <t>KAOS KAKI NOX SOCKS LONG</t>
  </si>
  <si>
    <t>YONEX MEN SOCKS SSM-1284ID-MP6-S</t>
  </si>
  <si>
    <t>SKORT PADEL VARIASI</t>
  </si>
  <si>
    <t>YONEX MEN SOCKS SSM-1855ID-MP6-SR</t>
  </si>
  <si>
    <t>YONEX MEN SOCKS SSM-1285ID-MP6-S</t>
  </si>
  <si>
    <t>RAKET PADEL</t>
  </si>
  <si>
    <t>Bullpadel Indiga Mundial Argentina LTD 1988</t>
  </si>
  <si>
    <t>Total</t>
  </si>
  <si>
    <t>33 produk</t>
  </si>
  <si>
    <t>DIAGNOSTIK IMPORT — PRODUK &amp; ANGKA YANG PERLU DITINJAU MANUAL</t>
  </si>
  <si>
    <t>Produk ambigu/tidak ditemukan TIDAK dipaksakan cocok — periksa manual dan lengkapi SKU/nama di katalog atau file summary.</t>
  </si>
  <si>
    <t>Produk</t>
  </si>
  <si>
    <t>SKU</t>
  </si>
  <si>
    <t>Metode</t>
  </si>
  <si>
    <t>Catatan</t>
  </si>
  <si>
    <t>-</t>
  </si>
  <si>
    <t>unmatched</t>
  </si>
  <si>
    <t>Tidak ditemukan di katalog produk (SKU maupun nama, termasuk setelah hapus prefix generik, tidak cocok)</t>
  </si>
  <si>
    <t>Total Penjualan AYOSERA</t>
  </si>
  <si>
    <t>Total Penjualan Olsera (file)</t>
  </si>
  <si>
    <t>Stock Akhir Sistem (dihitung)</t>
  </si>
  <si>
    <t>Sisa Olsera (file)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</si>
</sst>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IDR&quot; #,##0"/>
  </numFmts>
  <fonts count="7" x14ac:knownFonts="1">
    <font>
      <color theme="1"/>
      <family val="2"/>
      <scheme val="minor"/>
      <sz val="11"/>
      <name val="Calibri"/>
    </font>
    <font>
      <b/>
      <sz val="14"/>
      <name val="Aptos Narrow"/>
    </font>
    <font>
      <b/>
      <sz val="9"/>
      <name val="Aptos Narrow"/>
    </font>
    <font>
      <sz val="9"/>
      <name val="Aptos Narrow"/>
    </font>
    <font>
      <b/>
      <sz val="12"/>
      <name val="Aptos Narrow"/>
    </font>
    <font>
      <i/>
      <color rgb="FF595959"/>
      <sz val="9"/>
      <name val="Aptos Narrow"/>
    </font>
    <font>
      <b/>
      <sz val="1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FF2CC"/>
      </patternFill>
    </fill>
    <fill>
      <patternFill patternType="solid">
        <fgColor rgb="FF9DC3E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/>
    <xf numFmtId="0" fontId="4" fillId="0" borderId="0" xfId="0" applyFont="1"/>
    <xf numFmtId="0" fontId="5" fillId="0" borderId="0" xfId="0" applyFont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7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16" customWidth="1"/>
    <col min="2" max="2" width="38" customWidth="1"/>
    <col min="3" max="4" width="13" customWidth="1"/>
    <col min="5" max="5" width="11" customWidth="1"/>
    <col min="6" max="6" width="12" customWidth="1"/>
    <col min="7" max="36" width="5" customWidth="1"/>
    <col min="37" max="37" width="12" customWidth="1"/>
    <col min="38" max="38" width="10" customWidth="1"/>
    <col min="39" max="39" width="12" customWidth="1"/>
    <col min="40" max="41" width="10" customWidth="1"/>
  </cols>
  <sheetData>
    <row r="1" spans="1:41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 t="s">
        <v>8</v>
      </c>
      <c r="AL2" s="2" t="s">
        <v>9</v>
      </c>
      <c r="AM2" s="2" t="s">
        <v>10</v>
      </c>
      <c r="AN2" s="2" t="s">
        <v>11</v>
      </c>
      <c r="AO2" s="2" t="s">
        <v>12</v>
      </c>
    </row>
    <row r="3" spans="1:41" x14ac:dyDescent="0.25">
      <c r="A3" s="2"/>
      <c r="B3" s="2"/>
      <c r="C3" s="2"/>
      <c r="D3" s="2"/>
      <c r="E3" s="2"/>
      <c r="F3" s="2"/>
      <c r="G3" s="2">
        <v>1</v>
      </c>
      <c r="H3" s="2">
        <v>2</v>
      </c>
      <c r="I3" s="2">
        <v>3</v>
      </c>
      <c r="J3" s="2">
        <v>4</v>
      </c>
      <c r="K3" s="2">
        <v>5</v>
      </c>
      <c r="L3" s="2">
        <v>6</v>
      </c>
      <c r="M3" s="2">
        <v>7</v>
      </c>
      <c r="N3" s="2">
        <v>8</v>
      </c>
      <c r="O3" s="2">
        <v>9</v>
      </c>
      <c r="P3" s="2">
        <v>10</v>
      </c>
      <c r="Q3" s="2">
        <v>11</v>
      </c>
      <c r="R3" s="2">
        <v>12</v>
      </c>
      <c r="S3" s="2">
        <v>13</v>
      </c>
      <c r="T3" s="2">
        <v>14</v>
      </c>
      <c r="U3" s="2">
        <v>15</v>
      </c>
      <c r="V3" s="2">
        <v>16</v>
      </c>
      <c r="W3" s="2">
        <v>17</v>
      </c>
      <c r="X3" s="2">
        <v>18</v>
      </c>
      <c r="Y3" s="2">
        <v>19</v>
      </c>
      <c r="Z3" s="2">
        <v>20</v>
      </c>
      <c r="AA3" s="2">
        <v>21</v>
      </c>
      <c r="AB3" s="2">
        <v>22</v>
      </c>
      <c r="AC3" s="2">
        <v>23</v>
      </c>
      <c r="AD3" s="2">
        <v>24</v>
      </c>
      <c r="AE3" s="2">
        <v>25</v>
      </c>
      <c r="AF3" s="2">
        <v>26</v>
      </c>
      <c r="AG3" s="2">
        <v>27</v>
      </c>
      <c r="AH3" s="2">
        <v>28</v>
      </c>
      <c r="AI3" s="2">
        <v>29</v>
      </c>
      <c r="AJ3" s="2">
        <v>30</v>
      </c>
      <c r="AK3" s="2"/>
      <c r="AL3" s="2"/>
      <c r="AM3" s="2"/>
      <c r="AN3" s="2"/>
      <c r="AO3" s="2"/>
    </row>
    <row r="4" spans="1:41" x14ac:dyDescent="0.25">
      <c r="A4" s="3" t="s">
        <v>13</v>
      </c>
      <c r="B4" s="4" t="s">
        <v>14</v>
      </c>
      <c r="C4" s="5">
        <v>4558.67</v>
      </c>
      <c r="D4" s="5">
        <v>15000</v>
      </c>
      <c r="E4" s="3">
        <v>59</v>
      </c>
      <c r="F4" s="3">
        <v>633</v>
      </c>
      <c r="G4" s="3">
        <v>10</v>
      </c>
      <c r="H4" s="3">
        <v>20</v>
      </c>
      <c r="I4" s="3">
        <v>10</v>
      </c>
      <c r="J4" s="3">
        <v>17</v>
      </c>
      <c r="K4" s="3">
        <v>11</v>
      </c>
      <c r="L4" s="3">
        <v>19</v>
      </c>
      <c r="M4" s="3">
        <v>17</v>
      </c>
      <c r="N4" s="3">
        <v>16</v>
      </c>
      <c r="O4" s="3">
        <v>10</v>
      </c>
      <c r="P4" s="3">
        <v>15</v>
      </c>
      <c r="Q4" s="3">
        <v>8</v>
      </c>
      <c r="R4" s="3">
        <v>9</v>
      </c>
      <c r="S4" s="3">
        <v>9</v>
      </c>
      <c r="T4" s="3">
        <v>25</v>
      </c>
      <c r="U4" s="3">
        <v>20</v>
      </c>
      <c r="V4" s="3">
        <v>14</v>
      </c>
      <c r="W4" s="3">
        <v>10</v>
      </c>
      <c r="X4" s="3">
        <v>26</v>
      </c>
      <c r="Y4" s="3">
        <v>8</v>
      </c>
      <c r="Z4" s="3">
        <v>11</v>
      </c>
      <c r="AA4" s="3">
        <v>17</v>
      </c>
      <c r="AB4" s="3">
        <v>10</v>
      </c>
      <c r="AC4" s="3">
        <v>10</v>
      </c>
      <c r="AD4" s="3">
        <v>7</v>
      </c>
      <c r="AE4" s="3">
        <v>15</v>
      </c>
      <c r="AF4" s="3">
        <v>11</v>
      </c>
      <c r="AG4" s="3">
        <v>21</v>
      </c>
      <c r="AH4" s="3">
        <v>26</v>
      </c>
      <c r="AI4" s="3">
        <v>16</v>
      </c>
      <c r="AJ4" s="3">
        <v>8</v>
      </c>
      <c r="AK4" s="3">
        <v>426</v>
      </c>
      <c r="AL4" s="3">
        <v>12</v>
      </c>
      <c r="AM4" s="3">
        <v>254</v>
      </c>
      <c r="AN4" s="6"/>
      <c r="AO4" s="3">
        <f>IF(AN4="","",AN4-AM4)</f>
      </c>
    </row>
    <row r="5" spans="1:41" x14ac:dyDescent="0.25">
      <c r="A5" s="3" t="s">
        <v>15</v>
      </c>
      <c r="B5" s="4" t="s">
        <v>16</v>
      </c>
      <c r="C5" s="5">
        <v>45000</v>
      </c>
      <c r="D5" s="5">
        <v>80000</v>
      </c>
      <c r="E5" s="3">
        <v>15</v>
      </c>
      <c r="F5" s="3"/>
      <c r="G5" s="3">
        <v>1</v>
      </c>
      <c r="H5" s="3"/>
      <c r="I5" s="3"/>
      <c r="J5" s="3"/>
      <c r="K5" s="3"/>
      <c r="L5" s="3"/>
      <c r="M5" s="3"/>
      <c r="N5" s="3">
        <v>1</v>
      </c>
      <c r="O5" s="3"/>
      <c r="P5" s="3">
        <v>1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>
        <v>3</v>
      </c>
      <c r="AL5" s="3"/>
      <c r="AM5" s="3">
        <v>12</v>
      </c>
      <c r="AN5" s="6"/>
      <c r="AO5" s="3">
        <f>IF(AN5="","",AN5-AM5)</f>
      </c>
    </row>
    <row r="6" spans="1:41" x14ac:dyDescent="0.25">
      <c r="A6" s="3" t="s">
        <v>13</v>
      </c>
      <c r="B6" s="4" t="s">
        <v>17</v>
      </c>
      <c r="C6" s="5">
        <v>2116.6</v>
      </c>
      <c r="D6" s="5">
        <v>10000</v>
      </c>
      <c r="E6" s="3">
        <v>402</v>
      </c>
      <c r="F6" s="3">
        <v>48</v>
      </c>
      <c r="G6" s="3">
        <v>12</v>
      </c>
      <c r="H6" s="3">
        <v>6</v>
      </c>
      <c r="I6" s="3">
        <v>5</v>
      </c>
      <c r="J6" s="3">
        <v>8</v>
      </c>
      <c r="K6" s="3">
        <v>14</v>
      </c>
      <c r="L6" s="3">
        <v>10</v>
      </c>
      <c r="M6" s="3">
        <v>15</v>
      </c>
      <c r="N6" s="3">
        <v>9</v>
      </c>
      <c r="O6" s="3">
        <v>2</v>
      </c>
      <c r="P6" s="3">
        <v>16</v>
      </c>
      <c r="Q6" s="3">
        <v>15</v>
      </c>
      <c r="R6" s="3">
        <v>7</v>
      </c>
      <c r="S6" s="3">
        <v>7</v>
      </c>
      <c r="T6" s="3">
        <v>16</v>
      </c>
      <c r="U6" s="3">
        <v>10</v>
      </c>
      <c r="V6" s="3">
        <v>11</v>
      </c>
      <c r="W6" s="3">
        <v>7</v>
      </c>
      <c r="X6" s="3">
        <v>12</v>
      </c>
      <c r="Y6" s="3">
        <v>13</v>
      </c>
      <c r="Z6" s="3">
        <v>8</v>
      </c>
      <c r="AA6" s="3">
        <v>23</v>
      </c>
      <c r="AB6" s="3">
        <v>4</v>
      </c>
      <c r="AC6" s="3">
        <v>2</v>
      </c>
      <c r="AD6" s="3">
        <v>9</v>
      </c>
      <c r="AE6" s="3">
        <v>2</v>
      </c>
      <c r="AF6" s="3">
        <v>11</v>
      </c>
      <c r="AG6" s="3">
        <v>11</v>
      </c>
      <c r="AH6" s="3">
        <v>16</v>
      </c>
      <c r="AI6" s="3">
        <v>11</v>
      </c>
      <c r="AJ6" s="3">
        <v>6</v>
      </c>
      <c r="AK6" s="3">
        <v>298</v>
      </c>
      <c r="AL6" s="3">
        <v>9</v>
      </c>
      <c r="AM6" s="3">
        <v>143</v>
      </c>
      <c r="AN6" s="6"/>
      <c r="AO6" s="3">
        <f>IF(AN6="","",AN6-AM6)</f>
      </c>
    </row>
    <row r="7" spans="1:41" x14ac:dyDescent="0.25">
      <c r="A7" s="3" t="s">
        <v>18</v>
      </c>
      <c r="B7" s="4" t="s">
        <v>19</v>
      </c>
      <c r="C7" s="5">
        <v>25000</v>
      </c>
      <c r="D7" s="5">
        <v>35000</v>
      </c>
      <c r="E7" s="3">
        <v>93</v>
      </c>
      <c r="F7" s="3">
        <v>2</v>
      </c>
      <c r="G7" s="3">
        <v>6</v>
      </c>
      <c r="H7" s="3"/>
      <c r="I7" s="3">
        <v>4</v>
      </c>
      <c r="J7" s="3"/>
      <c r="K7" s="3">
        <v>1</v>
      </c>
      <c r="L7" s="3">
        <v>2</v>
      </c>
      <c r="M7" s="3"/>
      <c r="N7" s="3"/>
      <c r="O7" s="3"/>
      <c r="P7" s="3">
        <v>2</v>
      </c>
      <c r="Q7" s="3">
        <v>1</v>
      </c>
      <c r="R7" s="3">
        <v>1</v>
      </c>
      <c r="S7" s="3"/>
      <c r="T7" s="3"/>
      <c r="U7" s="3"/>
      <c r="V7" s="3">
        <v>2</v>
      </c>
      <c r="W7" s="3">
        <v>3</v>
      </c>
      <c r="X7" s="3"/>
      <c r="Y7" s="3">
        <v>2</v>
      </c>
      <c r="Z7" s="3">
        <v>3</v>
      </c>
      <c r="AA7" s="3">
        <v>4</v>
      </c>
      <c r="AB7" s="3">
        <v>2</v>
      </c>
      <c r="AC7" s="3">
        <v>1</v>
      </c>
      <c r="AD7" s="3">
        <v>1</v>
      </c>
      <c r="AE7" s="3"/>
      <c r="AF7" s="3"/>
      <c r="AG7" s="3">
        <v>2</v>
      </c>
      <c r="AH7" s="3">
        <v>2</v>
      </c>
      <c r="AI7" s="3">
        <v>2</v>
      </c>
      <c r="AJ7" s="3">
        <v>2</v>
      </c>
      <c r="AK7" s="3">
        <v>43</v>
      </c>
      <c r="AL7" s="3"/>
      <c r="AM7" s="3">
        <v>52</v>
      </c>
      <c r="AN7" s="6"/>
      <c r="AO7" s="3">
        <f>IF(AN7="","",AN7-AM7)</f>
      </c>
    </row>
    <row r="8" spans="1:41" x14ac:dyDescent="0.25">
      <c r="A8" s="3" t="s">
        <v>15</v>
      </c>
      <c r="B8" s="4" t="s">
        <v>20</v>
      </c>
      <c r="C8" s="5"/>
      <c r="D8" s="5"/>
      <c r="E8" s="3">
        <v>45</v>
      </c>
      <c r="F8" s="3">
        <v>24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>
        <v>0</v>
      </c>
      <c r="AL8" s="3">
        <v>2</v>
      </c>
      <c r="AM8" s="3">
        <v>67</v>
      </c>
      <c r="AN8" s="6"/>
      <c r="AO8" s="3">
        <f>IF(AN8="","",AN8-AM8)</f>
      </c>
    </row>
    <row r="9" spans="1:41" x14ac:dyDescent="0.25">
      <c r="A9" s="3" t="s">
        <v>13</v>
      </c>
      <c r="B9" s="4" t="s">
        <v>21</v>
      </c>
      <c r="C9" s="5">
        <v>10250</v>
      </c>
      <c r="D9" s="5">
        <v>20000</v>
      </c>
      <c r="E9" s="3">
        <v>118</v>
      </c>
      <c r="F9" s="3">
        <v>150</v>
      </c>
      <c r="G9" s="3">
        <v>4</v>
      </c>
      <c r="H9" s="3">
        <v>3</v>
      </c>
      <c r="I9" s="3">
        <v>6</v>
      </c>
      <c r="J9" s="3">
        <v>4</v>
      </c>
      <c r="K9" s="3">
        <v>4</v>
      </c>
      <c r="L9" s="3">
        <v>5</v>
      </c>
      <c r="M9" s="3">
        <v>4</v>
      </c>
      <c r="N9" s="3">
        <v>2</v>
      </c>
      <c r="O9" s="3">
        <v>4</v>
      </c>
      <c r="P9" s="3">
        <v>2</v>
      </c>
      <c r="Q9" s="3">
        <v>4</v>
      </c>
      <c r="R9" s="3">
        <v>1</v>
      </c>
      <c r="S9" s="3">
        <v>2</v>
      </c>
      <c r="T9" s="3">
        <v>3</v>
      </c>
      <c r="U9" s="3">
        <v>2</v>
      </c>
      <c r="V9" s="3">
        <v>2</v>
      </c>
      <c r="W9" s="3">
        <v>1</v>
      </c>
      <c r="X9" s="3">
        <v>4</v>
      </c>
      <c r="Y9" s="3">
        <v>5</v>
      </c>
      <c r="Z9" s="3">
        <v>2</v>
      </c>
      <c r="AA9" s="3">
        <v>8</v>
      </c>
      <c r="AB9" s="3">
        <v>3</v>
      </c>
      <c r="AC9" s="3">
        <v>3</v>
      </c>
      <c r="AD9" s="3">
        <v>2</v>
      </c>
      <c r="AE9" s="3"/>
      <c r="AF9" s="3">
        <v>3</v>
      </c>
      <c r="AG9" s="3">
        <v>2</v>
      </c>
      <c r="AH9" s="3">
        <v>4</v>
      </c>
      <c r="AI9" s="3">
        <v>3</v>
      </c>
      <c r="AJ9" s="3"/>
      <c r="AK9" s="3">
        <v>92</v>
      </c>
      <c r="AL9" s="3">
        <v>16</v>
      </c>
      <c r="AM9" s="3">
        <v>160</v>
      </c>
      <c r="AN9" s="6"/>
      <c r="AO9" s="3">
        <f>IF(AN9="","",AN9-AM9)</f>
      </c>
    </row>
    <row r="10" spans="1:41" x14ac:dyDescent="0.25">
      <c r="A10" s="3" t="s">
        <v>13</v>
      </c>
      <c r="B10" s="4" t="s">
        <v>22</v>
      </c>
      <c r="C10" s="5">
        <v>6250</v>
      </c>
      <c r="D10" s="5">
        <v>12000</v>
      </c>
      <c r="E10" s="3">
        <v>27</v>
      </c>
      <c r="F10" s="3">
        <v>617</v>
      </c>
      <c r="G10" s="3">
        <v>10</v>
      </c>
      <c r="H10" s="3">
        <v>6</v>
      </c>
      <c r="I10" s="3">
        <v>5</v>
      </c>
      <c r="J10" s="3">
        <v>4</v>
      </c>
      <c r="K10" s="3">
        <v>5</v>
      </c>
      <c r="L10" s="3">
        <v>9</v>
      </c>
      <c r="M10" s="3">
        <v>6</v>
      </c>
      <c r="N10" s="3">
        <v>3</v>
      </c>
      <c r="O10" s="3">
        <v>9</v>
      </c>
      <c r="P10" s="3">
        <v>8</v>
      </c>
      <c r="Q10" s="3">
        <v>3</v>
      </c>
      <c r="R10" s="3">
        <v>4</v>
      </c>
      <c r="S10" s="3">
        <v>4</v>
      </c>
      <c r="T10" s="3">
        <v>3</v>
      </c>
      <c r="U10" s="3">
        <v>7</v>
      </c>
      <c r="V10" s="3">
        <v>11</v>
      </c>
      <c r="W10" s="3">
        <v>3</v>
      </c>
      <c r="X10" s="3">
        <v>7</v>
      </c>
      <c r="Y10" s="3">
        <v>4</v>
      </c>
      <c r="Z10" s="3">
        <v>5</v>
      </c>
      <c r="AA10" s="3">
        <v>14</v>
      </c>
      <c r="AB10" s="3">
        <v>5</v>
      </c>
      <c r="AC10" s="3">
        <v>5</v>
      </c>
      <c r="AD10" s="3">
        <v>3</v>
      </c>
      <c r="AE10" s="3">
        <v>5</v>
      </c>
      <c r="AF10" s="3">
        <v>4</v>
      </c>
      <c r="AG10" s="3">
        <v>8</v>
      </c>
      <c r="AH10" s="3">
        <v>3</v>
      </c>
      <c r="AI10" s="3">
        <v>8</v>
      </c>
      <c r="AJ10" s="3">
        <v>1</v>
      </c>
      <c r="AK10" s="3">
        <v>172</v>
      </c>
      <c r="AL10" s="3">
        <v>1</v>
      </c>
      <c r="AM10" s="3">
        <v>471</v>
      </c>
      <c r="AN10" s="6"/>
      <c r="AO10" s="3">
        <f>IF(AN10="","",AN10-AM10)</f>
      </c>
    </row>
    <row r="11" spans="1:41" x14ac:dyDescent="0.25">
      <c r="A11" s="3" t="s">
        <v>13</v>
      </c>
      <c r="B11" s="4" t="s">
        <v>23</v>
      </c>
      <c r="C11" s="5">
        <v>6250</v>
      </c>
      <c r="D11" s="5">
        <v>12000</v>
      </c>
      <c r="E11" s="3">
        <v>207</v>
      </c>
      <c r="F11" s="3">
        <v>240</v>
      </c>
      <c r="G11" s="3">
        <v>12</v>
      </c>
      <c r="H11" s="3">
        <v>7</v>
      </c>
      <c r="I11" s="3">
        <v>4</v>
      </c>
      <c r="J11" s="3">
        <v>11</v>
      </c>
      <c r="K11" s="3">
        <v>5</v>
      </c>
      <c r="L11" s="3">
        <v>11</v>
      </c>
      <c r="M11" s="3">
        <v>10</v>
      </c>
      <c r="N11" s="3">
        <v>5</v>
      </c>
      <c r="O11" s="3">
        <v>9</v>
      </c>
      <c r="P11" s="3">
        <v>4</v>
      </c>
      <c r="Q11" s="3">
        <v>4</v>
      </c>
      <c r="R11" s="3"/>
      <c r="S11" s="3">
        <v>6</v>
      </c>
      <c r="T11" s="3">
        <v>5</v>
      </c>
      <c r="U11" s="3">
        <v>4</v>
      </c>
      <c r="V11" s="3">
        <v>4</v>
      </c>
      <c r="W11" s="3">
        <v>1</v>
      </c>
      <c r="X11" s="3">
        <v>3</v>
      </c>
      <c r="Y11" s="3">
        <v>1</v>
      </c>
      <c r="Z11" s="3">
        <v>7</v>
      </c>
      <c r="AA11" s="3">
        <v>13</v>
      </c>
      <c r="AB11" s="3">
        <v>1</v>
      </c>
      <c r="AC11" s="3">
        <v>6</v>
      </c>
      <c r="AD11" s="3">
        <v>3</v>
      </c>
      <c r="AE11" s="3">
        <v>4</v>
      </c>
      <c r="AF11" s="3">
        <v>6</v>
      </c>
      <c r="AG11" s="3">
        <v>9</v>
      </c>
      <c r="AH11" s="3">
        <v>4</v>
      </c>
      <c r="AI11" s="3">
        <v>3</v>
      </c>
      <c r="AJ11" s="3"/>
      <c r="AK11" s="3">
        <v>162</v>
      </c>
      <c r="AL11" s="3">
        <v>5</v>
      </c>
      <c r="AM11" s="3">
        <v>280</v>
      </c>
      <c r="AN11" s="6"/>
      <c r="AO11" s="3">
        <f>IF(AN11="","",AN11-AM11)</f>
      </c>
    </row>
    <row r="12" spans="1:41" x14ac:dyDescent="0.25">
      <c r="A12" s="3" t="s">
        <v>18</v>
      </c>
      <c r="B12" s="4" t="s">
        <v>24</v>
      </c>
      <c r="C12" s="5">
        <v>30000</v>
      </c>
      <c r="D12" s="5">
        <v>40000</v>
      </c>
      <c r="E12" s="3">
        <v>18</v>
      </c>
      <c r="F12" s="3"/>
      <c r="G12" s="3">
        <v>2</v>
      </c>
      <c r="H12" s="3"/>
      <c r="I12" s="3">
        <v>1</v>
      </c>
      <c r="J12" s="3"/>
      <c r="K12" s="3">
        <v>1</v>
      </c>
      <c r="L12" s="3">
        <v>2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>
        <v>3</v>
      </c>
      <c r="Y12" s="3"/>
      <c r="Z12" s="3"/>
      <c r="AA12" s="3"/>
      <c r="AB12" s="3">
        <v>2</v>
      </c>
      <c r="AC12" s="3"/>
      <c r="AD12" s="3"/>
      <c r="AE12" s="3">
        <v>1</v>
      </c>
      <c r="AF12" s="3"/>
      <c r="AG12" s="3"/>
      <c r="AH12" s="3"/>
      <c r="AI12" s="3"/>
      <c r="AJ12" s="3"/>
      <c r="AK12" s="3">
        <v>12</v>
      </c>
      <c r="AL12" s="3">
        <v>1</v>
      </c>
      <c r="AM12" s="3">
        <v>5</v>
      </c>
      <c r="AN12" s="6"/>
      <c r="AO12" s="3">
        <f>IF(AN12="","",AN12-AM12)</f>
      </c>
    </row>
    <row r="13" spans="1:41" x14ac:dyDescent="0.25">
      <c r="A13" s="3" t="s">
        <v>25</v>
      </c>
      <c r="B13" s="4" t="s">
        <v>26</v>
      </c>
      <c r="C13" s="5">
        <v>7950</v>
      </c>
      <c r="D13" s="5">
        <v>15000</v>
      </c>
      <c r="E13" s="3">
        <v>25</v>
      </c>
      <c r="F13" s="3">
        <v>90</v>
      </c>
      <c r="G13" s="3">
        <v>1</v>
      </c>
      <c r="H13" s="3"/>
      <c r="I13" s="3"/>
      <c r="J13" s="3">
        <v>2</v>
      </c>
      <c r="K13" s="3">
        <v>1</v>
      </c>
      <c r="L13" s="3">
        <v>2</v>
      </c>
      <c r="M13" s="3">
        <v>5</v>
      </c>
      <c r="N13" s="3">
        <v>1</v>
      </c>
      <c r="O13" s="3">
        <v>3</v>
      </c>
      <c r="P13" s="3">
        <v>2</v>
      </c>
      <c r="Q13" s="3">
        <v>5</v>
      </c>
      <c r="R13" s="3">
        <v>1</v>
      </c>
      <c r="S13" s="3"/>
      <c r="T13" s="3"/>
      <c r="U13" s="3">
        <v>1</v>
      </c>
      <c r="V13" s="3">
        <v>8</v>
      </c>
      <c r="W13" s="3"/>
      <c r="X13" s="3">
        <v>4</v>
      </c>
      <c r="Y13" s="3">
        <v>1</v>
      </c>
      <c r="Z13" s="3"/>
      <c r="AA13" s="3">
        <v>1</v>
      </c>
      <c r="AB13" s="3">
        <v>2</v>
      </c>
      <c r="AC13" s="3">
        <v>2</v>
      </c>
      <c r="AD13" s="3">
        <v>3</v>
      </c>
      <c r="AE13" s="3">
        <v>1</v>
      </c>
      <c r="AF13" s="3">
        <v>1</v>
      </c>
      <c r="AG13" s="3">
        <v>1</v>
      </c>
      <c r="AH13" s="3">
        <v>3</v>
      </c>
      <c r="AI13" s="3">
        <v>1</v>
      </c>
      <c r="AJ13" s="3">
        <v>1</v>
      </c>
      <c r="AK13" s="3">
        <v>53</v>
      </c>
      <c r="AL13" s="3"/>
      <c r="AM13" s="3">
        <v>62</v>
      </c>
      <c r="AN13" s="6"/>
      <c r="AO13" s="3">
        <f>IF(AN13="","",AN13-AM13)</f>
      </c>
    </row>
    <row r="14" spans="1:41" x14ac:dyDescent="0.25">
      <c r="A14" s="3" t="s">
        <v>25</v>
      </c>
      <c r="B14" s="4" t="s">
        <v>27</v>
      </c>
      <c r="C14" s="5"/>
      <c r="D14" s="5">
        <v>15000</v>
      </c>
      <c r="E14" s="3">
        <v>8</v>
      </c>
      <c r="F14" s="3">
        <v>36</v>
      </c>
      <c r="G14" s="3"/>
      <c r="H14" s="3">
        <v>1</v>
      </c>
      <c r="I14" s="3"/>
      <c r="J14" s="3">
        <v>2</v>
      </c>
      <c r="K14" s="3"/>
      <c r="L14" s="3"/>
      <c r="M14" s="3"/>
      <c r="N14" s="3"/>
      <c r="O14" s="3"/>
      <c r="P14" s="3">
        <v>1</v>
      </c>
      <c r="Q14" s="3"/>
      <c r="R14" s="3"/>
      <c r="S14" s="3"/>
      <c r="T14" s="3"/>
      <c r="U14" s="3"/>
      <c r="V14" s="3"/>
      <c r="W14" s="3">
        <v>1</v>
      </c>
      <c r="X14" s="3"/>
      <c r="Y14" s="3">
        <v>1</v>
      </c>
      <c r="Z14" s="3"/>
      <c r="AA14" s="3">
        <v>1</v>
      </c>
      <c r="AB14" s="3">
        <v>1</v>
      </c>
      <c r="AC14" s="3"/>
      <c r="AD14" s="3">
        <v>1</v>
      </c>
      <c r="AE14" s="3">
        <v>1</v>
      </c>
      <c r="AF14" s="3">
        <v>7</v>
      </c>
      <c r="AG14" s="3"/>
      <c r="AH14" s="3">
        <v>1</v>
      </c>
      <c r="AI14" s="3">
        <v>1</v>
      </c>
      <c r="AJ14" s="3"/>
      <c r="AK14" s="3">
        <v>19</v>
      </c>
      <c r="AL14" s="3"/>
      <c r="AM14" s="3">
        <v>25</v>
      </c>
      <c r="AN14" s="6"/>
      <c r="AO14" s="3">
        <f>IF(AN14="","",AN14-AM14)</f>
      </c>
    </row>
    <row r="15" spans="1:41" x14ac:dyDescent="0.25">
      <c r="A15" s="3" t="s">
        <v>28</v>
      </c>
      <c r="B15" s="4" t="s">
        <v>29</v>
      </c>
      <c r="C15" s="5">
        <v>42643.2</v>
      </c>
      <c r="D15" s="5">
        <v>60000</v>
      </c>
      <c r="E15" s="3">
        <v>8</v>
      </c>
      <c r="F15" s="3"/>
      <c r="G15" s="3"/>
      <c r="H15" s="3">
        <v>1</v>
      </c>
      <c r="I15" s="3"/>
      <c r="J15" s="3"/>
      <c r="K15" s="3"/>
      <c r="L15" s="3"/>
      <c r="M15" s="3"/>
      <c r="N15" s="3"/>
      <c r="O15" s="3"/>
      <c r="P15" s="3"/>
      <c r="Q15" s="3">
        <v>1</v>
      </c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>
        <v>2</v>
      </c>
      <c r="AL15" s="3"/>
      <c r="AM15" s="3">
        <v>6</v>
      </c>
      <c r="AN15" s="6"/>
      <c r="AO15" s="3">
        <f>IF(AN15="","",AN15-AM15)</f>
      </c>
    </row>
    <row r="16" spans="1:41" x14ac:dyDescent="0.25">
      <c r="A16" s="3" t="s">
        <v>30</v>
      </c>
      <c r="B16" s="4" t="s">
        <v>31</v>
      </c>
      <c r="C16" s="5">
        <v>151688</v>
      </c>
      <c r="D16" s="5">
        <v>210000</v>
      </c>
      <c r="E16" s="3">
        <v>15</v>
      </c>
      <c r="F16" s="3"/>
      <c r="G16" s="3"/>
      <c r="H16" s="3">
        <v>1</v>
      </c>
      <c r="I16" s="3"/>
      <c r="J16" s="3"/>
      <c r="K16" s="3"/>
      <c r="L16" s="3"/>
      <c r="M16" s="3">
        <v>1</v>
      </c>
      <c r="N16" s="3"/>
      <c r="O16" s="3"/>
      <c r="P16" s="3"/>
      <c r="Q16" s="3"/>
      <c r="R16" s="3"/>
      <c r="S16" s="3"/>
      <c r="T16" s="3"/>
      <c r="U16" s="3"/>
      <c r="V16" s="3">
        <v>1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>
        <v>3</v>
      </c>
      <c r="AL16" s="3"/>
      <c r="AM16" s="3">
        <v>12</v>
      </c>
      <c r="AN16" s="6"/>
      <c r="AO16" s="3">
        <f>IF(AN16="","",AN16-AM16)</f>
      </c>
    </row>
    <row r="17" spans="1:41" x14ac:dyDescent="0.25">
      <c r="A17" s="3" t="s">
        <v>15</v>
      </c>
      <c r="B17" s="4" t="s">
        <v>32</v>
      </c>
      <c r="C17" s="5"/>
      <c r="D17" s="5"/>
      <c r="E17" s="3">
        <v>43</v>
      </c>
      <c r="F17" s="3"/>
      <c r="G17" s="3"/>
      <c r="H17" s="3">
        <v>1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>
        <v>1</v>
      </c>
      <c r="AI17" s="3"/>
      <c r="AJ17" s="3"/>
      <c r="AK17" s="3">
        <v>2</v>
      </c>
      <c r="AL17" s="3"/>
      <c r="AM17" s="3">
        <v>41</v>
      </c>
      <c r="AN17" s="6"/>
      <c r="AO17" s="3">
        <f>IF(AN17="","",AN17-AM17)</f>
      </c>
    </row>
    <row r="18" spans="1:41" x14ac:dyDescent="0.25">
      <c r="A18" s="3" t="s">
        <v>33</v>
      </c>
      <c r="B18" s="4" t="s">
        <v>34</v>
      </c>
      <c r="C18" s="5">
        <v>187503.31</v>
      </c>
      <c r="D18" s="5">
        <v>260000</v>
      </c>
      <c r="E18" s="3">
        <v>23</v>
      </c>
      <c r="F18" s="3"/>
      <c r="G18" s="3"/>
      <c r="H18" s="3"/>
      <c r="I18" s="3">
        <v>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>
        <v>1</v>
      </c>
      <c r="V18" s="3"/>
      <c r="W18" s="3"/>
      <c r="X18" s="3"/>
      <c r="Y18" s="3"/>
      <c r="Z18" s="3"/>
      <c r="AA18" s="3"/>
      <c r="AB18" s="3"/>
      <c r="AC18" s="3"/>
      <c r="AD18" s="3">
        <v>2</v>
      </c>
      <c r="AE18" s="3"/>
      <c r="AF18" s="3"/>
      <c r="AG18" s="3"/>
      <c r="AH18" s="3"/>
      <c r="AI18" s="3"/>
      <c r="AJ18" s="3"/>
      <c r="AK18" s="3">
        <v>4</v>
      </c>
      <c r="AL18" s="3"/>
      <c r="AM18" s="3">
        <v>19</v>
      </c>
      <c r="AN18" s="6"/>
      <c r="AO18" s="3">
        <f>IF(AN18="","",AN18-AM18)</f>
      </c>
    </row>
    <row r="19" spans="1:41" x14ac:dyDescent="0.25">
      <c r="A19" s="3" t="s">
        <v>15</v>
      </c>
      <c r="B19" s="4" t="s">
        <v>35</v>
      </c>
      <c r="C19" s="5">
        <v>90000</v>
      </c>
      <c r="D19" s="5">
        <v>125000</v>
      </c>
      <c r="E19" s="3">
        <v>2</v>
      </c>
      <c r="F19" s="3">
        <v>2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>
        <v>1</v>
      </c>
      <c r="AI19" s="3"/>
      <c r="AJ19" s="3"/>
      <c r="AK19" s="3">
        <v>1</v>
      </c>
      <c r="AL19" s="3"/>
      <c r="AM19" s="3">
        <v>3</v>
      </c>
      <c r="AN19" s="6"/>
      <c r="AO19" s="3">
        <f>IF(AN19="","",AN19-AM19)</f>
      </c>
    </row>
    <row r="20" spans="1:41" x14ac:dyDescent="0.25">
      <c r="A20" s="3" t="s">
        <v>15</v>
      </c>
      <c r="B20" s="4" t="s">
        <v>36</v>
      </c>
      <c r="C20" s="5">
        <v>100000</v>
      </c>
      <c r="D20" s="5">
        <v>125000</v>
      </c>
      <c r="E20" s="3">
        <v>4</v>
      </c>
      <c r="F20" s="3">
        <v>26</v>
      </c>
      <c r="G20" s="3"/>
      <c r="H20" s="3"/>
      <c r="I20" s="3"/>
      <c r="J20" s="3"/>
      <c r="K20" s="3"/>
      <c r="L20" s="3"/>
      <c r="M20" s="3">
        <v>1</v>
      </c>
      <c r="N20" s="3"/>
      <c r="O20" s="3"/>
      <c r="P20" s="3"/>
      <c r="Q20" s="3"/>
      <c r="R20" s="3"/>
      <c r="S20" s="3"/>
      <c r="T20" s="3">
        <v>1</v>
      </c>
      <c r="U20" s="3"/>
      <c r="V20" s="3">
        <v>1</v>
      </c>
      <c r="W20" s="3"/>
      <c r="X20" s="3"/>
      <c r="Y20" s="3"/>
      <c r="Z20" s="3"/>
      <c r="AA20" s="3"/>
      <c r="AB20" s="3"/>
      <c r="AC20" s="3"/>
      <c r="AD20" s="3"/>
      <c r="AE20" s="3">
        <v>1</v>
      </c>
      <c r="AF20" s="3"/>
      <c r="AG20" s="3"/>
      <c r="AH20" s="3"/>
      <c r="AI20" s="3"/>
      <c r="AJ20" s="3"/>
      <c r="AK20" s="3">
        <v>4</v>
      </c>
      <c r="AL20" s="3"/>
      <c r="AM20" s="3">
        <v>26</v>
      </c>
      <c r="AN20" s="6"/>
      <c r="AO20" s="3">
        <f>IF(AN20="","",AN20-AM20)</f>
      </c>
    </row>
    <row r="21" spans="1:41" x14ac:dyDescent="0.25">
      <c r="A21" s="3" t="s">
        <v>18</v>
      </c>
      <c r="B21" s="4" t="s">
        <v>37</v>
      </c>
      <c r="C21" s="5">
        <v>25000</v>
      </c>
      <c r="D21" s="5">
        <v>35000</v>
      </c>
      <c r="E21" s="3">
        <v>19</v>
      </c>
      <c r="F21" s="3"/>
      <c r="G21" s="3"/>
      <c r="H21" s="3"/>
      <c r="I21" s="3">
        <v>2</v>
      </c>
      <c r="J21" s="3"/>
      <c r="K21" s="3"/>
      <c r="L21" s="3"/>
      <c r="M21" s="3"/>
      <c r="N21" s="3">
        <v>1</v>
      </c>
      <c r="O21" s="3"/>
      <c r="P21" s="3"/>
      <c r="Q21" s="3">
        <v>1</v>
      </c>
      <c r="R21" s="3"/>
      <c r="S21" s="3"/>
      <c r="T21" s="3"/>
      <c r="U21" s="3"/>
      <c r="V21" s="3"/>
      <c r="W21" s="3"/>
      <c r="X21" s="3">
        <v>1</v>
      </c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>
        <v>5</v>
      </c>
      <c r="AL21" s="3"/>
      <c r="AM21" s="3">
        <v>14</v>
      </c>
      <c r="AN21" s="6"/>
      <c r="AO21" s="3">
        <f>IF(AN21="","",AN21-AM21)</f>
      </c>
    </row>
    <row r="22" spans="1:41" x14ac:dyDescent="0.25">
      <c r="A22" s="3" t="s">
        <v>28</v>
      </c>
      <c r="B22" s="4" t="s">
        <v>38</v>
      </c>
      <c r="C22" s="5">
        <v>30259.5</v>
      </c>
      <c r="D22" s="5">
        <v>60000</v>
      </c>
      <c r="E22" s="3">
        <v>10</v>
      </c>
      <c r="F22" s="3"/>
      <c r="G22" s="3"/>
      <c r="H22" s="3"/>
      <c r="I22" s="3"/>
      <c r="J22" s="3">
        <v>1</v>
      </c>
      <c r="K22" s="3">
        <v>1</v>
      </c>
      <c r="L22" s="3"/>
      <c r="M22" s="3"/>
      <c r="N22" s="3"/>
      <c r="O22" s="3"/>
      <c r="P22" s="3"/>
      <c r="Q22" s="3"/>
      <c r="R22" s="3"/>
      <c r="S22" s="3"/>
      <c r="T22" s="3">
        <v>1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>
        <v>3</v>
      </c>
      <c r="AL22" s="3"/>
      <c r="AM22" s="3">
        <v>7</v>
      </c>
      <c r="AN22" s="6"/>
      <c r="AO22" s="3">
        <f>IF(AN22="","",AN22-AM22)</f>
      </c>
    </row>
    <row r="23" spans="1:41" x14ac:dyDescent="0.25">
      <c r="A23" s="3" t="s">
        <v>39</v>
      </c>
      <c r="B23" s="4" t="s">
        <v>40</v>
      </c>
      <c r="C23" s="5">
        <v>109044.87</v>
      </c>
      <c r="D23" s="5">
        <v>150000</v>
      </c>
      <c r="E23" s="3">
        <v>53</v>
      </c>
      <c r="F23" s="3"/>
      <c r="G23" s="3"/>
      <c r="H23" s="3"/>
      <c r="I23" s="3"/>
      <c r="J23" s="3"/>
      <c r="K23" s="3">
        <v>2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>
        <v>2</v>
      </c>
      <c r="AL23" s="3"/>
      <c r="AM23" s="3">
        <v>51</v>
      </c>
      <c r="AN23" s="6"/>
      <c r="AO23" s="3">
        <f>IF(AN23="","",AN23-AM23)</f>
      </c>
    </row>
    <row r="24" spans="1:41" x14ac:dyDescent="0.25">
      <c r="A24" s="3" t="s">
        <v>41</v>
      </c>
      <c r="B24" s="4" t="s">
        <v>42</v>
      </c>
      <c r="C24" s="5">
        <v>78585.42</v>
      </c>
      <c r="D24" s="5">
        <v>120000</v>
      </c>
      <c r="E24" s="3">
        <v>3</v>
      </c>
      <c r="F24" s="3"/>
      <c r="G24" s="3"/>
      <c r="H24" s="3"/>
      <c r="I24" s="3"/>
      <c r="J24" s="3"/>
      <c r="K24" s="3"/>
      <c r="L24" s="3"/>
      <c r="M24" s="3">
        <v>1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>
        <v>1</v>
      </c>
      <c r="AE24" s="3"/>
      <c r="AF24" s="3"/>
      <c r="AG24" s="3"/>
      <c r="AH24" s="3"/>
      <c r="AI24" s="3"/>
      <c r="AJ24" s="3"/>
      <c r="AK24" s="3">
        <v>3</v>
      </c>
      <c r="AL24" s="3"/>
      <c r="AM24" s="3">
        <v>0</v>
      </c>
      <c r="AN24" s="6"/>
      <c r="AO24" s="3">
        <f>IF(AN24="","",AN24-AM24)</f>
      </c>
    </row>
    <row r="25" spans="1:41" x14ac:dyDescent="0.25">
      <c r="A25" s="3" t="s">
        <v>30</v>
      </c>
      <c r="B25" s="4" t="s">
        <v>43</v>
      </c>
      <c r="C25" s="5">
        <v>151688</v>
      </c>
      <c r="D25" s="5">
        <v>210000</v>
      </c>
      <c r="E25" s="3">
        <v>13</v>
      </c>
      <c r="F25" s="3"/>
      <c r="G25" s="3"/>
      <c r="H25" s="3"/>
      <c r="I25" s="3"/>
      <c r="J25" s="3"/>
      <c r="K25" s="3"/>
      <c r="L25" s="3"/>
      <c r="M25" s="3">
        <v>1</v>
      </c>
      <c r="N25" s="3"/>
      <c r="O25" s="3"/>
      <c r="P25" s="3"/>
      <c r="Q25" s="3"/>
      <c r="R25" s="3"/>
      <c r="S25" s="3"/>
      <c r="T25" s="3"/>
      <c r="U25" s="3">
        <v>1</v>
      </c>
      <c r="V25" s="3"/>
      <c r="W25" s="3"/>
      <c r="X25" s="3"/>
      <c r="Y25" s="3"/>
      <c r="Z25" s="3">
        <v>1</v>
      </c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>
        <v>3</v>
      </c>
      <c r="AL25" s="3"/>
      <c r="AM25" s="3">
        <v>10</v>
      </c>
      <c r="AN25" s="6"/>
      <c r="AO25" s="3">
        <f>IF(AN25="","",AN25-AM25)</f>
      </c>
    </row>
    <row r="26" spans="1:41" x14ac:dyDescent="0.25">
      <c r="A26" s="3" t="s">
        <v>28</v>
      </c>
      <c r="B26" s="4" t="s">
        <v>44</v>
      </c>
      <c r="C26" s="5">
        <v>39597.25</v>
      </c>
      <c r="D26" s="5">
        <v>60000</v>
      </c>
      <c r="E26" s="3">
        <v>4</v>
      </c>
      <c r="F26" s="3"/>
      <c r="G26" s="3"/>
      <c r="H26" s="3"/>
      <c r="I26" s="3"/>
      <c r="J26" s="3"/>
      <c r="K26" s="3"/>
      <c r="L26" s="3"/>
      <c r="M26" s="3">
        <v>1</v>
      </c>
      <c r="N26" s="3"/>
      <c r="O26" s="3"/>
      <c r="P26" s="3"/>
      <c r="Q26" s="3">
        <v>1</v>
      </c>
      <c r="R26" s="3"/>
      <c r="S26" s="3"/>
      <c r="T26" s="3"/>
      <c r="U26" s="3">
        <v>1</v>
      </c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>
        <v>3</v>
      </c>
      <c r="AL26" s="3"/>
      <c r="AM26" s="3">
        <v>1</v>
      </c>
      <c r="AN26" s="6"/>
      <c r="AO26" s="3">
        <f>IF(AN26="","",AN26-AM26)</f>
      </c>
    </row>
    <row r="27" spans="1:41" x14ac:dyDescent="0.25">
      <c r="A27" s="3" t="s">
        <v>28</v>
      </c>
      <c r="B27" s="4" t="s">
        <v>45</v>
      </c>
      <c r="C27" s="5">
        <v>30459.5</v>
      </c>
      <c r="D27" s="5">
        <v>65000</v>
      </c>
      <c r="E27" s="3">
        <v>20</v>
      </c>
      <c r="F27" s="3"/>
      <c r="G27" s="3"/>
      <c r="H27" s="3"/>
      <c r="I27" s="3"/>
      <c r="J27" s="3"/>
      <c r="K27" s="3"/>
      <c r="L27" s="3"/>
      <c r="M27" s="3"/>
      <c r="N27" s="3"/>
      <c r="O27" s="3">
        <v>2</v>
      </c>
      <c r="P27" s="3">
        <v>1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>
        <v>3</v>
      </c>
      <c r="AL27" s="3"/>
      <c r="AM27" s="3">
        <v>17</v>
      </c>
      <c r="AN27" s="6"/>
      <c r="AO27" s="3">
        <f>IF(AN27="","",AN27-AM27)</f>
      </c>
    </row>
    <row r="28" spans="1:41" x14ac:dyDescent="0.25">
      <c r="A28" s="3" t="s">
        <v>15</v>
      </c>
      <c r="B28" s="4" t="s">
        <v>46</v>
      </c>
      <c r="C28" s="5">
        <v>115000</v>
      </c>
      <c r="D28" s="5">
        <v>40000</v>
      </c>
      <c r="E28" s="3">
        <v>8</v>
      </c>
      <c r="F28" s="3">
        <v>24</v>
      </c>
      <c r="G28" s="3"/>
      <c r="H28" s="3"/>
      <c r="I28" s="3"/>
      <c r="J28" s="3"/>
      <c r="K28" s="3"/>
      <c r="L28" s="3"/>
      <c r="M28" s="3"/>
      <c r="N28" s="3"/>
      <c r="O28" s="3">
        <v>1</v>
      </c>
      <c r="P28" s="3"/>
      <c r="Q28" s="3">
        <v>1</v>
      </c>
      <c r="R28" s="3"/>
      <c r="S28" s="3">
        <v>1</v>
      </c>
      <c r="T28" s="3">
        <v>1</v>
      </c>
      <c r="U28" s="3"/>
      <c r="V28" s="3"/>
      <c r="W28" s="3">
        <v>2</v>
      </c>
      <c r="X28" s="3"/>
      <c r="Y28" s="3"/>
      <c r="Z28" s="3">
        <v>1</v>
      </c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>
        <v>7</v>
      </c>
      <c r="AL28" s="3"/>
      <c r="AM28" s="3">
        <v>25</v>
      </c>
      <c r="AN28" s="6"/>
      <c r="AO28" s="3">
        <f>IF(AN28="","",AN28-AM28)</f>
      </c>
    </row>
    <row r="29" spans="1:41" x14ac:dyDescent="0.25">
      <c r="A29" s="3" t="s">
        <v>28</v>
      </c>
      <c r="B29" s="4" t="s">
        <v>47</v>
      </c>
      <c r="C29" s="5">
        <v>33505.4</v>
      </c>
      <c r="D29" s="5">
        <v>65000</v>
      </c>
      <c r="E29" s="3">
        <v>1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>
        <v>1</v>
      </c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>
        <v>1</v>
      </c>
      <c r="AL29" s="3"/>
      <c r="AM29" s="3">
        <v>0</v>
      </c>
      <c r="AN29" s="6"/>
      <c r="AO29" s="3">
        <f>IF(AN29="","",AN29-AM29)</f>
      </c>
    </row>
    <row r="30" spans="1:41" x14ac:dyDescent="0.25">
      <c r="A30" s="3" t="s">
        <v>28</v>
      </c>
      <c r="B30" s="4" t="s">
        <v>48</v>
      </c>
      <c r="C30" s="5"/>
      <c r="D30" s="5"/>
      <c r="E30" s="3">
        <v>0</v>
      </c>
      <c r="F30" s="3">
        <v>2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>
        <v>0</v>
      </c>
      <c r="AL30" s="3"/>
      <c r="AM30" s="3">
        <v>2</v>
      </c>
      <c r="AN30" s="6"/>
      <c r="AO30" s="3">
        <f>IF(AN30="","",AN30-AM30)</f>
      </c>
    </row>
    <row r="31" spans="1:41" x14ac:dyDescent="0.25">
      <c r="A31" s="3" t="s">
        <v>28</v>
      </c>
      <c r="B31" s="4" t="s">
        <v>49</v>
      </c>
      <c r="C31" s="5"/>
      <c r="D31" s="5"/>
      <c r="E31" s="3">
        <v>0</v>
      </c>
      <c r="F31" s="3">
        <v>10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>
        <v>1</v>
      </c>
      <c r="T31" s="3"/>
      <c r="U31" s="3"/>
      <c r="V31" s="3"/>
      <c r="W31" s="3"/>
      <c r="X31" s="3"/>
      <c r="Y31" s="3"/>
      <c r="Z31" s="3"/>
      <c r="AA31" s="3"/>
      <c r="AB31" s="3"/>
      <c r="AC31" s="3">
        <v>1</v>
      </c>
      <c r="AD31" s="3"/>
      <c r="AE31" s="3"/>
      <c r="AF31" s="3"/>
      <c r="AG31" s="3"/>
      <c r="AH31" s="3"/>
      <c r="AI31" s="3"/>
      <c r="AJ31" s="3"/>
      <c r="AK31" s="3">
        <v>2</v>
      </c>
      <c r="AL31" s="3"/>
      <c r="AM31" s="3">
        <v>8</v>
      </c>
      <c r="AN31" s="6"/>
      <c r="AO31" s="3">
        <f>IF(AN31="","",AN31-AM31)</f>
      </c>
    </row>
    <row r="32" spans="1:41" x14ac:dyDescent="0.25">
      <c r="A32" s="3" t="s">
        <v>28</v>
      </c>
      <c r="B32" s="4" t="s">
        <v>50</v>
      </c>
      <c r="C32" s="5">
        <v>33505.4</v>
      </c>
      <c r="D32" s="5">
        <v>65000</v>
      </c>
      <c r="E32" s="3">
        <v>29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>
        <v>1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>
        <v>1</v>
      </c>
      <c r="AJ32" s="3"/>
      <c r="AK32" s="3">
        <v>2</v>
      </c>
      <c r="AL32" s="3"/>
      <c r="AM32" s="3">
        <v>27</v>
      </c>
      <c r="AN32" s="6"/>
      <c r="AO32" s="3">
        <f>IF(AN32="","",AN32-AM32)</f>
      </c>
    </row>
    <row r="33" spans="1:41" x14ac:dyDescent="0.25">
      <c r="A33" s="3" t="s">
        <v>33</v>
      </c>
      <c r="B33" s="4" t="s">
        <v>51</v>
      </c>
      <c r="C33" s="5"/>
      <c r="D33" s="5"/>
      <c r="E33" s="3">
        <v>0</v>
      </c>
      <c r="F33" s="3">
        <v>12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>
        <v>2</v>
      </c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>
        <v>2</v>
      </c>
      <c r="AL33" s="3"/>
      <c r="AM33" s="3">
        <v>10</v>
      </c>
      <c r="AN33" s="6"/>
      <c r="AO33" s="3">
        <f>IF(AN33="","",AN33-AM33)</f>
      </c>
    </row>
    <row r="34" spans="1:41" x14ac:dyDescent="0.25">
      <c r="A34" s="3" t="s">
        <v>28</v>
      </c>
      <c r="B34" s="4" t="s">
        <v>52</v>
      </c>
      <c r="C34" s="5">
        <v>39597.3</v>
      </c>
      <c r="D34" s="5">
        <v>70000</v>
      </c>
      <c r="E34" s="3">
        <v>25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>
        <v>1</v>
      </c>
      <c r="AE34" s="3"/>
      <c r="AF34" s="3"/>
      <c r="AG34" s="3"/>
      <c r="AH34" s="3"/>
      <c r="AI34" s="3"/>
      <c r="AJ34" s="3"/>
      <c r="AK34" s="3">
        <v>1</v>
      </c>
      <c r="AL34" s="3"/>
      <c r="AM34" s="3">
        <v>24</v>
      </c>
      <c r="AN34" s="6"/>
      <c r="AO34" s="3">
        <f>IF(AN34="","",AN34-AM34)</f>
      </c>
    </row>
    <row r="35" spans="1:41" x14ac:dyDescent="0.25">
      <c r="A35" s="3" t="s">
        <v>28</v>
      </c>
      <c r="B35" s="4" t="s">
        <v>53</v>
      </c>
      <c r="C35" s="5">
        <v>33504.4</v>
      </c>
      <c r="D35" s="5">
        <v>65000</v>
      </c>
      <c r="E35" s="3">
        <v>13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>
        <v>1</v>
      </c>
      <c r="AF35" s="3"/>
      <c r="AG35" s="3">
        <v>1</v>
      </c>
      <c r="AH35" s="3">
        <v>1</v>
      </c>
      <c r="AI35" s="3"/>
      <c r="AJ35" s="3"/>
      <c r="AK35" s="3">
        <v>3</v>
      </c>
      <c r="AL35" s="3"/>
      <c r="AM35" s="3">
        <v>10</v>
      </c>
      <c r="AN35" s="6"/>
      <c r="AO35" s="3">
        <f>IF(AN35="","",AN35-AM35)</f>
      </c>
    </row>
    <row r="36" spans="1:41" x14ac:dyDescent="0.25">
      <c r="A36" s="3" t="s">
        <v>54</v>
      </c>
      <c r="B36" s="4" t="s">
        <v>55</v>
      </c>
      <c r="C36" s="5">
        <v>1291327.55</v>
      </c>
      <c r="D36" s="5">
        <v>1800000</v>
      </c>
      <c r="E36" s="3">
        <v>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>
        <v>1</v>
      </c>
      <c r="AG36" s="3"/>
      <c r="AH36" s="3"/>
      <c r="AI36" s="3"/>
      <c r="AJ36" s="3"/>
      <c r="AK36" s="3">
        <v>1</v>
      </c>
      <c r="AL36" s="3"/>
      <c r="AM36" s="3">
        <v>1</v>
      </c>
      <c r="AN36" s="6"/>
      <c r="AO36" s="3">
        <f>IF(AN36="","",AN36-AM36)</f>
      </c>
    </row>
    <row r="37" spans="1:41" x14ac:dyDescent="0.25">
      <c r="A37" s="7" t="s">
        <v>56</v>
      </c>
      <c r="B37" s="7" t="s">
        <v>57</v>
      </c>
      <c r="C37" s="7"/>
      <c r="D37" s="7"/>
      <c r="E37" s="7">
        <v>1312</v>
      </c>
      <c r="F37" s="7">
        <v>1916</v>
      </c>
      <c r="G37" s="7">
        <v>58</v>
      </c>
      <c r="H37" s="7">
        <v>46</v>
      </c>
      <c r="I37" s="7">
        <v>38</v>
      </c>
      <c r="J37" s="7">
        <v>49</v>
      </c>
      <c r="K37" s="7">
        <v>45</v>
      </c>
      <c r="L37" s="7">
        <v>60</v>
      </c>
      <c r="M37" s="7">
        <v>62</v>
      </c>
      <c r="N37" s="7">
        <v>38</v>
      </c>
      <c r="O37" s="7">
        <v>40</v>
      </c>
      <c r="P37" s="7">
        <v>52</v>
      </c>
      <c r="Q37" s="7">
        <v>44</v>
      </c>
      <c r="R37" s="7">
        <v>23</v>
      </c>
      <c r="S37" s="7">
        <v>31</v>
      </c>
      <c r="T37" s="7">
        <v>56</v>
      </c>
      <c r="U37" s="7">
        <v>47</v>
      </c>
      <c r="V37" s="7">
        <v>54</v>
      </c>
      <c r="W37" s="7">
        <v>28</v>
      </c>
      <c r="X37" s="7">
        <v>60</v>
      </c>
      <c r="Y37" s="7">
        <v>37</v>
      </c>
      <c r="Z37" s="7">
        <v>38</v>
      </c>
      <c r="AA37" s="7">
        <v>81</v>
      </c>
      <c r="AB37" s="7">
        <v>31</v>
      </c>
      <c r="AC37" s="7">
        <v>30</v>
      </c>
      <c r="AD37" s="7">
        <v>33</v>
      </c>
      <c r="AE37" s="7">
        <v>31</v>
      </c>
      <c r="AF37" s="7">
        <v>44</v>
      </c>
      <c r="AG37" s="7">
        <v>55</v>
      </c>
      <c r="AH37" s="7">
        <v>62</v>
      </c>
      <c r="AI37" s="7">
        <v>46</v>
      </c>
      <c r="AJ37" s="7">
        <v>18</v>
      </c>
      <c r="AK37" s="7">
        <v>1337</v>
      </c>
      <c r="AL37" s="7">
        <v>46</v>
      </c>
      <c r="AM37" s="7">
        <v>1845</v>
      </c>
      <c r="AN37" s="7">
        <f>SUM(AN4:AN36)</f>
      </c>
      <c r="AO37" s="7">
        <f>SUM(AO4:AO36)</f>
      </c>
    </row>
  </sheetData>
  <mergeCells count="13">
    <mergeCell ref="A1:AO1"/>
    <mergeCell ref="G2:AJ2"/>
    <mergeCell ref="A2:A3"/>
    <mergeCell ref="B2:B3"/>
    <mergeCell ref="C2:C3"/>
    <mergeCell ref="D2:D3"/>
    <mergeCell ref="E2:E3"/>
    <mergeCell ref="F2:F3"/>
    <mergeCell ref="AK2:AK3"/>
    <mergeCell ref="AL2:AL3"/>
    <mergeCell ref="AM2:AM3"/>
    <mergeCell ref="AN2:AN3"/>
    <mergeCell ref="AO2:AO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22" customWidth="1"/>
    <col min="2" max="2" width="36" customWidth="1"/>
    <col min="3" max="3" width="30" customWidth="1"/>
    <col min="4" max="4" width="20" customWidth="1"/>
    <col min="5" max="5" width="40" customWidth="1"/>
  </cols>
  <sheetData>
    <row r="1" spans="1:1" s="8" customFormat="1" x14ac:dyDescent="0.25">
      <c r="A1" s="8" t="s">
        <v>58</v>
      </c>
    </row>
    <row r="2" spans="1:1" s="9" customFormat="1" x14ac:dyDescent="0.25">
      <c r="A2" s="9" t="s">
        <v>59</v>
      </c>
    </row>
    <row r="4" spans="1:5" s="10" customFormat="1" x14ac:dyDescent="0.25">
      <c r="A4" s="10" t="s">
        <v>1</v>
      </c>
      <c r="B4" s="10" t="s">
        <v>60</v>
      </c>
      <c r="C4" s="10" t="s">
        <v>61</v>
      </c>
      <c r="D4" s="10" t="s">
        <v>62</v>
      </c>
      <c r="E4" s="10" t="s">
        <v>63</v>
      </c>
    </row>
    <row r="5" spans="1:5" x14ac:dyDescent="0.25">
      <c r="A5" t="s">
        <v>15</v>
      </c>
      <c r="B5" t="s">
        <v>20</v>
      </c>
      <c r="C5" t="s">
        <v>64</v>
      </c>
      <c r="D5" t="s">
        <v>65</v>
      </c>
      <c r="E5" t="s">
        <v>66</v>
      </c>
    </row>
    <row r="7" spans="1:4" s="10" customFormat="1" x14ac:dyDescent="0.25">
      <c r="A7" s="10" t="s">
        <v>60</v>
      </c>
      <c r="B7" s="10" t="s">
        <v>67</v>
      </c>
      <c r="C7" s="10" t="s">
        <v>68</v>
      </c>
      <c r="D7" s="10" t="s">
        <v>12</v>
      </c>
    </row>
    <row r="8" spans="1:4" x14ac:dyDescent="0.25">
      <c r="A8" t="s">
        <v>20</v>
      </c>
      <c r="B8">
        <v>0</v>
      </c>
      <c r="C8">
        <v>46</v>
      </c>
      <c r="D8">
        <v>-46</v>
      </c>
    </row>
    <row r="10" spans="1:4" s="10" customFormat="1" x14ac:dyDescent="0.25">
      <c r="A10" s="10" t="s">
        <v>60</v>
      </c>
      <c r="B10" s="10" t="s">
        <v>69</v>
      </c>
      <c r="C10" s="10" t="s">
        <v>70</v>
      </c>
      <c r="D10" s="10" t="s">
        <v>12</v>
      </c>
    </row>
    <row r="11" spans="1:4" x14ac:dyDescent="0.25">
      <c r="A11" t="s">
        <v>20</v>
      </c>
      <c r="B11">
        <v>67</v>
      </c>
      <c r="C11">
        <v>21</v>
      </c>
      <c r="D11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JUN'26</vt:lpstr>
      <vt:lpstr>Diagnostik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2026-07-20T10:44:07Z</dcterms:created>
  <dcterms:modified xsi:type="dcterms:W3CDTF">2026-07-20T10:44:07Z</dcterms:modified>
</cp:coreProperties>
</file>